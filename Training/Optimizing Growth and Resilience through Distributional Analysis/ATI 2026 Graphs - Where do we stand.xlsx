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theme/themeOverride2.xml" ContentType="application/vnd.openxmlformats-officedocument.themeOverride+xml"/>
  <Override PartName="/xl/drawings/drawing5.xml" ContentType="application/vnd.openxmlformats-officedocument.drawingml.chartshapes+xml"/>
  <Override PartName="/xl/drawings/drawing6.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theme/themeOverride3.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10.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11.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kolovich\Desktop\"/>
    </mc:Choice>
  </mc:AlternateContent>
  <xr:revisionPtr revIDLastSave="0" documentId="8_{B804CF5B-EC99-4FFC-A6A0-59931895B61B}" xr6:coauthVersionLast="47" xr6:coauthVersionMax="47" xr10:uidLastSave="{00000000-0000-0000-0000-000000000000}"/>
  <bookViews>
    <workbookView xWindow="-110" yWindow="-110" windowWidth="19420" windowHeight="11500" firstSheet="3" activeTab="7" xr2:uid="{A41315D4-AC63-4C29-B570-E59611C5944E}"/>
  </bookViews>
  <sheets>
    <sheet name="LFP_Male" sheetId="4" state="hidden" r:id="rId1"/>
    <sheet name="LFP_Female" sheetId="3" state="hidden" r:id="rId2"/>
    <sheet name="LFP" sheetId="2" r:id="rId3"/>
    <sheet name="FLFP by Country" sheetId="18" r:id="rId4"/>
    <sheet name="Enrollment" sheetId="6" r:id="rId5"/>
    <sheet name="Seats" sheetId="14" r:id="rId6"/>
    <sheet name="Acct Ownership" sheetId="11" r:id="rId7"/>
    <sheet name="Acct Ownership (2)" sheetId="12" r:id="rId8"/>
    <sheet name="GII" sheetId="17" r:id="rId9"/>
    <sheet name="WBL" sheetId="16" r:id="rId10"/>
    <sheet name="WBL (2)" sheetId="13" state="hidden" r:id="rId11"/>
  </sheets>
  <definedNames>
    <definedName name="_xlnm._FilterDatabase" localSheetId="6" hidden="1">'Acct Ownership'!$A$1:$F$1</definedName>
    <definedName name="_xlnm._FilterDatabase" localSheetId="4" hidden="1">Enrollment!$A$1:$G$343</definedName>
    <definedName name="_xlnm._FilterDatabase" localSheetId="8" hidden="1">GII!$A$1:$D$1</definedName>
    <definedName name="_xlnm._FilterDatabase" localSheetId="2" hidden="1">LFP!$A$2:$C$2</definedName>
    <definedName name="_xlnm._FilterDatabase" localSheetId="1" hidden="1">LFP_Female!$D$188:$E$188</definedName>
    <definedName name="_xlnm._FilterDatabase" localSheetId="0" hidden="1">LFP_Male!$D$187:$E$187</definedName>
    <definedName name="_xlnm._FilterDatabase" localSheetId="9" hidden="1">WBL!$A$1:$D$1</definedName>
    <definedName name="_xlnm._FilterDatabase" localSheetId="10" hidden="1">'WBL (2)'!$A$1:$C$1</definedName>
    <definedName name="_xlchart.v6.0" hidden="1">GII!$A$1</definedName>
    <definedName name="_xlchart.v6.1" hidden="1">GII!$A$2:$A$46</definedName>
    <definedName name="_xlchart.v6.2" hidden="1">GII!$C$1</definedName>
    <definedName name="_xlchart.v6.3" hidden="1">GII!$C$2:$C$46</definedName>
    <definedName name="_xlchart.v6.4" hidden="1">WBL!$A$1</definedName>
    <definedName name="_xlchart.v6.5" hidden="1">WBL!$A$2:$A$46</definedName>
    <definedName name="_xlchart.v6.6" hidden="1">WBL!$C$1</definedName>
    <definedName name="_xlchart.v6.7" hidden="1">WBL!$C$2:$C$46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9" i="14" l="1"/>
  <c r="F49" i="14"/>
  <c r="G49" i="14"/>
  <c r="H49" i="14"/>
  <c r="I49" i="14"/>
  <c r="J49" i="14"/>
  <c r="K49" i="14"/>
  <c r="L49" i="14"/>
  <c r="M49" i="14"/>
  <c r="N49" i="14"/>
  <c r="O49" i="14"/>
  <c r="P49" i="14"/>
  <c r="Q49" i="14"/>
  <c r="R49" i="14"/>
  <c r="S49" i="14"/>
  <c r="T49" i="14"/>
  <c r="U49" i="14"/>
  <c r="V49" i="14"/>
  <c r="W49" i="14"/>
  <c r="X49" i="14"/>
  <c r="Y49" i="14"/>
  <c r="Z49" i="14"/>
  <c r="AA49" i="14"/>
  <c r="AB49" i="14"/>
  <c r="AC49" i="14"/>
  <c r="AD49" i="14"/>
  <c r="AE49" i="14"/>
  <c r="D49" i="14"/>
  <c r="D2" i="12"/>
  <c r="D3" i="12"/>
  <c r="D4" i="12"/>
  <c r="T5" i="6"/>
  <c r="S5" i="6"/>
  <c r="Q5" i="6"/>
  <c r="P5" i="6"/>
  <c r="N5" i="6"/>
  <c r="M5" i="6"/>
  <c r="K5" i="6"/>
  <c r="J5" i="6"/>
  <c r="O5" i="6" l="1"/>
  <c r="K12" i="6" s="1"/>
  <c r="R5" i="6"/>
  <c r="L12" i="6" s="1"/>
  <c r="L5" i="6"/>
  <c r="J12" i="6" s="1"/>
  <c r="U5" i="6"/>
  <c r="M12" i="6" s="1"/>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5">
    <bk>
      <extLst>
        <ext uri="{3e2802c4-a4d2-4d8b-9148-e3be6c30e623}">
          <xlrd:rvb i="0"/>
        </ext>
      </extLst>
    </bk>
    <bk>
      <extLst>
        <ext uri="{3e2802c4-a4d2-4d8b-9148-e3be6c30e623}">
          <xlrd:rvb i="44"/>
        </ext>
      </extLst>
    </bk>
    <bk>
      <extLst>
        <ext uri="{3e2802c4-a4d2-4d8b-9148-e3be6c30e623}">
          <xlrd:rvb i="65"/>
        </ext>
      </extLst>
    </bk>
    <bk>
      <extLst>
        <ext uri="{3e2802c4-a4d2-4d8b-9148-e3be6c30e623}">
          <xlrd:rvb i="118"/>
        </ext>
      </extLst>
    </bk>
    <bk>
      <extLst>
        <ext uri="{3e2802c4-a4d2-4d8b-9148-e3be6c30e623}">
          <xlrd:rvb i="173"/>
        </ext>
      </extLst>
    </bk>
    <bk>
      <extLst>
        <ext uri="{3e2802c4-a4d2-4d8b-9148-e3be6c30e623}">
          <xlrd:rvb i="222"/>
        </ext>
      </extLst>
    </bk>
    <bk>
      <extLst>
        <ext uri="{3e2802c4-a4d2-4d8b-9148-e3be6c30e623}">
          <xlrd:rvb i="267"/>
        </ext>
      </extLst>
    </bk>
    <bk>
      <extLst>
        <ext uri="{3e2802c4-a4d2-4d8b-9148-e3be6c30e623}">
          <xlrd:rvb i="322"/>
        </ext>
      </extLst>
    </bk>
    <bk>
      <extLst>
        <ext uri="{3e2802c4-a4d2-4d8b-9148-e3be6c30e623}">
          <xlrd:rvb i="362"/>
        </ext>
      </extLst>
    </bk>
    <bk>
      <extLst>
        <ext uri="{3e2802c4-a4d2-4d8b-9148-e3be6c30e623}">
          <xlrd:rvb i="414"/>
        </ext>
      </extLst>
    </bk>
    <bk>
      <extLst>
        <ext uri="{3e2802c4-a4d2-4d8b-9148-e3be6c30e623}">
          <xlrd:rvb i="468"/>
        </ext>
      </extLst>
    </bk>
    <bk>
      <extLst>
        <ext uri="{3e2802c4-a4d2-4d8b-9148-e3be6c30e623}">
          <xlrd:rvb i="554"/>
        </ext>
      </extLst>
    </bk>
    <bk>
      <extLst>
        <ext uri="{3e2802c4-a4d2-4d8b-9148-e3be6c30e623}">
          <xlrd:rvb i="605"/>
        </ext>
      </extLst>
    </bk>
    <bk>
      <extLst>
        <ext uri="{3e2802c4-a4d2-4d8b-9148-e3be6c30e623}">
          <xlrd:rvb i="667"/>
        </ext>
      </extLst>
    </bk>
    <bk>
      <extLst>
        <ext uri="{3e2802c4-a4d2-4d8b-9148-e3be6c30e623}">
          <xlrd:rvb i="724"/>
        </ext>
      </extLst>
    </bk>
    <bk>
      <extLst>
        <ext uri="{3e2802c4-a4d2-4d8b-9148-e3be6c30e623}">
          <xlrd:rvb i="780"/>
        </ext>
      </extLst>
    </bk>
    <bk>
      <extLst>
        <ext uri="{3e2802c4-a4d2-4d8b-9148-e3be6c30e623}">
          <xlrd:rvb i="834"/>
        </ext>
      </extLst>
    </bk>
    <bk>
      <extLst>
        <ext uri="{3e2802c4-a4d2-4d8b-9148-e3be6c30e623}">
          <xlrd:rvb i="882"/>
        </ext>
      </extLst>
    </bk>
    <bk>
      <extLst>
        <ext uri="{3e2802c4-a4d2-4d8b-9148-e3be6c30e623}">
          <xlrd:rvb i="939"/>
        </ext>
      </extLst>
    </bk>
    <bk>
      <extLst>
        <ext uri="{3e2802c4-a4d2-4d8b-9148-e3be6c30e623}">
          <xlrd:rvb i="1004"/>
        </ext>
      </extLst>
    </bk>
    <bk>
      <extLst>
        <ext uri="{3e2802c4-a4d2-4d8b-9148-e3be6c30e623}">
          <xlrd:rvb i="1043"/>
        </ext>
      </extLst>
    </bk>
    <bk>
      <extLst>
        <ext uri="{3e2802c4-a4d2-4d8b-9148-e3be6c30e623}">
          <xlrd:rvb i="1082"/>
        </ext>
      </extLst>
    </bk>
    <bk>
      <extLst>
        <ext uri="{3e2802c4-a4d2-4d8b-9148-e3be6c30e623}">
          <xlrd:rvb i="1134"/>
        </ext>
      </extLst>
    </bk>
    <bk>
      <extLst>
        <ext uri="{3e2802c4-a4d2-4d8b-9148-e3be6c30e623}">
          <xlrd:rvb i="1177"/>
        </ext>
      </extLst>
    </bk>
    <bk>
      <extLst>
        <ext uri="{3e2802c4-a4d2-4d8b-9148-e3be6c30e623}">
          <xlrd:rvb i="1330"/>
        </ext>
      </extLst>
    </bk>
    <bk>
      <extLst>
        <ext uri="{3e2802c4-a4d2-4d8b-9148-e3be6c30e623}">
          <xlrd:rvb i="1378"/>
        </ext>
      </extLst>
    </bk>
    <bk>
      <extLst>
        <ext uri="{3e2802c4-a4d2-4d8b-9148-e3be6c30e623}">
          <xlrd:rvb i="1431"/>
        </ext>
      </extLst>
    </bk>
    <bk>
      <extLst>
        <ext uri="{3e2802c4-a4d2-4d8b-9148-e3be6c30e623}">
          <xlrd:rvb i="1481"/>
        </ext>
      </extLst>
    </bk>
    <bk>
      <extLst>
        <ext uri="{3e2802c4-a4d2-4d8b-9148-e3be6c30e623}">
          <xlrd:rvb i="1563"/>
        </ext>
      </extLst>
    </bk>
    <bk>
      <extLst>
        <ext uri="{3e2802c4-a4d2-4d8b-9148-e3be6c30e623}">
          <xlrd:rvb i="1616"/>
        </ext>
      </extLst>
    </bk>
    <bk>
      <extLst>
        <ext uri="{3e2802c4-a4d2-4d8b-9148-e3be6c30e623}">
          <xlrd:rvb i="1669"/>
        </ext>
      </extLst>
    </bk>
    <bk>
      <extLst>
        <ext uri="{3e2802c4-a4d2-4d8b-9148-e3be6c30e623}">
          <xlrd:rvb i="1712"/>
        </ext>
      </extLst>
    </bk>
    <bk>
      <extLst>
        <ext uri="{3e2802c4-a4d2-4d8b-9148-e3be6c30e623}">
          <xlrd:rvb i="1761"/>
        </ext>
      </extLst>
    </bk>
    <bk>
      <extLst>
        <ext uri="{3e2802c4-a4d2-4d8b-9148-e3be6c30e623}">
          <xlrd:rvb i="1806"/>
        </ext>
      </extLst>
    </bk>
    <bk>
      <extLst>
        <ext uri="{3e2802c4-a4d2-4d8b-9148-e3be6c30e623}">
          <xlrd:rvb i="1868"/>
        </ext>
      </extLst>
    </bk>
    <bk>
      <extLst>
        <ext uri="{3e2802c4-a4d2-4d8b-9148-e3be6c30e623}">
          <xlrd:rvb i="1925"/>
        </ext>
      </extLst>
    </bk>
    <bk>
      <extLst>
        <ext uri="{3e2802c4-a4d2-4d8b-9148-e3be6c30e623}">
          <xlrd:rvb i="1967"/>
        </ext>
      </extLst>
    </bk>
    <bk>
      <extLst>
        <ext uri="{3e2802c4-a4d2-4d8b-9148-e3be6c30e623}">
          <xlrd:rvb i="2028"/>
        </ext>
      </extLst>
    </bk>
    <bk>
      <extLst>
        <ext uri="{3e2802c4-a4d2-4d8b-9148-e3be6c30e623}">
          <xlrd:rvb i="2075"/>
        </ext>
      </extLst>
    </bk>
    <bk>
      <extLst>
        <ext uri="{3e2802c4-a4d2-4d8b-9148-e3be6c30e623}">
          <xlrd:rvb i="2125"/>
        </ext>
      </extLst>
    </bk>
    <bk>
      <extLst>
        <ext uri="{3e2802c4-a4d2-4d8b-9148-e3be6c30e623}">
          <xlrd:rvb i="2181"/>
        </ext>
      </extLst>
    </bk>
    <bk>
      <extLst>
        <ext uri="{3e2802c4-a4d2-4d8b-9148-e3be6c30e623}">
          <xlrd:rvb i="2234"/>
        </ext>
      </extLst>
    </bk>
    <bk>
      <extLst>
        <ext uri="{3e2802c4-a4d2-4d8b-9148-e3be6c30e623}">
          <xlrd:rvb i="2287"/>
        </ext>
      </extLst>
    </bk>
    <bk>
      <extLst>
        <ext uri="{3e2802c4-a4d2-4d8b-9148-e3be6c30e623}">
          <xlrd:rvb i="2330"/>
        </ext>
      </extLst>
    </bk>
    <bk>
      <extLst>
        <ext uri="{3e2802c4-a4d2-4d8b-9148-e3be6c30e623}">
          <xlrd:rvb i="2372"/>
        </ext>
      </extLst>
    </bk>
  </futureMetadata>
  <valueMetadata count="4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valueMetadata>
</metadata>
</file>

<file path=xl/sharedStrings.xml><?xml version="1.0" encoding="utf-8"?>
<sst xmlns="http://schemas.openxmlformats.org/spreadsheetml/2006/main" count="2891" uniqueCount="417">
  <si>
    <t>Country Name</t>
  </si>
  <si>
    <t>Country Code</t>
  </si>
  <si>
    <t>Region</t>
  </si>
  <si>
    <t>AFRITAC</t>
  </si>
  <si>
    <t>Afghanistan</t>
  </si>
  <si>
    <t>AFG</t>
  </si>
  <si>
    <t>MCD</t>
  </si>
  <si>
    <t>Albania</t>
  </si>
  <si>
    <t>ALB</t>
  </si>
  <si>
    <t>EUR</t>
  </si>
  <si>
    <t>Algeria</t>
  </si>
  <si>
    <t>DZA</t>
  </si>
  <si>
    <t>Angola</t>
  </si>
  <si>
    <t>AGO</t>
  </si>
  <si>
    <t>AFR</t>
  </si>
  <si>
    <t>Argentina</t>
  </si>
  <si>
    <t>ARG</t>
  </si>
  <si>
    <t>WHD</t>
  </si>
  <si>
    <t>Armenia</t>
  </si>
  <si>
    <t>ARM</t>
  </si>
  <si>
    <t>Australia</t>
  </si>
  <si>
    <t>AUS</t>
  </si>
  <si>
    <t>APD</t>
  </si>
  <si>
    <t>Austria</t>
  </si>
  <si>
    <t>AUT</t>
  </si>
  <si>
    <t>Azerbaijan</t>
  </si>
  <si>
    <t>AZE</t>
  </si>
  <si>
    <t>Bahamas, The</t>
  </si>
  <si>
    <t>BHS</t>
  </si>
  <si>
    <t>Bahrain</t>
  </si>
  <si>
    <t>BHR</t>
  </si>
  <si>
    <t>Bangladesh</t>
  </si>
  <si>
    <t>BGD</t>
  </si>
  <si>
    <t>Barbados</t>
  </si>
  <si>
    <t>BRB</t>
  </si>
  <si>
    <t>Belarus</t>
  </si>
  <si>
    <t>BLR</t>
  </si>
  <si>
    <t>Belgium</t>
  </si>
  <si>
    <t>BEL</t>
  </si>
  <si>
    <t>Belize</t>
  </si>
  <si>
    <t>BLZ</t>
  </si>
  <si>
    <t>Benin</t>
  </si>
  <si>
    <t>BEN</t>
  </si>
  <si>
    <t>Bhutan</t>
  </si>
  <si>
    <t>BTN</t>
  </si>
  <si>
    <t>Bolivia</t>
  </si>
  <si>
    <t>BOL</t>
  </si>
  <si>
    <t>Bosnia and Herzegovina</t>
  </si>
  <si>
    <t>BIH</t>
  </si>
  <si>
    <t>Botswana</t>
  </si>
  <si>
    <t>BWA</t>
  </si>
  <si>
    <t>Brazil</t>
  </si>
  <si>
    <t>BRA</t>
  </si>
  <si>
    <t>Brunei Darussalam</t>
  </si>
  <si>
    <t>BRN</t>
  </si>
  <si>
    <t>Bulgaria</t>
  </si>
  <si>
    <t>BGR</t>
  </si>
  <si>
    <t>Burkina Faso</t>
  </si>
  <si>
    <t>BFA</t>
  </si>
  <si>
    <t>Burundi</t>
  </si>
  <si>
    <t>BDI</t>
  </si>
  <si>
    <t>Cabo Verde</t>
  </si>
  <si>
    <t>CPV</t>
  </si>
  <si>
    <t>Cambodia</t>
  </si>
  <si>
    <t>KHM</t>
  </si>
  <si>
    <t>Cameroon</t>
  </si>
  <si>
    <t>CMR</t>
  </si>
  <si>
    <t>Canada</t>
  </si>
  <si>
    <t>CAN</t>
  </si>
  <si>
    <t>Central African Republic</t>
  </si>
  <si>
    <t>CAF</t>
  </si>
  <si>
    <t>Chad</t>
  </si>
  <si>
    <t>TCD</t>
  </si>
  <si>
    <t>Chile</t>
  </si>
  <si>
    <t>CHL</t>
  </si>
  <si>
    <t>China</t>
  </si>
  <si>
    <t>CHN</t>
  </si>
  <si>
    <t>Colombia</t>
  </si>
  <si>
    <t>COL</t>
  </si>
  <si>
    <t>Comoros</t>
  </si>
  <si>
    <t>COM</t>
  </si>
  <si>
    <t>Congo, Dem. Rep.</t>
  </si>
  <si>
    <t>COD</t>
  </si>
  <si>
    <t>Congo, Rep.</t>
  </si>
  <si>
    <t>COG</t>
  </si>
  <si>
    <t>Costa Rica</t>
  </si>
  <si>
    <t>CRI</t>
  </si>
  <si>
    <t>Cote d'Ivoire</t>
  </si>
  <si>
    <t>CIV</t>
  </si>
  <si>
    <t>Croatia</t>
  </si>
  <si>
    <t>HRV</t>
  </si>
  <si>
    <t>Cyprus</t>
  </si>
  <si>
    <t>CYP</t>
  </si>
  <si>
    <t>Czechia</t>
  </si>
  <si>
    <t>CZE</t>
  </si>
  <si>
    <t>Denmark</t>
  </si>
  <si>
    <t>DNK</t>
  </si>
  <si>
    <t>Djibouti</t>
  </si>
  <si>
    <t>DJI</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</si>
  <si>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</si>
  <si>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</si>
  <si>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</si>
  <si>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</si>
  <si>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</si>
  <si>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</si>
  <si>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</si>
  <si>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</si>
  <si>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</si>
  <si>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</si>
  <si>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</si>
  <si>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</si>
  <si>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</si>
  <si>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</si>
  <si>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</si>
  <si>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</si>
  <si>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</si>
  <si>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</si>
  <si>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Fiji</t>
  </si>
  <si>
    <t>FJI</t>
  </si>
  <si>
    <t>Finland</t>
  </si>
  <si>
    <t>FIN</t>
  </si>
  <si>
    <t>France</t>
  </si>
  <si>
    <t>FRA</t>
  </si>
  <si>
    <t>Gabon</t>
  </si>
  <si>
    <t>GAB</t>
  </si>
  <si>
    <t>Gambia, The</t>
  </si>
  <si>
    <t>GMB</t>
  </si>
  <si>
    <t>Georgia</t>
  </si>
  <si>
    <t>GEO</t>
  </si>
  <si>
    <t>Germany</t>
  </si>
  <si>
    <t>DEU</t>
  </si>
  <si>
    <t>Ghana</t>
  </si>
  <si>
    <t>GHA</t>
  </si>
  <si>
    <t>Greece</t>
  </si>
  <si>
    <t>GRC</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</si>
  <si>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</si>
  <si>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</si>
  <si>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</si>
  <si>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</si>
  <si>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</si>
  <si>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</si>
  <si>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</si>
  <si>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</si>
  <si>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</si>
  <si>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</si>
  <si>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</si>
  <si>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</si>
  <si>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</si>
  <si>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</si>
  <si>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</si>
  <si>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</si>
  <si>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</si>
  <si>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</si>
  <si>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</si>
  <si>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</si>
  <si>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</si>
  <si>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</si>
  <si>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</si>
  <si>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</si>
  <si>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</si>
  <si>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</si>
  <si>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</si>
  <si>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</si>
  <si>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Israel</t>
  </si>
  <si>
    <t>ISR</t>
  </si>
  <si>
    <t>Italy</t>
  </si>
  <si>
    <t>ITA</t>
  </si>
  <si>
    <t>Jamaica</t>
  </si>
  <si>
    <t>JAM</t>
  </si>
  <si>
    <t>Japan</t>
  </si>
  <si>
    <t>JPN</t>
  </si>
  <si>
    <t>Jordan</t>
  </si>
  <si>
    <t>JOR</t>
  </si>
  <si>
    <t>Kazakhstan</t>
  </si>
  <si>
    <t>KAZ</t>
  </si>
  <si>
    <t>Kenya</t>
  </si>
  <si>
    <t>KEN</t>
  </si>
  <si>
    <t>Korea, Dem. People's Rep.</t>
  </si>
  <si>
    <t>PRK</t>
  </si>
  <si>
    <t>Korea, Rep.</t>
  </si>
  <si>
    <t>KOR</t>
  </si>
  <si>
    <t>Kuwait</t>
  </si>
  <si>
    <t>KWT</t>
  </si>
  <si>
    <t>Kyrgyz Republic</t>
  </si>
  <si>
    <t>KGZ</t>
  </si>
  <si>
    <t>Lao PDR</t>
  </si>
  <si>
    <t>LAO</t>
  </si>
  <si>
    <t>Latvia</t>
  </si>
  <si>
    <t>LVA</t>
  </si>
  <si>
    <t>Lebanon</t>
  </si>
  <si>
    <t>LBN</t>
  </si>
  <si>
    <t>Lesotho</t>
  </si>
  <si>
    <t>LSO</t>
  </si>
  <si>
    <t>Liberia</t>
  </si>
  <si>
    <t>LBR</t>
  </si>
  <si>
    <t>Libya</t>
  </si>
  <si>
    <t>LBY</t>
  </si>
  <si>
    <t>Lithuania</t>
  </si>
  <si>
    <t>LTU</t>
  </si>
  <si>
    <t>Luxembourg</t>
  </si>
  <si>
    <t>LUX</t>
  </si>
  <si>
    <t>Macao SAR, China</t>
  </si>
  <si>
    <t>MAC</t>
  </si>
  <si>
    <t>Madagascar</t>
  </si>
  <si>
    <t>MDG</t>
  </si>
  <si>
    <t>Malawi</t>
  </si>
  <si>
    <t>MWI</t>
  </si>
  <si>
    <t>Malaysia</t>
  </si>
  <si>
    <t>MYS</t>
  </si>
  <si>
    <t>Maldives</t>
  </si>
  <si>
    <t>MDV</t>
  </si>
  <si>
    <t>Mali</t>
  </si>
  <si>
    <t>MLI</t>
  </si>
  <si>
    <t>Malta</t>
  </si>
  <si>
    <t>MLT</t>
  </si>
  <si>
    <t>Mauritania</t>
  </si>
  <si>
    <t>MRT</t>
  </si>
  <si>
    <t>Mauritius</t>
  </si>
  <si>
    <t>MUS</t>
  </si>
  <si>
    <t>Mexico</t>
  </si>
  <si>
    <t>MEX</t>
  </si>
  <si>
    <t>Moldova</t>
  </si>
  <si>
    <t>MDA</t>
  </si>
  <si>
    <t>Mongolia</t>
  </si>
  <si>
    <t>MNG</t>
  </si>
  <si>
    <t>Montenegro</t>
  </si>
  <si>
    <t>MNE</t>
  </si>
  <si>
    <t>Morocco</t>
  </si>
  <si>
    <t>MAR</t>
  </si>
  <si>
    <t>Mozambique</t>
  </si>
  <si>
    <t>MOZ</t>
  </si>
  <si>
    <t>Myanmar</t>
  </si>
  <si>
    <t>MMR</t>
  </si>
  <si>
    <t>Namibia</t>
  </si>
  <si>
    <t>NAM</t>
  </si>
  <si>
    <t>Nepal</t>
  </si>
  <si>
    <t>NPL</t>
  </si>
  <si>
    <t>Netherlands</t>
  </si>
  <si>
    <t>NLD</t>
  </si>
  <si>
    <t>New Zealand</t>
  </si>
  <si>
    <t>NZL</t>
  </si>
  <si>
    <t>Nicaragua</t>
  </si>
  <si>
    <t>NIC</t>
  </si>
  <si>
    <t>Niger</t>
  </si>
  <si>
    <t>NER</t>
  </si>
  <si>
    <t>Nigeria</t>
  </si>
  <si>
    <t>NGA</t>
  </si>
  <si>
    <t>North Macedonia</t>
  </si>
  <si>
    <t>MKD</t>
  </si>
  <si>
    <t>Norway</t>
  </si>
  <si>
    <t>NOR</t>
  </si>
  <si>
    <t>Oman</t>
  </si>
  <si>
    <t>OMN</t>
  </si>
  <si>
    <t>Pakistan</t>
  </si>
  <si>
    <t>PAK</t>
  </si>
  <si>
    <t>Panama</t>
  </si>
  <si>
    <t>PAN</t>
  </si>
  <si>
    <t>Papua New Guinea</t>
  </si>
  <si>
    <t>PNG</t>
  </si>
  <si>
    <t>Paraguay</t>
  </si>
  <si>
    <t>PRY</t>
  </si>
  <si>
    <t>Peru</t>
  </si>
  <si>
    <t>PER</t>
  </si>
  <si>
    <t>Philippines</t>
  </si>
  <si>
    <t>PHL</t>
  </si>
  <si>
    <t>Poland</t>
  </si>
  <si>
    <t>POL</t>
  </si>
  <si>
    <t>Portugal</t>
  </si>
  <si>
    <t>PRT</t>
  </si>
  <si>
    <t>Puerto Rico</t>
  </si>
  <si>
    <t>PRI</t>
  </si>
  <si>
    <t>Qatar</t>
  </si>
  <si>
    <t>QAT</t>
  </si>
  <si>
    <t>Romania</t>
  </si>
  <si>
    <t>ROU</t>
  </si>
  <si>
    <t>Russian Federation</t>
  </si>
  <si>
    <t>RUS</t>
  </si>
  <si>
    <t>Rwanda</t>
  </si>
  <si>
    <t>RWA</t>
  </si>
  <si>
    <t>Samoa</t>
  </si>
  <si>
    <t>WSM</t>
  </si>
  <si>
    <t>Sao Tome and Principe</t>
  </si>
  <si>
    <t>STP</t>
  </si>
  <si>
    <t>Saudi Arabia</t>
  </si>
  <si>
    <t>SAU</t>
  </si>
  <si>
    <t>Senegal</t>
  </si>
  <si>
    <t>SEN</t>
  </si>
  <si>
    <t>Serbia</t>
  </si>
  <si>
    <t>SRB</t>
  </si>
  <si>
    <t>Sierra Leone</t>
  </si>
  <si>
    <t>SLE</t>
  </si>
  <si>
    <t>Singapore</t>
  </si>
  <si>
    <t>SGP</t>
  </si>
  <si>
    <t>Slovak Republic</t>
  </si>
  <si>
    <t>SVK</t>
  </si>
  <si>
    <t>Slovenia</t>
  </si>
  <si>
    <t>SVN</t>
  </si>
  <si>
    <t>Solomon Islands</t>
  </si>
  <si>
    <t>SLB</t>
  </si>
  <si>
    <t>Somalia, Fed. Rep.</t>
  </si>
  <si>
    <t>SOM</t>
  </si>
  <si>
    <t>South Africa</t>
  </si>
  <si>
    <t>ZAF</t>
  </si>
  <si>
    <t>South Sudan</t>
  </si>
  <si>
    <t>SSD</t>
  </si>
  <si>
    <t>Spain</t>
  </si>
  <si>
    <t>ESP</t>
  </si>
  <si>
    <t>Sri Lanka</t>
  </si>
  <si>
    <t>LKA</t>
  </si>
  <si>
    <t>St. Lucia</t>
  </si>
  <si>
    <t>LCA</t>
  </si>
  <si>
    <t>St. Vincent and the Grenadines</t>
  </si>
  <si>
    <t>VCT</t>
  </si>
  <si>
    <t>Sudan</t>
  </si>
  <si>
    <t>SDN</t>
  </si>
  <si>
    <t>Suriname</t>
  </si>
  <si>
    <t>SUR</t>
  </si>
  <si>
    <t>Sweden</t>
  </si>
  <si>
    <t>SWE</t>
  </si>
  <si>
    <t>Switzerland</t>
  </si>
  <si>
    <t>CHE</t>
  </si>
  <si>
    <t>Syrian Arab Republic</t>
  </si>
  <si>
    <t>SYR</t>
  </si>
  <si>
    <t>Tajikistan</t>
  </si>
  <si>
    <t>TJK</t>
  </si>
  <si>
    <t>Tanzania</t>
  </si>
  <si>
    <t>TZA</t>
  </si>
  <si>
    <t>Thailand</t>
  </si>
  <si>
    <t>THA</t>
  </si>
  <si>
    <t>Timor-Leste</t>
  </si>
  <si>
    <t>TLS</t>
  </si>
  <si>
    <t>Togo</t>
  </si>
  <si>
    <t>TGO</t>
  </si>
  <si>
    <t>Tonga</t>
  </si>
  <si>
    <t>TON</t>
  </si>
  <si>
    <t>Trinidad and Tobago</t>
  </si>
  <si>
    <t>TTO</t>
  </si>
  <si>
    <t>Tunisia</t>
  </si>
  <si>
    <t>TUN</t>
  </si>
  <si>
    <t>Turkiye</t>
  </si>
  <si>
    <t>TUR</t>
  </si>
  <si>
    <t>Turkmenistan</t>
  </si>
  <si>
    <t>TKM</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</si>
  <si>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</si>
  <si>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</si>
  <si>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</si>
  <si>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</si>
  <si>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</si>
  <si>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</si>
  <si>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</si>
  <si>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</si>
  <si>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</si>
  <si>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</si>
  <si>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</si>
  <si>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</si>
  <si>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</si>
  <si>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</si>
  <si>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</si>
  <si>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</si>
  <si>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</si>
  <si>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</si>
  <si>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 Nam</t>
  </si>
  <si>
    <t>VNM</t>
  </si>
  <si>
    <t>West Bank and Gaza</t>
  </si>
  <si>
    <t>PSE</t>
  </si>
  <si>
    <t>Yemen, Rep.</t>
  </si>
  <si>
    <t>YEM</t>
  </si>
  <si>
    <t>Zambia</t>
  </si>
  <si>
    <t>ZMB</t>
  </si>
  <si>
    <t>Zimbabwe</t>
  </si>
  <si>
    <t>ZWE</t>
  </si>
  <si>
    <t>Year</t>
  </si>
  <si>
    <t>Male</t>
  </si>
  <si>
    <t>Female</t>
  </si>
  <si>
    <t>Difference</t>
  </si>
  <si>
    <t>Series Code</t>
  </si>
  <si>
    <t>SG.GEN.PARL.ZS</t>
  </si>
  <si>
    <t>Seychelles</t>
  </si>
  <si>
    <t>SYC</t>
  </si>
  <si>
    <t>EMs</t>
  </si>
  <si>
    <t>AEs</t>
  </si>
  <si>
    <t>Indicator Name</t>
  </si>
  <si>
    <t>Indicator Code</t>
  </si>
  <si>
    <t>Latest</t>
  </si>
  <si>
    <t>School enrollment, preprimary, female (% gross)</t>
  </si>
  <si>
    <t>SE.PRE.ENRR.FE</t>
  </si>
  <si>
    <t>Pre-primary</t>
  </si>
  <si>
    <t>Primary</t>
  </si>
  <si>
    <t>Secondary</t>
  </si>
  <si>
    <t>Tertiary</t>
  </si>
  <si>
    <t>School enrollment, preprimary, male (% gross)</t>
  </si>
  <si>
    <t>SE.PRE.ENRR.MA</t>
  </si>
  <si>
    <t>Ratio</t>
  </si>
  <si>
    <t>School enrollment, primary, female (% gross)</t>
  </si>
  <si>
    <t>SE.PRM.ENRR.FE</t>
  </si>
  <si>
    <t>School enrollment, primary, male (% gross)</t>
  </si>
  <si>
    <t>SE.PRM.ENRR.MA</t>
  </si>
  <si>
    <t>School enrollment, secondary, female (% gross)</t>
  </si>
  <si>
    <t>SE.SEC.ENRR.FE</t>
  </si>
  <si>
    <t>School enrollment, secondary, male (% gross)</t>
  </si>
  <si>
    <t>SE.SEC.ENRR.MA</t>
  </si>
  <si>
    <t>School enrollment, tertiary, female (% gross)</t>
  </si>
  <si>
    <t>SE.TER.ENRR.FE</t>
  </si>
  <si>
    <t>School enrollment, tertiary, male (% gross)</t>
  </si>
  <si>
    <t>SE.TER.ENRR.MA</t>
  </si>
  <si>
    <t>School Enrollment Ratio (F/M)</t>
  </si>
  <si>
    <t>Country</t>
  </si>
  <si>
    <t>Acct. Own</t>
  </si>
  <si>
    <t>Gap</t>
  </si>
  <si>
    <t>WBL Score</t>
  </si>
  <si>
    <t>Report</t>
  </si>
  <si>
    <t>Côte d'Ivoire</t>
  </si>
  <si>
    <t>São Tomé and Príncipe</t>
  </si>
  <si>
    <t>Code</t>
  </si>
  <si>
    <t>Proportion of seats held by women in national parliaments</t>
  </si>
  <si>
    <t>GII</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</si>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</sst>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0"/>
      <color theme="1"/>
      <name val="Arial"/>
      <family val="2"/>
    </font>
    <font>
      <sz val="11"/>
      <color theme="1"/>
      <name val="Arial"/>
      <family val="2"/>
      <scheme val="minor"/>
    </font>
    <font>
      <b/>
      <sz val="11"/>
      <color theme="1"/>
      <name val="Arial"/>
      <family val="2"/>
      <scheme val="minor"/>
    </font>
    <font>
      <b/>
      <sz val="11"/>
      <color theme="0"/>
      <name val="Arial"/>
      <family val="2"/>
      <scheme val="minor"/>
    </font>
    <font>
      <b/>
      <sz val="10"/>
      <color theme="0"/>
      <name val="Arial"/>
      <family val="2"/>
    </font>
    <font>
      <b/>
      <sz val="10"/>
      <color theme="1"/>
      <name val="Arial"/>
      <family val="2"/>
    </font>
    <font>
      <sz val="10"/>
      <color theme="1"/>
      <name val="Arial"/>
      <family val="2"/>
    </font>
    <font>
      <sz val="10"/>
      <color theme="0"/>
      <name val="Arial"/>
      <family val="2"/>
    </font>
    <font>
      <sz val="18"/>
      <color rgb="FF4B82AD"/>
      <name val="Segoe UI"/>
      <family val="2"/>
    </font>
    <font>
      <b/>
      <sz val="24"/>
      <color rgb="FF4B82AD"/>
      <name val="Segoe UI"/>
      <family val="2"/>
    </font>
    <font>
      <sz val="8"/>
      <color theme="1"/>
      <name val="Arial"/>
      <family val="2"/>
    </font>
  </fonts>
  <fills count="5">
    <fill>
      <patternFill patternType="none"/>
    </fill>
    <fill>
      <patternFill patternType="gray125"/>
    </fill>
    <fill>
      <patternFill patternType="solid">
        <fgColor theme="3"/>
        <bgColor indexed="64"/>
      </patternFill>
    </fill>
    <fill>
      <patternFill patternType="solid">
        <fgColor rgb="FFFFFFFF"/>
        <bgColor indexed="64"/>
      </patternFill>
    </fill>
    <fill>
      <patternFill patternType="solid">
        <fgColor rgb="FFF4F4F4"/>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3">
    <xf numFmtId="0" fontId="0" fillId="0" borderId="0"/>
    <xf numFmtId="0" fontId="1" fillId="0" borderId="0"/>
    <xf numFmtId="0" fontId="6" fillId="0" borderId="0"/>
  </cellStyleXfs>
  <cellXfs count="41">
    <xf numFmtId="0" fontId="0" fillId="0" borderId="0" xfId="0"/>
    <xf numFmtId="0" fontId="1" fillId="0" borderId="0" xfId="1"/>
    <xf numFmtId="2" fontId="1" fillId="0" borderId="1" xfId="1" applyNumberFormat="1" applyBorder="1" applyAlignment="1">
      <alignment horizontal="center"/>
    </xf>
    <xf numFmtId="1" fontId="2" fillId="0" borderId="1" xfId="1" applyNumberFormat="1" applyFont="1" applyBorder="1" applyAlignment="1">
      <alignment horizontal="center"/>
    </xf>
    <xf numFmtId="0" fontId="3" fillId="2" borderId="1" xfId="1" applyFont="1" applyFill="1" applyBorder="1" applyAlignment="1">
      <alignment horizontal="center"/>
    </xf>
    <xf numFmtId="0" fontId="4" fillId="2" borderId="1" xfId="0" applyFont="1" applyFill="1" applyBorder="1" applyAlignment="1">
      <alignment horizontal="left"/>
    </xf>
    <xf numFmtId="0" fontId="0" fillId="0" borderId="1" xfId="0" applyBorder="1" applyAlignment="1">
      <alignment horizontal="center"/>
    </xf>
    <xf numFmtId="164" fontId="0" fillId="0" borderId="1" xfId="0" applyNumberFormat="1" applyBorder="1" applyAlignment="1">
      <alignment horizontal="center"/>
    </xf>
    <xf numFmtId="0" fontId="0" fillId="0" borderId="1" xfId="0" applyBorder="1"/>
    <xf numFmtId="49" fontId="0" fillId="0" borderId="1" xfId="0" applyNumberFormat="1" applyBorder="1"/>
    <xf numFmtId="2" fontId="0" fillId="0" borderId="1" xfId="0" applyNumberFormat="1" applyBorder="1" applyAlignment="1">
      <alignment horizontal="center"/>
    </xf>
    <xf numFmtId="0" fontId="5" fillId="0" borderId="1" xfId="0" applyFont="1" applyBorder="1"/>
    <xf numFmtId="0" fontId="3" fillId="2" borderId="1" xfId="0" applyFont="1" applyFill="1" applyBorder="1"/>
    <xf numFmtId="49" fontId="3" fillId="2" borderId="1" xfId="0" applyNumberFormat="1" applyFont="1" applyFill="1" applyBorder="1"/>
    <xf numFmtId="49" fontId="3" fillId="2" borderId="1" xfId="0" applyNumberFormat="1" applyFont="1" applyFill="1" applyBorder="1" applyAlignment="1">
      <alignment horizontal="center"/>
    </xf>
    <xf numFmtId="0" fontId="3" fillId="2" borderId="1" xfId="0" applyFont="1" applyFill="1" applyBorder="1" applyAlignment="1">
      <alignment horizontal="center"/>
    </xf>
    <xf numFmtId="0" fontId="4" fillId="2" borderId="1" xfId="0" applyFont="1" applyFill="1" applyBorder="1" applyAlignment="1">
      <alignment horizontal="center"/>
    </xf>
    <xf numFmtId="0" fontId="4" fillId="2" borderId="1" xfId="0" applyFont="1" applyFill="1" applyBorder="1"/>
    <xf numFmtId="0" fontId="6" fillId="0" borderId="0" xfId="2"/>
    <xf numFmtId="0" fontId="7" fillId="0" borderId="0" xfId="2" applyFont="1"/>
    <xf numFmtId="0" fontId="6" fillId="0" borderId="1" xfId="2" applyBorder="1" applyAlignment="1">
      <alignment horizontal="center"/>
    </xf>
    <xf numFmtId="164" fontId="6" fillId="0" borderId="1" xfId="2" applyNumberFormat="1" applyBorder="1" applyAlignment="1">
      <alignment horizontal="center"/>
    </xf>
    <xf numFmtId="0" fontId="3" fillId="2" borderId="1" xfId="2" applyFont="1" applyFill="1" applyBorder="1"/>
    <xf numFmtId="49" fontId="3" fillId="2" borderId="1" xfId="2" applyNumberFormat="1" applyFont="1" applyFill="1" applyBorder="1"/>
    <xf numFmtId="49" fontId="3" fillId="2" borderId="1" xfId="2" applyNumberFormat="1" applyFont="1" applyFill="1" applyBorder="1" applyAlignment="1">
      <alignment horizontal="center"/>
    </xf>
    <xf numFmtId="0" fontId="3" fillId="2" borderId="1" xfId="2" applyFont="1" applyFill="1" applyBorder="1" applyAlignment="1">
      <alignment horizontal="center"/>
    </xf>
    <xf numFmtId="0" fontId="8" fillId="0" borderId="0" xfId="0" applyFont="1" applyAlignment="1">
      <alignment horizontal="left" vertical="center" readingOrder="1"/>
    </xf>
    <xf numFmtId="0" fontId="9" fillId="0" borderId="0" xfId="0" applyFont="1" applyAlignment="1">
      <alignment horizontal="left" vertical="center" readingOrder="1"/>
    </xf>
    <xf numFmtId="1" fontId="0" fillId="0" borderId="1" xfId="0" applyNumberFormat="1" applyBorder="1" applyAlignment="1">
      <alignment horizontal="center"/>
    </xf>
    <xf numFmtId="164" fontId="0" fillId="0" borderId="1" xfId="0" applyNumberFormat="1" applyBorder="1"/>
    <xf numFmtId="0" fontId="3" fillId="2" borderId="1" xfId="0" applyFont="1" applyFill="1" applyBorder="1" applyAlignment="1">
      <alignment horizontal="left"/>
    </xf>
    <xf numFmtId="0" fontId="3" fillId="2" borderId="1" xfId="1" applyFont="1" applyFill="1" applyBorder="1" applyAlignment="1">
      <alignment horizontal="center"/>
    </xf>
    <xf numFmtId="0" fontId="4" fillId="2" borderId="1" xfId="0" applyFont="1" applyFill="1" applyBorder="1" applyAlignment="1">
      <alignment horizontal="center"/>
    </xf>
    <xf numFmtId="0" fontId="10" fillId="3" borderId="2" xfId="0" applyFont="1" applyFill="1" applyBorder="1" applyAlignment="1">
      <alignment vertical="center" wrapText="1"/>
    </xf>
    <xf numFmtId="0" fontId="10" fillId="4" borderId="2" xfId="0" applyFont="1" applyFill="1" applyBorder="1" applyAlignment="1">
      <alignment vertical="center" wrapText="1"/>
    </xf>
    <xf numFmtId="0" fontId="0" fillId="0" borderId="0" xfId="0" applyAlignment="1">
      <alignment horizontal="center"/>
    </xf>
    <xf numFmtId="0" fontId="10" fillId="3" borderId="3" xfId="0" applyFont="1" applyFill="1" applyBorder="1" applyAlignment="1">
      <alignment horizontal="center" vertical="center" wrapText="1"/>
    </xf>
    <xf numFmtId="0" fontId="10" fillId="4" borderId="3" xfId="0" applyFont="1" applyFill="1" applyBorder="1" applyAlignment="1">
      <alignment horizontal="center" vertical="center" wrapText="1"/>
    </xf>
    <xf numFmtId="9" fontId="10" fillId="4" borderId="4" xfId="0" applyNumberFormat="1" applyFont="1" applyFill="1" applyBorder="1" applyAlignment="1">
      <alignment horizontal="right" vertical="center" wrapText="1"/>
    </xf>
    <xf numFmtId="9" fontId="10" fillId="3" borderId="4" xfId="0" applyNumberFormat="1" applyFont="1" applyFill="1" applyBorder="1" applyAlignment="1">
      <alignment horizontal="right" vertical="center" wrapText="1"/>
    </xf>
    <xf numFmtId="9" fontId="0" fillId="0" borderId="0" xfId="0" applyNumberFormat="1" applyAlignment="1">
      <alignment horizontal="right"/>
    </xf>
  </cellXfs>
  <cellStyles count="3">
    <cellStyle name="Normal" xfId="0" builtinId="0"/>
    <cellStyle name="Normal 2" xfId="1" xr:uid="{0B916B80-A1C8-4029-96CA-1B4CD93A54D8}"/>
    <cellStyle name="Normal 2 2" xfId="2" xr:uid="{9A0A4E7C-DB12-447B-B112-D39564C0C7A4}"/>
  </cellStyles>
  <dxfs count="0"/>
  <tableStyles count="0" defaultTableStyle="TableStyleMedium2" defaultPivotStyle="PivotStyleLight16"/>
  <colors>
    <mruColors>
      <color rgb="FFB3B3B3"/>
      <color rgb="FF00B050"/>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20/07/relationships/rdRichValueWebImage" Target="richData/rdRichValueWebImage.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heetMetadata" Target="metadata.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microsoft.com/office/2017/06/relationships/rdArray" Target="richData/rdarray.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microsoft.com/office/2017/06/relationships/rdSupportingPropertyBag" Target="richData/rdsupportingpropertybag.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5.xml"/><Relationship Id="rId1" Type="http://schemas.openxmlformats.org/officeDocument/2006/relationships/themeOverride" Target="../theme/themeOverride2.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3.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002337801141051E-2"/>
          <c:y val="0.12815839683696972"/>
          <c:w val="0.9285923753665688"/>
          <c:h val="0.79515640766902118"/>
        </c:manualLayout>
      </c:layout>
      <c:scatterChart>
        <c:scatterStyle val="lineMarker"/>
        <c:varyColors val="0"/>
        <c:ser>
          <c:idx val="0"/>
          <c:order val="0"/>
          <c:tx>
            <c:strRef>
              <c:f>LFP!$C$2</c:f>
              <c:strCache>
                <c:ptCount val="1"/>
                <c:pt idx="0">
                  <c:v>Female</c:v>
                </c:pt>
              </c:strCache>
            </c:strRef>
          </c:tx>
          <c:spPr>
            <a:ln w="25400">
              <a:noFill/>
            </a:ln>
            <a:effectLst/>
          </c:spPr>
          <c:marker>
            <c:symbol val="circle"/>
            <c:size val="5"/>
            <c:spPr>
              <a:solidFill>
                <a:srgbClr val="C00000"/>
              </a:solidFill>
              <a:ln w="9525">
                <a:noFill/>
              </a:ln>
            </c:spPr>
          </c:marker>
          <c:errBars>
            <c:errDir val="y"/>
            <c:errBarType val="plus"/>
            <c:errValType val="cust"/>
            <c:noEndCap val="1"/>
            <c:plus>
              <c:numRef>
                <c:f>LFP!$D$3:$D$37</c:f>
                <c:numCache>
                  <c:formatCode>General</c:formatCode>
                  <c:ptCount val="35"/>
                  <c:pt idx="0">
                    <c:v>11.169930232558158</c:v>
                  </c:pt>
                  <c:pt idx="1">
                    <c:v>11.202000000000012</c:v>
                  </c:pt>
                  <c:pt idx="2">
                    <c:v>11.243409090909104</c:v>
                  </c:pt>
                  <c:pt idx="3">
                    <c:v>11.518818181818176</c:v>
                  </c:pt>
                  <c:pt idx="4">
                    <c:v>11.237386363636361</c:v>
                  </c:pt>
                  <c:pt idx="5">
                    <c:v>11.610045454545414</c:v>
                  </c:pt>
                  <c:pt idx="6">
                    <c:v>11.653431818181808</c:v>
                  </c:pt>
                  <c:pt idx="7">
                    <c:v>11.575181818181832</c:v>
                  </c:pt>
                  <c:pt idx="8">
                    <c:v>11.50413636363637</c:v>
                  </c:pt>
                  <c:pt idx="9">
                    <c:v>11.508113636363632</c:v>
                  </c:pt>
                  <c:pt idx="10">
                    <c:v>11.34056818181822</c:v>
                  </c:pt>
                  <c:pt idx="11">
                    <c:v>11.297159090909098</c:v>
                  </c:pt>
                  <c:pt idx="12">
                    <c:v>11.221909090909108</c:v>
                  </c:pt>
                  <c:pt idx="13">
                    <c:v>11.346272727272741</c:v>
                  </c:pt>
                  <c:pt idx="14">
                    <c:v>11.25479545454548</c:v>
                  </c:pt>
                  <c:pt idx="15">
                    <c:v>11.247977272727262</c:v>
                  </c:pt>
                  <c:pt idx="16">
                    <c:v>11.287977272727296</c:v>
                  </c:pt>
                  <c:pt idx="17">
                    <c:v>11.359386363636354</c:v>
                  </c:pt>
                  <c:pt idx="18">
                    <c:v>11.462977272727258</c:v>
                  </c:pt>
                  <c:pt idx="19">
                    <c:v>11.558386363636345</c:v>
                  </c:pt>
                  <c:pt idx="20">
                    <c:v>11.669613636363643</c:v>
                  </c:pt>
                  <c:pt idx="21">
                    <c:v>11.848931818181818</c:v>
                  </c:pt>
                  <c:pt idx="22">
                    <c:v>12.075909090909057</c:v>
                  </c:pt>
                  <c:pt idx="23">
                    <c:v>12.347886363636377</c:v>
                  </c:pt>
                  <c:pt idx="24">
                    <c:v>12.643000000000008</c:v>
                  </c:pt>
                  <c:pt idx="25">
                    <c:v>12.88181818181819</c:v>
                  </c:pt>
                  <c:pt idx="26">
                    <c:v>13.205181818181828</c:v>
                  </c:pt>
                  <c:pt idx="27">
                    <c:v>13.537977272727282</c:v>
                  </c:pt>
                  <c:pt idx="28">
                    <c:v>13.764977272727258</c:v>
                  </c:pt>
                  <c:pt idx="29">
                    <c:v>13.961386363636379</c:v>
                  </c:pt>
                  <c:pt idx="30">
                    <c:v>14.142840909090914</c:v>
                  </c:pt>
                  <c:pt idx="31">
                    <c:v>14.221181818181854</c:v>
                  </c:pt>
                  <c:pt idx="32">
                    <c:v>14.308659090909117</c:v>
                  </c:pt>
                  <c:pt idx="33">
                    <c:v>14.419568181818192</c:v>
                  </c:pt>
                  <c:pt idx="34">
                    <c:v>14.488568181818202</c:v>
                  </c:pt>
                </c:numCache>
              </c:numRef>
            </c:plus>
            <c:minus>
              <c:numRef>
                <c:f>LFP!$D$3:$D$37</c:f>
                <c:numCache>
                  <c:formatCode>General</c:formatCode>
                  <c:ptCount val="35"/>
                  <c:pt idx="0">
                    <c:v>11.169930232558158</c:v>
                  </c:pt>
                  <c:pt idx="1">
                    <c:v>11.202000000000012</c:v>
                  </c:pt>
                  <c:pt idx="2">
                    <c:v>11.243409090909104</c:v>
                  </c:pt>
                  <c:pt idx="3">
                    <c:v>11.518818181818176</c:v>
                  </c:pt>
                  <c:pt idx="4">
                    <c:v>11.237386363636361</c:v>
                  </c:pt>
                  <c:pt idx="5">
                    <c:v>11.610045454545414</c:v>
                  </c:pt>
                  <c:pt idx="6">
                    <c:v>11.653431818181808</c:v>
                  </c:pt>
                  <c:pt idx="7">
                    <c:v>11.575181818181832</c:v>
                  </c:pt>
                  <c:pt idx="8">
                    <c:v>11.50413636363637</c:v>
                  </c:pt>
                  <c:pt idx="9">
                    <c:v>11.508113636363632</c:v>
                  </c:pt>
                  <c:pt idx="10">
                    <c:v>11.34056818181822</c:v>
                  </c:pt>
                  <c:pt idx="11">
                    <c:v>11.297159090909098</c:v>
                  </c:pt>
                  <c:pt idx="12">
                    <c:v>11.221909090909108</c:v>
                  </c:pt>
                  <c:pt idx="13">
                    <c:v>11.346272727272741</c:v>
                  </c:pt>
                  <c:pt idx="14">
                    <c:v>11.25479545454548</c:v>
                  </c:pt>
                  <c:pt idx="15">
                    <c:v>11.247977272727262</c:v>
                  </c:pt>
                  <c:pt idx="16">
                    <c:v>11.287977272727296</c:v>
                  </c:pt>
                  <c:pt idx="17">
                    <c:v>11.359386363636354</c:v>
                  </c:pt>
                  <c:pt idx="18">
                    <c:v>11.462977272727258</c:v>
                  </c:pt>
                  <c:pt idx="19">
                    <c:v>11.558386363636345</c:v>
                  </c:pt>
                  <c:pt idx="20">
                    <c:v>11.669613636363643</c:v>
                  </c:pt>
                  <c:pt idx="21">
                    <c:v>11.848931818181818</c:v>
                  </c:pt>
                  <c:pt idx="22">
                    <c:v>12.075909090909057</c:v>
                  </c:pt>
                  <c:pt idx="23">
                    <c:v>12.347886363636377</c:v>
                  </c:pt>
                  <c:pt idx="24">
                    <c:v>12.643000000000008</c:v>
                  </c:pt>
                  <c:pt idx="25">
                    <c:v>12.88181818181819</c:v>
                  </c:pt>
                  <c:pt idx="26">
                    <c:v>13.205181818181828</c:v>
                  </c:pt>
                  <c:pt idx="27">
                    <c:v>13.537977272727282</c:v>
                  </c:pt>
                  <c:pt idx="28">
                    <c:v>13.764977272727258</c:v>
                  </c:pt>
                  <c:pt idx="29">
                    <c:v>13.961386363636379</c:v>
                  </c:pt>
                  <c:pt idx="30">
                    <c:v>14.142840909090914</c:v>
                  </c:pt>
                  <c:pt idx="31">
                    <c:v>14.221181818181854</c:v>
                  </c:pt>
                  <c:pt idx="32">
                    <c:v>14.308659090909117</c:v>
                  </c:pt>
                  <c:pt idx="33">
                    <c:v>14.419568181818192</c:v>
                  </c:pt>
                  <c:pt idx="34">
                    <c:v>14.488568181818202</c:v>
                  </c:pt>
                </c:numCache>
              </c:numRef>
            </c:minus>
            <c:spPr>
              <a:ln>
                <a:solidFill>
                  <a:schemeClr val="tx2"/>
                </a:solidFill>
                <a:prstDash val="dash"/>
              </a:ln>
            </c:spPr>
          </c:errBars>
          <c:errBars>
            <c:errDir val="x"/>
            <c:errBarType val="both"/>
            <c:errValType val="fixedVal"/>
            <c:noEndCap val="0"/>
            <c:val val="1"/>
            <c:spPr>
              <a:ln>
                <a:noFill/>
              </a:ln>
            </c:spPr>
          </c:errBars>
          <c:xVal>
            <c:numRef>
              <c:f>LFP!$A$3:$A$37</c:f>
              <c:numCache>
                <c:formatCode>0</c:formatCode>
                <c:ptCount val="35"/>
                <c:pt idx="0">
                  <c:v>2025</c:v>
                </c:pt>
                <c:pt idx="1">
                  <c:v>2024</c:v>
                </c:pt>
                <c:pt idx="2">
                  <c:v>2023</c:v>
                </c:pt>
                <c:pt idx="3">
                  <c:v>2022</c:v>
                </c:pt>
                <c:pt idx="4">
                  <c:v>2021</c:v>
                </c:pt>
                <c:pt idx="5">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numCache>
            </c:numRef>
          </c:xVal>
          <c:yVal>
            <c:numRef>
              <c:f>LFP!$C$3:$C$37</c:f>
              <c:numCache>
                <c:formatCode>0.00</c:formatCode>
                <c:ptCount val="35"/>
                <c:pt idx="0">
                  <c:v>59.2470930232558</c:v>
                </c:pt>
                <c:pt idx="1">
                  <c:v>59.29265116279069</c:v>
                </c:pt>
                <c:pt idx="2">
                  <c:v>59.527068181818159</c:v>
                </c:pt>
                <c:pt idx="3">
                  <c:v>59.017204545454547</c:v>
                </c:pt>
                <c:pt idx="4">
                  <c:v>58.440750000000008</c:v>
                </c:pt>
                <c:pt idx="5">
                  <c:v>58.046863636363653</c:v>
                </c:pt>
                <c:pt idx="6">
                  <c:v>58.957636363636361</c:v>
                </c:pt>
                <c:pt idx="7">
                  <c:v>59.111159090909084</c:v>
                </c:pt>
                <c:pt idx="8">
                  <c:v>59.400636363636345</c:v>
                </c:pt>
                <c:pt idx="9">
                  <c:v>59.796931818181818</c:v>
                </c:pt>
                <c:pt idx="10">
                  <c:v>60.019272727272714</c:v>
                </c:pt>
                <c:pt idx="11">
                  <c:v>60.222136363636359</c:v>
                </c:pt>
                <c:pt idx="12">
                  <c:v>60.714590909090902</c:v>
                </c:pt>
                <c:pt idx="13">
                  <c:v>60.387340909090902</c:v>
                </c:pt>
                <c:pt idx="14">
                  <c:v>60.83949999999998</c:v>
                </c:pt>
                <c:pt idx="15">
                  <c:v>60.860090909090907</c:v>
                </c:pt>
                <c:pt idx="16">
                  <c:v>61.037136363636343</c:v>
                </c:pt>
                <c:pt idx="17">
                  <c:v>61.206568181818177</c:v>
                </c:pt>
                <c:pt idx="18">
                  <c:v>61.322045454545446</c:v>
                </c:pt>
                <c:pt idx="19">
                  <c:v>61.424204545454558</c:v>
                </c:pt>
                <c:pt idx="20">
                  <c:v>61.519363636363657</c:v>
                </c:pt>
                <c:pt idx="21">
                  <c:v>61.529499999999992</c:v>
                </c:pt>
                <c:pt idx="22">
                  <c:v>61.527363636363653</c:v>
                </c:pt>
                <c:pt idx="23">
                  <c:v>61.431840909090894</c:v>
                </c:pt>
                <c:pt idx="24">
                  <c:v>61.345681818181809</c:v>
                </c:pt>
                <c:pt idx="25">
                  <c:v>61.34229545454545</c:v>
                </c:pt>
                <c:pt idx="26">
                  <c:v>61.291886363636351</c:v>
                </c:pt>
                <c:pt idx="27">
                  <c:v>61.21943181818181</c:v>
                </c:pt>
                <c:pt idx="28">
                  <c:v>61.189636363636374</c:v>
                </c:pt>
                <c:pt idx="29">
                  <c:v>61.178590909090914</c:v>
                </c:pt>
                <c:pt idx="30">
                  <c:v>61.174818181818189</c:v>
                </c:pt>
                <c:pt idx="31">
                  <c:v>61.163613636363614</c:v>
                </c:pt>
                <c:pt idx="32">
                  <c:v>61.144386363636343</c:v>
                </c:pt>
                <c:pt idx="33">
                  <c:v>61.124568181818177</c:v>
                </c:pt>
                <c:pt idx="34">
                  <c:v>61.105954545454559</c:v>
                </c:pt>
              </c:numCache>
            </c:numRef>
          </c:yVal>
          <c:smooth val="0"/>
          <c:extLst>
            <c:ext xmlns:c16="http://schemas.microsoft.com/office/drawing/2014/chart" uri="{C3380CC4-5D6E-409C-BE32-E72D297353CC}">
              <c16:uniqueId val="{00000000-23C4-4CD2-9FB2-6F2EF4F75A6C}"/>
            </c:ext>
          </c:extLst>
        </c:ser>
        <c:ser>
          <c:idx val="1"/>
          <c:order val="1"/>
          <c:tx>
            <c:strRef>
              <c:f>LFP!$B$2</c:f>
              <c:strCache>
                <c:ptCount val="1"/>
                <c:pt idx="0">
                  <c:v>Male</c:v>
                </c:pt>
              </c:strCache>
            </c:strRef>
          </c:tx>
          <c:spPr>
            <a:ln w="25400">
              <a:noFill/>
            </a:ln>
            <a:effectLst/>
          </c:spPr>
          <c:marker>
            <c:symbol val="diamond"/>
            <c:size val="7"/>
            <c:spPr>
              <a:solidFill>
                <a:srgbClr val="004C97"/>
              </a:solidFill>
              <a:ln w="9525">
                <a:noFill/>
              </a:ln>
            </c:spPr>
          </c:marker>
          <c:xVal>
            <c:numRef>
              <c:f>LFP!$A$3:$A$37</c:f>
              <c:numCache>
                <c:formatCode>0</c:formatCode>
                <c:ptCount val="35"/>
                <c:pt idx="0">
                  <c:v>2025</c:v>
                </c:pt>
                <c:pt idx="1">
                  <c:v>2024</c:v>
                </c:pt>
                <c:pt idx="2">
                  <c:v>2023</c:v>
                </c:pt>
                <c:pt idx="3">
                  <c:v>2022</c:v>
                </c:pt>
                <c:pt idx="4">
                  <c:v>2021</c:v>
                </c:pt>
                <c:pt idx="5">
                  <c:v>2020</c:v>
                </c:pt>
                <c:pt idx="6">
                  <c:v>2019</c:v>
                </c:pt>
                <c:pt idx="7">
                  <c:v>2018</c:v>
                </c:pt>
                <c:pt idx="8">
                  <c:v>2017</c:v>
                </c:pt>
                <c:pt idx="9">
                  <c:v>2016</c:v>
                </c:pt>
                <c:pt idx="10">
                  <c:v>2015</c:v>
                </c:pt>
                <c:pt idx="11">
                  <c:v>2014</c:v>
                </c:pt>
                <c:pt idx="12">
                  <c:v>2013</c:v>
                </c:pt>
                <c:pt idx="13">
                  <c:v>2012</c:v>
                </c:pt>
                <c:pt idx="14">
                  <c:v>2011</c:v>
                </c:pt>
                <c:pt idx="15">
                  <c:v>2010</c:v>
                </c:pt>
                <c:pt idx="16">
                  <c:v>2009</c:v>
                </c:pt>
                <c:pt idx="17">
                  <c:v>2008</c:v>
                </c:pt>
                <c:pt idx="18">
                  <c:v>2007</c:v>
                </c:pt>
                <c:pt idx="19">
                  <c:v>2006</c:v>
                </c:pt>
                <c:pt idx="20">
                  <c:v>2005</c:v>
                </c:pt>
                <c:pt idx="21">
                  <c:v>2004</c:v>
                </c:pt>
                <c:pt idx="22">
                  <c:v>2003</c:v>
                </c:pt>
                <c:pt idx="23">
                  <c:v>2002</c:v>
                </c:pt>
                <c:pt idx="24">
                  <c:v>2001</c:v>
                </c:pt>
                <c:pt idx="25">
                  <c:v>2000</c:v>
                </c:pt>
                <c:pt idx="26">
                  <c:v>1999</c:v>
                </c:pt>
                <c:pt idx="27">
                  <c:v>1998</c:v>
                </c:pt>
                <c:pt idx="28">
                  <c:v>1997</c:v>
                </c:pt>
                <c:pt idx="29">
                  <c:v>1996</c:v>
                </c:pt>
                <c:pt idx="30">
                  <c:v>1995</c:v>
                </c:pt>
                <c:pt idx="31">
                  <c:v>1994</c:v>
                </c:pt>
                <c:pt idx="32">
                  <c:v>1993</c:v>
                </c:pt>
                <c:pt idx="33">
                  <c:v>1992</c:v>
                </c:pt>
                <c:pt idx="34">
                  <c:v>1991</c:v>
                </c:pt>
              </c:numCache>
            </c:numRef>
          </c:xVal>
          <c:yVal>
            <c:numRef>
              <c:f>LFP!$B$3:$B$37</c:f>
              <c:numCache>
                <c:formatCode>0.00</c:formatCode>
                <c:ptCount val="35"/>
                <c:pt idx="0">
                  <c:v>70.417023255813959</c:v>
                </c:pt>
                <c:pt idx="1">
                  <c:v>70.494651162790703</c:v>
                </c:pt>
                <c:pt idx="2">
                  <c:v>70.770477272727263</c:v>
                </c:pt>
                <c:pt idx="3">
                  <c:v>70.536022727272723</c:v>
                </c:pt>
                <c:pt idx="4">
                  <c:v>69.678136363636369</c:v>
                </c:pt>
                <c:pt idx="5">
                  <c:v>69.656909090909068</c:v>
                </c:pt>
                <c:pt idx="6">
                  <c:v>70.611068181818169</c:v>
                </c:pt>
                <c:pt idx="7">
                  <c:v>70.686340909090916</c:v>
                </c:pt>
                <c:pt idx="8">
                  <c:v>70.904772727272714</c:v>
                </c:pt>
                <c:pt idx="9">
                  <c:v>71.30504545454545</c:v>
                </c:pt>
                <c:pt idx="10">
                  <c:v>71.359840909090934</c:v>
                </c:pt>
                <c:pt idx="11">
                  <c:v>71.519295454545457</c:v>
                </c:pt>
                <c:pt idx="12">
                  <c:v>71.936500000000009</c:v>
                </c:pt>
                <c:pt idx="13">
                  <c:v>71.733613636363643</c:v>
                </c:pt>
                <c:pt idx="14">
                  <c:v>72.09429545454546</c:v>
                </c:pt>
                <c:pt idx="15">
                  <c:v>72.108068181818169</c:v>
                </c:pt>
                <c:pt idx="16">
                  <c:v>72.325113636363639</c:v>
                </c:pt>
                <c:pt idx="17">
                  <c:v>72.565954545454531</c:v>
                </c:pt>
                <c:pt idx="18">
                  <c:v>72.785022727272704</c:v>
                </c:pt>
                <c:pt idx="19">
                  <c:v>72.982590909090902</c:v>
                </c:pt>
                <c:pt idx="20">
                  <c:v>73.1889772727273</c:v>
                </c:pt>
                <c:pt idx="21">
                  <c:v>73.378431818181809</c:v>
                </c:pt>
                <c:pt idx="22">
                  <c:v>73.60327272727271</c:v>
                </c:pt>
                <c:pt idx="23">
                  <c:v>73.779727272727271</c:v>
                </c:pt>
                <c:pt idx="24">
                  <c:v>73.988681818181817</c:v>
                </c:pt>
                <c:pt idx="25">
                  <c:v>74.22411363636364</c:v>
                </c:pt>
                <c:pt idx="26">
                  <c:v>74.497068181818179</c:v>
                </c:pt>
                <c:pt idx="27">
                  <c:v>74.757409090909093</c:v>
                </c:pt>
                <c:pt idx="28">
                  <c:v>74.954613636363632</c:v>
                </c:pt>
                <c:pt idx="29">
                  <c:v>75.139977272727293</c:v>
                </c:pt>
                <c:pt idx="30">
                  <c:v>75.317659090909103</c:v>
                </c:pt>
                <c:pt idx="31">
                  <c:v>75.384795454545468</c:v>
                </c:pt>
                <c:pt idx="32">
                  <c:v>75.45304545454546</c:v>
                </c:pt>
                <c:pt idx="33">
                  <c:v>75.544136363636369</c:v>
                </c:pt>
                <c:pt idx="34">
                  <c:v>75.594522727272761</c:v>
                </c:pt>
              </c:numCache>
            </c:numRef>
          </c:yVal>
          <c:smooth val="0"/>
          <c:extLst>
            <c:ext xmlns:c16="http://schemas.microsoft.com/office/drawing/2014/chart" uri="{C3380CC4-5D6E-409C-BE32-E72D297353CC}">
              <c16:uniqueId val="{00000001-23C4-4CD2-9FB2-6F2EF4F75A6C}"/>
            </c:ext>
          </c:extLst>
        </c:ser>
        <c:dLbls>
          <c:showLegendKey val="0"/>
          <c:showVal val="0"/>
          <c:showCatName val="0"/>
          <c:showSerName val="0"/>
          <c:showPercent val="0"/>
          <c:showBubbleSize val="0"/>
        </c:dLbls>
        <c:axId val="705891328"/>
        <c:axId val="705897216"/>
      </c:scatterChart>
      <c:valAx>
        <c:axId val="705891328"/>
        <c:scaling>
          <c:orientation val="minMax"/>
          <c:max val="2026"/>
          <c:min val="1990"/>
        </c:scaling>
        <c:delete val="0"/>
        <c:axPos val="b"/>
        <c:numFmt formatCode="General" sourceLinked="0"/>
        <c:majorTickMark val="in"/>
        <c:minorTickMark val="none"/>
        <c:tickLblPos val="low"/>
        <c:spPr>
          <a:ln w="12700">
            <a:solidFill>
              <a:srgbClr val="B3B3B3"/>
            </a:solidFill>
            <a:prstDash val="solid"/>
          </a:ln>
        </c:spPr>
        <c:txPr>
          <a:bodyPr rot="0" vert="horz"/>
          <a:lstStyle/>
          <a:p>
            <a:pPr>
              <a:defRPr sz="1800">
                <a:latin typeface="Segoe UI"/>
                <a:ea typeface="Segoe UI"/>
                <a:cs typeface="Segoe UI"/>
              </a:defRPr>
            </a:pPr>
            <a:endParaRPr lang="en-US"/>
          </a:p>
        </c:txPr>
        <c:crossAx val="705897216"/>
        <c:crosses val="autoZero"/>
        <c:crossBetween val="midCat"/>
        <c:majorUnit val="5"/>
      </c:valAx>
      <c:valAx>
        <c:axId val="705897216"/>
        <c:scaling>
          <c:orientation val="minMax"/>
          <c:max val="80"/>
          <c:min val="55"/>
        </c:scaling>
        <c:delete val="0"/>
        <c:axPos val="l"/>
        <c:numFmt formatCode="General" sourceLinked="0"/>
        <c:majorTickMark val="in"/>
        <c:minorTickMark val="none"/>
        <c:tickLblPos val="nextTo"/>
        <c:spPr>
          <a:ln w="12700">
            <a:solidFill>
              <a:srgbClr val="B3B3B3"/>
            </a:solidFill>
            <a:prstDash val="solid"/>
          </a:ln>
        </c:spPr>
        <c:txPr>
          <a:bodyPr rot="0" vert="horz"/>
          <a:lstStyle/>
          <a:p>
            <a:pPr>
              <a:defRPr sz="1800">
                <a:latin typeface="Segoe UI"/>
                <a:ea typeface="Segoe UI"/>
                <a:cs typeface="Segoe UI"/>
              </a:defRPr>
            </a:pPr>
            <a:endParaRPr lang="en-US"/>
          </a:p>
        </c:txPr>
        <c:crossAx val="705891328"/>
        <c:crosses val="autoZero"/>
        <c:crossBetween val="midCat"/>
        <c:minorUnit val="5"/>
      </c:valAx>
      <c:spPr>
        <a:solidFill>
          <a:srgbClr val="FFFFFF"/>
        </a:solidFill>
        <a:ln w="12700">
          <a:solidFill>
            <a:srgbClr val="B3B3B3"/>
          </a:solidFill>
          <a:prstDash val="solid"/>
        </a:ln>
      </c:spPr>
    </c:plotArea>
    <c:legend>
      <c:legendPos val="t"/>
      <c:layout>
        <c:manualLayout>
          <c:xMode val="edge"/>
          <c:yMode val="edge"/>
          <c:x val="0.65437673362266802"/>
          <c:y val="8.9696975095307649E-2"/>
          <c:w val="0.3107417468867244"/>
          <c:h val="5.1000288457290564E-2"/>
        </c:manualLayout>
      </c:layout>
      <c:overlay val="0"/>
      <c:spPr>
        <a:noFill/>
        <a:ln w="25400">
          <a:noFill/>
        </a:ln>
      </c:spPr>
      <c:txPr>
        <a:bodyPr/>
        <a:lstStyle/>
        <a:p>
          <a:pPr>
            <a:defRPr sz="1800">
              <a:latin typeface="Segoe UI"/>
              <a:ea typeface="Segoe UI"/>
              <a:cs typeface="Segoe UI"/>
            </a:defRPr>
          </a:pPr>
          <a:endParaRPr lang="en-US"/>
        </a:p>
      </c:txPr>
    </c:legend>
    <c:plotVisOnly val="1"/>
    <c:dispBlanksAs val="span"/>
    <c:showDLblsOverMax val="0"/>
  </c:chart>
  <c:spPr>
    <a:noFill/>
    <a:ln w="25400">
      <a:noFill/>
    </a:ln>
  </c:spPr>
  <c:txPr>
    <a:bodyPr/>
    <a:lstStyle/>
    <a:p>
      <a:pPr>
        <a:defRPr sz="1800" b="0" i="0" u="none" strike="noStrike" baseline="0">
          <a:solidFill>
            <a:srgbClr val="000000"/>
          </a:solidFill>
          <a:latin typeface="Segoe UI" pitchFamily="34" charset="0"/>
          <a:ea typeface="Arial"/>
          <a:cs typeface="Segoe UI" pitchFamily="34" charset="0"/>
        </a:defRPr>
      </a:pPr>
      <a:endParaRPr lang="en-US"/>
    </a:p>
  </c:txPr>
  <c:printSettings>
    <c:headerFooter/>
    <c:pageMargins b="0.75" l="0.7" r="0.7" t="0.75" header="0.3" footer="0.3"/>
    <c:pageSetup/>
  </c:printSettings>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10449522339967E-2"/>
          <c:y val="2.6366782006920404E-2"/>
          <c:w val="0.87813125515368085"/>
          <c:h val="0.75289458627360162"/>
        </c:manualLayout>
      </c:layout>
      <c:barChart>
        <c:barDir val="col"/>
        <c:grouping val="clustered"/>
        <c:varyColors val="0"/>
        <c:ser>
          <c:idx val="1"/>
          <c:order val="0"/>
          <c:tx>
            <c:strRef>
              <c:f>Enrollment!$I$12</c:f>
              <c:strCache>
                <c:ptCount val="1"/>
                <c:pt idx="0">
                  <c:v>AFR</c:v>
                </c:pt>
              </c:strCache>
            </c:strRef>
          </c:tx>
          <c:spPr>
            <a:solidFill>
              <a:schemeClr val="tx2"/>
            </a:solidFill>
            <a:ln w="25400">
              <a:noFill/>
            </a:ln>
            <a:effectLst/>
          </c:spPr>
          <c:invertIfNegative val="0"/>
          <c:cat>
            <c:strRef>
              <c:f>Enrollment!$J$11:$M$11</c:f>
              <c:strCache>
                <c:ptCount val="4"/>
                <c:pt idx="0">
                  <c:v>Pre-primary</c:v>
                </c:pt>
                <c:pt idx="1">
                  <c:v>Primary</c:v>
                </c:pt>
                <c:pt idx="2">
                  <c:v>Secondary</c:v>
                </c:pt>
                <c:pt idx="3">
                  <c:v>Tertiary</c:v>
                </c:pt>
              </c:strCache>
            </c:strRef>
          </c:cat>
          <c:val>
            <c:numRef>
              <c:f>Enrollment!$J$12:$M$12</c:f>
              <c:numCache>
                <c:formatCode>0.00</c:formatCode>
                <c:ptCount val="4"/>
                <c:pt idx="0">
                  <c:v>1.0255543170786239</c:v>
                </c:pt>
                <c:pt idx="1">
                  <c:v>0.9744306185179632</c:v>
                </c:pt>
                <c:pt idx="2">
                  <c:v>1.011855842393045</c:v>
                </c:pt>
                <c:pt idx="3">
                  <c:v>1.065659497782711</c:v>
                </c:pt>
              </c:numCache>
            </c:numRef>
          </c:val>
          <c:extLst>
            <c:ext xmlns:c16="http://schemas.microsoft.com/office/drawing/2014/chart" uri="{C3380CC4-5D6E-409C-BE32-E72D297353CC}">
              <c16:uniqueId val="{00000001-0FF4-48B2-9AE4-AB1E414A90FC}"/>
            </c:ext>
          </c:extLst>
        </c:ser>
        <c:dLbls>
          <c:showLegendKey val="0"/>
          <c:showVal val="0"/>
          <c:showCatName val="0"/>
          <c:showSerName val="0"/>
          <c:showPercent val="0"/>
          <c:showBubbleSize val="0"/>
        </c:dLbls>
        <c:gapWidth val="150"/>
        <c:axId val="666532608"/>
        <c:axId val="667114784"/>
      </c:barChart>
      <c:catAx>
        <c:axId val="666532608"/>
        <c:scaling>
          <c:orientation val="minMax"/>
        </c:scaling>
        <c:delete val="0"/>
        <c:axPos val="b"/>
        <c:numFmt formatCode="General" sourceLinked="1"/>
        <c:majorTickMark val="in"/>
        <c:minorTickMark val="none"/>
        <c:tickLblPos val="nextTo"/>
        <c:spPr>
          <a:noFill/>
          <a:ln w="3175" cap="flat" cmpd="sng" algn="ctr">
            <a:solidFill>
              <a:srgbClr val="B3B3B3"/>
            </a:solidFill>
            <a:prstDash val="solid"/>
            <a:round/>
          </a:ln>
          <a:effectLst/>
        </c:spPr>
        <c:txPr>
          <a:bodyPr rot="-60000000" spcFirstLastPara="1" vertOverflow="ellipsis" vert="horz" wrap="square" anchor="ctr" anchorCtr="1"/>
          <a:lstStyle/>
          <a:p>
            <a:pPr>
              <a:defRPr sz="1400" b="0" i="0" u="none" strike="noStrike" kern="1200" baseline="0">
                <a:solidFill>
                  <a:srgbClr val="000000"/>
                </a:solidFill>
                <a:latin typeface="Arial" panose="020B0604020202020204" pitchFamily="34" charset="0"/>
                <a:ea typeface="Segoe UI"/>
                <a:cs typeface="Arial" panose="020B0604020202020204" pitchFamily="34" charset="0"/>
              </a:defRPr>
            </a:pPr>
            <a:endParaRPr lang="en-US"/>
          </a:p>
        </c:txPr>
        <c:crossAx val="667114784"/>
        <c:crosses val="autoZero"/>
        <c:auto val="1"/>
        <c:lblAlgn val="ctr"/>
        <c:lblOffset val="100"/>
        <c:noMultiLvlLbl val="0"/>
      </c:catAx>
      <c:valAx>
        <c:axId val="667114784"/>
        <c:scaling>
          <c:orientation val="minMax"/>
          <c:max val="1.1000000000000001"/>
          <c:min val="0"/>
        </c:scaling>
        <c:delete val="0"/>
        <c:axPos val="l"/>
        <c:numFmt formatCode="0%" sourceLinked="0"/>
        <c:majorTickMark val="in"/>
        <c:minorTickMark val="none"/>
        <c:tickLblPos val="nextTo"/>
        <c:spPr>
          <a:noFill/>
          <a:ln w="3175">
            <a:solidFill>
              <a:srgbClr val="B3B3B3"/>
            </a:solidFill>
            <a:prstDash val="solid"/>
          </a:ln>
          <a:effectLst/>
        </c:spPr>
        <c:txPr>
          <a:bodyPr rot="-60000000" spcFirstLastPara="1" vertOverflow="ellipsis" vert="horz" wrap="square" anchor="ctr" anchorCtr="1"/>
          <a:lstStyle/>
          <a:p>
            <a:pPr>
              <a:defRPr sz="1400" b="0" i="0" u="none" strike="noStrike" kern="1200" baseline="0">
                <a:solidFill>
                  <a:srgbClr val="000000"/>
                </a:solidFill>
                <a:latin typeface="Arial" panose="020B0604020202020204" pitchFamily="34" charset="0"/>
                <a:ea typeface="Segoe UI"/>
                <a:cs typeface="Arial" panose="020B0604020202020204" pitchFamily="34" charset="0"/>
              </a:defRPr>
            </a:pPr>
            <a:endParaRPr lang="en-US"/>
          </a:p>
        </c:txPr>
        <c:crossAx val="666532608"/>
        <c:crosses val="autoZero"/>
        <c:crossBetween val="between"/>
        <c:majorUnit val="0.5"/>
      </c:valAx>
      <c:spPr>
        <a:solidFill>
          <a:srgbClr val="FFFFFF"/>
        </a:solidFill>
        <a:ln w="6350">
          <a:solidFill>
            <a:srgbClr val="B3B3B3"/>
          </a:solidFill>
          <a:prstDash val="solid"/>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9.6385744750656172E-2"/>
          <c:y val="3.7854131869879896E-2"/>
          <c:w val="0.87576121089048331"/>
          <c:h val="0.78899725602481507"/>
        </c:manualLayout>
      </c:layout>
      <c:lineChart>
        <c:grouping val="standard"/>
        <c:varyColors val="0"/>
        <c:ser>
          <c:idx val="1"/>
          <c:order val="0"/>
          <c:tx>
            <c:strRef>
              <c:f>Seats!$C$49</c:f>
              <c:strCache>
                <c:ptCount val="1"/>
                <c:pt idx="0">
                  <c:v>AFR</c:v>
                </c:pt>
              </c:strCache>
            </c:strRef>
          </c:tx>
          <c:spPr>
            <a:ln w="31750">
              <a:solidFill>
                <a:srgbClr val="004C97"/>
              </a:solidFill>
            </a:ln>
          </c:spPr>
          <c:marker>
            <c:symbol val="none"/>
          </c:marker>
          <c:cat>
            <c:numRef>
              <c:f>Seats!$D$48:$AE$48</c:f>
              <c:numCache>
                <c:formatCode>General</c:formatCode>
                <c:ptCount val="28"/>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numCache>
            </c:numRef>
          </c:cat>
          <c:val>
            <c:numRef>
              <c:f>Seats!$D$49:$AE$49</c:f>
              <c:numCache>
                <c:formatCode>0.0</c:formatCode>
                <c:ptCount val="28"/>
                <c:pt idx="0">
                  <c:v>9.7651617575995875</c:v>
                </c:pt>
                <c:pt idx="1">
                  <c:v>10.22568138682621</c:v>
                </c:pt>
                <c:pt idx="2">
                  <c:v>10.276015854746362</c:v>
                </c:pt>
                <c:pt idx="3">
                  <c:v>10.743943710929285</c:v>
                </c:pt>
                <c:pt idx="4">
                  <c:v>11.20980998996982</c:v>
                </c:pt>
                <c:pt idx="5">
                  <c:v>12.806794849833571</c:v>
                </c:pt>
                <c:pt idx="6">
                  <c:v>13.796264978065668</c:v>
                </c:pt>
                <c:pt idx="7">
                  <c:v>14.233795956971317</c:v>
                </c:pt>
                <c:pt idx="8">
                  <c:v>15.616384481121431</c:v>
                </c:pt>
                <c:pt idx="9">
                  <c:v>15.892912266856454</c:v>
                </c:pt>
                <c:pt idx="10">
                  <c:v>16.345921525863336</c:v>
                </c:pt>
                <c:pt idx="11">
                  <c:v>16.803148934560117</c:v>
                </c:pt>
                <c:pt idx="12">
                  <c:v>17.394345717472056</c:v>
                </c:pt>
                <c:pt idx="13">
                  <c:v>17.613098424626749</c:v>
                </c:pt>
                <c:pt idx="14">
                  <c:v>19.003446668047136</c:v>
                </c:pt>
                <c:pt idx="15">
                  <c:v>19.757969103871702</c:v>
                </c:pt>
                <c:pt idx="16">
                  <c:v>21.112150293590147</c:v>
                </c:pt>
                <c:pt idx="17">
                  <c:v>20.8704996043524</c:v>
                </c:pt>
                <c:pt idx="18">
                  <c:v>21.609493351350185</c:v>
                </c:pt>
                <c:pt idx="19">
                  <c:v>21.020694569517669</c:v>
                </c:pt>
                <c:pt idx="20">
                  <c:v>21.102932293873188</c:v>
                </c:pt>
                <c:pt idx="21">
                  <c:v>21.327407020996105</c:v>
                </c:pt>
                <c:pt idx="22">
                  <c:v>21.669763950473907</c:v>
                </c:pt>
                <c:pt idx="23">
                  <c:v>22.688384982697325</c:v>
                </c:pt>
                <c:pt idx="24">
                  <c:v>24.017407991419944</c:v>
                </c:pt>
                <c:pt idx="25">
                  <c:v>24.56779862437838</c:v>
                </c:pt>
                <c:pt idx="26">
                  <c:v>25.644552029982755</c:v>
                </c:pt>
                <c:pt idx="27">
                  <c:v>25.788247054185632</c:v>
                </c:pt>
              </c:numCache>
            </c:numRef>
          </c:val>
          <c:smooth val="0"/>
          <c:extLst>
            <c:ext xmlns:c16="http://schemas.microsoft.com/office/drawing/2014/chart" uri="{C3380CC4-5D6E-409C-BE32-E72D297353CC}">
              <c16:uniqueId val="{00000001-2A57-4E65-8B80-43F72F68FB80}"/>
            </c:ext>
          </c:extLst>
        </c:ser>
        <c:ser>
          <c:idx val="2"/>
          <c:order val="1"/>
          <c:tx>
            <c:strRef>
              <c:f>Seats!$C$50</c:f>
              <c:strCache>
                <c:ptCount val="1"/>
                <c:pt idx="0">
                  <c:v>EMs</c:v>
                </c:pt>
              </c:strCache>
            </c:strRef>
          </c:tx>
          <c:spPr>
            <a:ln w="31750">
              <a:solidFill>
                <a:srgbClr val="C00000"/>
              </a:solidFill>
              <a:prstDash val="dash"/>
            </a:ln>
          </c:spPr>
          <c:marker>
            <c:symbol val="none"/>
          </c:marker>
          <c:cat>
            <c:numRef>
              <c:f>Seats!$D$48:$AE$48</c:f>
              <c:numCache>
                <c:formatCode>General</c:formatCode>
                <c:ptCount val="28"/>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numCache>
            </c:numRef>
          </c:cat>
          <c:val>
            <c:numRef>
              <c:f>Seats!$D$50:$AE$50</c:f>
              <c:numCache>
                <c:formatCode>0.0</c:formatCode>
                <c:ptCount val="28"/>
                <c:pt idx="0">
                  <c:v>8.7678786335414109</c:v>
                </c:pt>
                <c:pt idx="1">
                  <c:v>9.4346973366085276</c:v>
                </c:pt>
                <c:pt idx="2">
                  <c:v>9.2552292431322929</c:v>
                </c:pt>
                <c:pt idx="3">
                  <c:v>9.7368042194667961</c:v>
                </c:pt>
                <c:pt idx="4">
                  <c:v>10.159367919562136</c:v>
                </c:pt>
                <c:pt idx="5">
                  <c:v>11.783818678320804</c:v>
                </c:pt>
                <c:pt idx="6">
                  <c:v>11.729648237026948</c:v>
                </c:pt>
                <c:pt idx="7">
                  <c:v>12.191391818705402</c:v>
                </c:pt>
                <c:pt idx="8">
                  <c:v>12.511964514361354</c:v>
                </c:pt>
                <c:pt idx="9">
                  <c:v>12.931449825307995</c:v>
                </c:pt>
                <c:pt idx="10">
                  <c:v>13.855436398031518</c:v>
                </c:pt>
                <c:pt idx="11">
                  <c:v>13.879775900975547</c:v>
                </c:pt>
                <c:pt idx="12">
                  <c:v>14.453652788102913</c:v>
                </c:pt>
                <c:pt idx="13">
                  <c:v>14.448757240190583</c:v>
                </c:pt>
                <c:pt idx="14">
                  <c:v>14.975949141976745</c:v>
                </c:pt>
                <c:pt idx="15">
                  <c:v>15.897149315673243</c:v>
                </c:pt>
                <c:pt idx="16">
                  <c:v>16.758461894687258</c:v>
                </c:pt>
                <c:pt idx="17">
                  <c:v>17.297409907398293</c:v>
                </c:pt>
                <c:pt idx="18">
                  <c:v>17.879537311257625</c:v>
                </c:pt>
                <c:pt idx="19">
                  <c:v>18.393472073883864</c:v>
                </c:pt>
                <c:pt idx="20">
                  <c:v>19.166645428090561</c:v>
                </c:pt>
                <c:pt idx="21">
                  <c:v>19.94464598529904</c:v>
                </c:pt>
                <c:pt idx="22">
                  <c:v>20.882216936392368</c:v>
                </c:pt>
                <c:pt idx="23">
                  <c:v>21.558561138315405</c:v>
                </c:pt>
                <c:pt idx="24">
                  <c:v>22.026533154428009</c:v>
                </c:pt>
                <c:pt idx="25">
                  <c:v>22.519317841046032</c:v>
                </c:pt>
                <c:pt idx="26">
                  <c:v>22.693888113808136</c:v>
                </c:pt>
                <c:pt idx="27">
                  <c:v>23.496949272336678</c:v>
                </c:pt>
              </c:numCache>
            </c:numRef>
          </c:val>
          <c:smooth val="0"/>
          <c:extLst>
            <c:ext xmlns:c16="http://schemas.microsoft.com/office/drawing/2014/chart" uri="{C3380CC4-5D6E-409C-BE32-E72D297353CC}">
              <c16:uniqueId val="{00000002-2A57-4E65-8B80-43F72F68FB80}"/>
            </c:ext>
          </c:extLst>
        </c:ser>
        <c:ser>
          <c:idx val="3"/>
          <c:order val="2"/>
          <c:tx>
            <c:strRef>
              <c:f>Seats!$C$51</c:f>
              <c:strCache>
                <c:ptCount val="1"/>
                <c:pt idx="0">
                  <c:v>AEs</c:v>
                </c:pt>
              </c:strCache>
            </c:strRef>
          </c:tx>
          <c:spPr>
            <a:ln w="31750">
              <a:solidFill>
                <a:srgbClr val="8031A7"/>
              </a:solidFill>
              <a:prstDash val="solid"/>
            </a:ln>
          </c:spPr>
          <c:marker>
            <c:symbol val="none"/>
          </c:marker>
          <c:cat>
            <c:numRef>
              <c:f>Seats!$D$48:$AE$48</c:f>
              <c:numCache>
                <c:formatCode>General</c:formatCode>
                <c:ptCount val="28"/>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numCache>
            </c:numRef>
          </c:cat>
          <c:val>
            <c:numRef>
              <c:f>Seats!$D$51:$AE$51</c:f>
              <c:numCache>
                <c:formatCode>0.0</c:formatCode>
                <c:ptCount val="28"/>
                <c:pt idx="0">
                  <c:v>16.781612153085398</c:v>
                </c:pt>
                <c:pt idx="1">
                  <c:v>17.100265025235963</c:v>
                </c:pt>
                <c:pt idx="2">
                  <c:v>18.55747139839152</c:v>
                </c:pt>
                <c:pt idx="3">
                  <c:v>19.590240805641947</c:v>
                </c:pt>
                <c:pt idx="4">
                  <c:v>19.246329240381105</c:v>
                </c:pt>
                <c:pt idx="5">
                  <c:v>20.02954287305635</c:v>
                </c:pt>
                <c:pt idx="6">
                  <c:v>21.07532504141313</c:v>
                </c:pt>
                <c:pt idx="7">
                  <c:v>22.323113421054341</c:v>
                </c:pt>
                <c:pt idx="8">
                  <c:v>22.994031711832505</c:v>
                </c:pt>
                <c:pt idx="9">
                  <c:v>23.215996677910695</c:v>
                </c:pt>
                <c:pt idx="10">
                  <c:v>24.141789291278716</c:v>
                </c:pt>
                <c:pt idx="11">
                  <c:v>24.058718959578826</c:v>
                </c:pt>
                <c:pt idx="12">
                  <c:v>25.122814177425795</c:v>
                </c:pt>
                <c:pt idx="13">
                  <c:v>25.152333379667599</c:v>
                </c:pt>
                <c:pt idx="14">
                  <c:v>26.276156717187966</c:v>
                </c:pt>
                <c:pt idx="15">
                  <c:v>26.662133436421293</c:v>
                </c:pt>
                <c:pt idx="16">
                  <c:v>27.758766826067813</c:v>
                </c:pt>
                <c:pt idx="17">
                  <c:v>27.829477151677857</c:v>
                </c:pt>
                <c:pt idx="18">
                  <c:v>27.985316014395405</c:v>
                </c:pt>
                <c:pt idx="19">
                  <c:v>28.4534210945254</c:v>
                </c:pt>
                <c:pt idx="20">
                  <c:v>28.899373053356005</c:v>
                </c:pt>
                <c:pt idx="21">
                  <c:v>29.112866786717866</c:v>
                </c:pt>
                <c:pt idx="22">
                  <c:v>30.766423994730342</c:v>
                </c:pt>
                <c:pt idx="23">
                  <c:v>32.18506113454292</c:v>
                </c:pt>
                <c:pt idx="24">
                  <c:v>32.943560377050723</c:v>
                </c:pt>
                <c:pt idx="25">
                  <c:v>33.671075143064137</c:v>
                </c:pt>
                <c:pt idx="26">
                  <c:v>33.802949302501432</c:v>
                </c:pt>
                <c:pt idx="27">
                  <c:v>33.947062934058323</c:v>
                </c:pt>
              </c:numCache>
            </c:numRef>
          </c:val>
          <c:smooth val="0"/>
          <c:extLst>
            <c:ext xmlns:c16="http://schemas.microsoft.com/office/drawing/2014/chart" uri="{C3380CC4-5D6E-409C-BE32-E72D297353CC}">
              <c16:uniqueId val="{00000003-2A57-4E65-8B80-43F72F68FB80}"/>
            </c:ext>
          </c:extLst>
        </c:ser>
        <c:dLbls>
          <c:showLegendKey val="0"/>
          <c:showVal val="0"/>
          <c:showCatName val="0"/>
          <c:showSerName val="0"/>
          <c:showPercent val="0"/>
          <c:showBubbleSize val="0"/>
        </c:dLbls>
        <c:smooth val="0"/>
        <c:axId val="679385728"/>
        <c:axId val="679409920"/>
      </c:lineChart>
      <c:dateAx>
        <c:axId val="679385728"/>
        <c:scaling>
          <c:orientation val="minMax"/>
        </c:scaling>
        <c:delete val="0"/>
        <c:axPos val="b"/>
        <c:numFmt formatCode="General" sourceLinked="1"/>
        <c:majorTickMark val="in"/>
        <c:minorTickMark val="none"/>
        <c:tickLblPos val="low"/>
        <c:spPr>
          <a:ln w="12700">
            <a:solidFill>
              <a:srgbClr val="B3B3B3"/>
            </a:solidFill>
            <a:prstDash val="solid"/>
          </a:ln>
        </c:spPr>
        <c:txPr>
          <a:bodyPr rot="0" vert="horz"/>
          <a:lstStyle/>
          <a:p>
            <a:pPr>
              <a:defRPr sz="1800">
                <a:latin typeface="Segoe UI"/>
                <a:ea typeface="Segoe UI"/>
                <a:cs typeface="Segoe UI"/>
              </a:defRPr>
            </a:pPr>
            <a:endParaRPr lang="en-US"/>
          </a:p>
        </c:txPr>
        <c:crossAx val="679409920"/>
        <c:crosses val="autoZero"/>
        <c:auto val="0"/>
        <c:lblOffset val="100"/>
        <c:baseTimeUnit val="days"/>
        <c:majorUnit val="5"/>
        <c:majorTimeUnit val="days"/>
        <c:minorUnit val="1"/>
      </c:dateAx>
      <c:valAx>
        <c:axId val="679409920"/>
        <c:scaling>
          <c:orientation val="minMax"/>
          <c:max val="40"/>
        </c:scaling>
        <c:delete val="0"/>
        <c:axPos val="l"/>
        <c:numFmt formatCode="General" sourceLinked="0"/>
        <c:majorTickMark val="in"/>
        <c:minorTickMark val="none"/>
        <c:tickLblPos val="nextTo"/>
        <c:spPr>
          <a:ln w="12700">
            <a:solidFill>
              <a:srgbClr val="B3B3B3"/>
            </a:solidFill>
            <a:prstDash val="solid"/>
          </a:ln>
        </c:spPr>
        <c:txPr>
          <a:bodyPr rot="0" vert="horz"/>
          <a:lstStyle/>
          <a:p>
            <a:pPr>
              <a:defRPr sz="1800">
                <a:latin typeface="Segoe UI"/>
                <a:ea typeface="Segoe UI"/>
                <a:cs typeface="Segoe UI"/>
              </a:defRPr>
            </a:pPr>
            <a:endParaRPr lang="en-US"/>
          </a:p>
        </c:txPr>
        <c:crossAx val="679385728"/>
        <c:crosses val="autoZero"/>
        <c:crossBetween val="between"/>
        <c:majorUnit val="10"/>
      </c:valAx>
      <c:spPr>
        <a:solidFill>
          <a:srgbClr val="FFFFFF"/>
        </a:solidFill>
        <a:ln w="12700">
          <a:solidFill>
            <a:srgbClr val="B3B3B3"/>
          </a:solidFill>
          <a:prstDash val="solid"/>
        </a:ln>
      </c:spPr>
    </c:plotArea>
    <c:legend>
      <c:legendPos val="t"/>
      <c:layout>
        <c:manualLayout>
          <c:xMode val="edge"/>
          <c:yMode val="edge"/>
          <c:x val="0.34652791447943998"/>
          <c:y val="0.72226696094806331"/>
          <c:w val="0.59302138013998251"/>
          <c:h val="7.5013918714706113E-2"/>
        </c:manualLayout>
      </c:layout>
      <c:overlay val="0"/>
      <c:spPr>
        <a:noFill/>
        <a:ln w="25400">
          <a:noFill/>
        </a:ln>
      </c:spPr>
      <c:txPr>
        <a:bodyPr/>
        <a:lstStyle/>
        <a:p>
          <a:pPr>
            <a:defRPr sz="1800">
              <a:latin typeface="Segoe UI"/>
              <a:ea typeface="Segoe UI"/>
              <a:cs typeface="Segoe UI"/>
            </a:defRPr>
          </a:pPr>
          <a:endParaRPr lang="en-US"/>
        </a:p>
      </c:txPr>
    </c:legend>
    <c:plotVisOnly val="1"/>
    <c:dispBlanksAs val="span"/>
    <c:showDLblsOverMax val="0"/>
  </c:chart>
  <c:spPr>
    <a:noFill/>
    <a:ln w="25400">
      <a:noFill/>
    </a:ln>
  </c:spPr>
  <c:txPr>
    <a:bodyPr/>
    <a:lstStyle/>
    <a:p>
      <a:pPr>
        <a:defRPr sz="1800" b="0" i="0" u="none" strike="noStrike" baseline="0">
          <a:solidFill>
            <a:srgbClr val="000000"/>
          </a:solidFill>
          <a:latin typeface="Segoe UI" pitchFamily="34" charset="0"/>
          <a:ea typeface="Frutiger LT Std 45 Light"/>
          <a:cs typeface="Segoe UI" pitchFamily="34" charset="0"/>
        </a:defRPr>
      </a:pPr>
      <a:endParaRPr lang="en-US"/>
    </a:p>
  </c:txPr>
  <c:printSettings>
    <c:headerFooter/>
    <c:pageMargins b="0.75" l="0.7" r="0.7" t="0.75" header="0.3" footer="0.3"/>
    <c:pageSetup/>
  </c:printSettings>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10704203519858"/>
          <c:y val="2.3101851851851856E-2"/>
          <c:w val="0.84394685039370076"/>
          <c:h val="0.8288234543598717"/>
        </c:manualLayout>
      </c:layout>
      <c:scatterChart>
        <c:scatterStyle val="lineMarker"/>
        <c:varyColors val="0"/>
        <c:ser>
          <c:idx val="0"/>
          <c:order val="0"/>
          <c:tx>
            <c:v>AFRITAC</c:v>
          </c:tx>
          <c:spPr>
            <a:ln w="25400" cap="rnd">
              <a:noFill/>
              <a:round/>
            </a:ln>
            <a:effectLst/>
          </c:spPr>
          <c:marker>
            <c:symbol val="circle"/>
            <c:size val="9"/>
            <c:spPr>
              <a:solidFill>
                <a:schemeClr val="tx2"/>
              </a:solidFill>
              <a:ln w="25400">
                <a:noFill/>
              </a:ln>
              <a:effectLst/>
            </c:spPr>
          </c:marker>
          <c:dPt>
            <c:idx val="0"/>
            <c:marker>
              <c:symbol val="circle"/>
              <c:size val="9"/>
              <c:spPr>
                <a:solidFill>
                  <a:schemeClr val="tx2"/>
                </a:solidFill>
                <a:ln w="25400">
                  <a:noFill/>
                </a:ln>
                <a:effectLst/>
              </c:spPr>
            </c:marker>
            <c:bubble3D val="0"/>
            <c:extLst>
              <c:ext xmlns:c16="http://schemas.microsoft.com/office/drawing/2014/chart" uri="{C3380CC4-5D6E-409C-BE32-E72D297353CC}">
                <c16:uniqueId val="{00000016-4EA2-4939-99E1-FF593FB107CC}"/>
              </c:ext>
            </c:extLst>
          </c:dPt>
          <c:dPt>
            <c:idx val="1"/>
            <c:marker>
              <c:symbol val="circle"/>
              <c:size val="9"/>
              <c:spPr>
                <a:solidFill>
                  <a:schemeClr val="tx2"/>
                </a:solidFill>
                <a:ln w="25400">
                  <a:noFill/>
                </a:ln>
                <a:effectLst/>
              </c:spPr>
            </c:marker>
            <c:bubble3D val="0"/>
            <c:extLst>
              <c:ext xmlns:c16="http://schemas.microsoft.com/office/drawing/2014/chart" uri="{C3380CC4-5D6E-409C-BE32-E72D297353CC}">
                <c16:uniqueId val="{00000000-4EA2-4939-99E1-FF593FB107CC}"/>
              </c:ext>
            </c:extLst>
          </c:dPt>
          <c:dPt>
            <c:idx val="2"/>
            <c:marker>
              <c:symbol val="circle"/>
              <c:size val="9"/>
              <c:spPr>
                <a:solidFill>
                  <a:schemeClr val="tx2"/>
                </a:solidFill>
                <a:ln w="25400">
                  <a:noFill/>
                </a:ln>
                <a:effectLst/>
              </c:spPr>
            </c:marker>
            <c:bubble3D val="0"/>
            <c:extLst>
              <c:ext xmlns:c16="http://schemas.microsoft.com/office/drawing/2014/chart" uri="{C3380CC4-5D6E-409C-BE32-E72D297353CC}">
                <c16:uniqueId val="{00000001-4EA2-4939-99E1-FF593FB107CC}"/>
              </c:ext>
            </c:extLst>
          </c:dPt>
          <c:dPt>
            <c:idx val="3"/>
            <c:marker>
              <c:symbol val="circle"/>
              <c:size val="9"/>
              <c:spPr>
                <a:solidFill>
                  <a:schemeClr val="tx2"/>
                </a:solidFill>
                <a:ln w="25400">
                  <a:noFill/>
                </a:ln>
                <a:effectLst/>
              </c:spPr>
            </c:marker>
            <c:bubble3D val="0"/>
            <c:extLst>
              <c:ext xmlns:c16="http://schemas.microsoft.com/office/drawing/2014/chart" uri="{C3380CC4-5D6E-409C-BE32-E72D297353CC}">
                <c16:uniqueId val="{00000002-4EA2-4939-99E1-FF593FB107CC}"/>
              </c:ext>
            </c:extLst>
          </c:dPt>
          <c:dPt>
            <c:idx val="4"/>
            <c:marker>
              <c:symbol val="circle"/>
              <c:size val="9"/>
              <c:spPr>
                <a:solidFill>
                  <a:schemeClr val="tx2"/>
                </a:solidFill>
                <a:ln w="25400">
                  <a:noFill/>
                </a:ln>
                <a:effectLst/>
              </c:spPr>
            </c:marker>
            <c:bubble3D val="0"/>
            <c:extLst>
              <c:ext xmlns:c16="http://schemas.microsoft.com/office/drawing/2014/chart" uri="{C3380CC4-5D6E-409C-BE32-E72D297353CC}">
                <c16:uniqueId val="{00000003-4EA2-4939-99E1-FF593FB107CC}"/>
              </c:ext>
            </c:extLst>
          </c:dPt>
          <c:dPt>
            <c:idx val="5"/>
            <c:marker>
              <c:symbol val="circle"/>
              <c:size val="9"/>
              <c:spPr>
                <a:solidFill>
                  <a:schemeClr val="tx2"/>
                </a:solidFill>
                <a:ln w="25400">
                  <a:noFill/>
                </a:ln>
                <a:effectLst/>
              </c:spPr>
            </c:marker>
            <c:bubble3D val="0"/>
            <c:extLst>
              <c:ext xmlns:c16="http://schemas.microsoft.com/office/drawing/2014/chart" uri="{C3380CC4-5D6E-409C-BE32-E72D297353CC}">
                <c16:uniqueId val="{00000004-4EA2-4939-99E1-FF593FB107CC}"/>
              </c:ext>
            </c:extLst>
          </c:dPt>
          <c:dPt>
            <c:idx val="6"/>
            <c:marker>
              <c:symbol val="circle"/>
              <c:size val="9"/>
              <c:spPr>
                <a:solidFill>
                  <a:schemeClr val="tx2"/>
                </a:solidFill>
                <a:ln w="25400">
                  <a:noFill/>
                </a:ln>
                <a:effectLst/>
              </c:spPr>
            </c:marker>
            <c:bubble3D val="0"/>
            <c:extLst>
              <c:ext xmlns:c16="http://schemas.microsoft.com/office/drawing/2014/chart" uri="{C3380CC4-5D6E-409C-BE32-E72D297353CC}">
                <c16:uniqueId val="{00000017-4EA2-4939-99E1-FF593FB107CC}"/>
              </c:ext>
            </c:extLst>
          </c:dPt>
          <c:dPt>
            <c:idx val="7"/>
            <c:marker>
              <c:symbol val="circle"/>
              <c:size val="9"/>
              <c:spPr>
                <a:solidFill>
                  <a:schemeClr val="tx2"/>
                </a:solidFill>
                <a:ln w="25400">
                  <a:noFill/>
                </a:ln>
                <a:effectLst/>
              </c:spPr>
            </c:marker>
            <c:bubble3D val="0"/>
            <c:extLst>
              <c:ext xmlns:c16="http://schemas.microsoft.com/office/drawing/2014/chart" uri="{C3380CC4-5D6E-409C-BE32-E72D297353CC}">
                <c16:uniqueId val="{00000005-4EA2-4939-99E1-FF593FB107CC}"/>
              </c:ext>
            </c:extLst>
          </c:dPt>
          <c:dPt>
            <c:idx val="8"/>
            <c:marker>
              <c:symbol val="circle"/>
              <c:size val="9"/>
              <c:spPr>
                <a:solidFill>
                  <a:schemeClr val="tx2"/>
                </a:solidFill>
                <a:ln w="25400">
                  <a:noFill/>
                </a:ln>
                <a:effectLst/>
              </c:spPr>
            </c:marker>
            <c:bubble3D val="0"/>
            <c:extLst>
              <c:ext xmlns:c16="http://schemas.microsoft.com/office/drawing/2014/chart" uri="{C3380CC4-5D6E-409C-BE32-E72D297353CC}">
                <c16:uniqueId val="{00000006-4EA2-4939-99E1-FF593FB107CC}"/>
              </c:ext>
            </c:extLst>
          </c:dPt>
          <c:dPt>
            <c:idx val="9"/>
            <c:marker>
              <c:symbol val="circle"/>
              <c:size val="9"/>
              <c:spPr>
                <a:solidFill>
                  <a:schemeClr val="tx2"/>
                </a:solidFill>
                <a:ln w="25400">
                  <a:noFill/>
                </a:ln>
                <a:effectLst/>
              </c:spPr>
            </c:marker>
            <c:bubble3D val="0"/>
            <c:extLst>
              <c:ext xmlns:c16="http://schemas.microsoft.com/office/drawing/2014/chart" uri="{C3380CC4-5D6E-409C-BE32-E72D297353CC}">
                <c16:uniqueId val="{00000018-4EA2-4939-99E1-FF593FB107CC}"/>
              </c:ext>
            </c:extLst>
          </c:dPt>
          <c:dPt>
            <c:idx val="10"/>
            <c:marker>
              <c:symbol val="circle"/>
              <c:size val="9"/>
              <c:spPr>
                <a:solidFill>
                  <a:schemeClr val="tx2"/>
                </a:solidFill>
                <a:ln w="25400">
                  <a:noFill/>
                </a:ln>
                <a:effectLst/>
              </c:spPr>
            </c:marker>
            <c:bubble3D val="0"/>
            <c:extLst>
              <c:ext xmlns:c16="http://schemas.microsoft.com/office/drawing/2014/chart" uri="{C3380CC4-5D6E-409C-BE32-E72D297353CC}">
                <c16:uniqueId val="{00000019-4EA2-4939-99E1-FF593FB107CC}"/>
              </c:ext>
            </c:extLst>
          </c:dPt>
          <c:dPt>
            <c:idx val="11"/>
            <c:marker>
              <c:symbol val="circle"/>
              <c:size val="9"/>
              <c:spPr>
                <a:solidFill>
                  <a:schemeClr val="tx2"/>
                </a:solidFill>
                <a:ln w="25400">
                  <a:noFill/>
                </a:ln>
                <a:effectLst/>
              </c:spPr>
            </c:marker>
            <c:bubble3D val="0"/>
            <c:extLst>
              <c:ext xmlns:c16="http://schemas.microsoft.com/office/drawing/2014/chart" uri="{C3380CC4-5D6E-409C-BE32-E72D297353CC}">
                <c16:uniqueId val="{00000007-4EA2-4939-99E1-FF593FB107CC}"/>
              </c:ext>
            </c:extLst>
          </c:dPt>
          <c:dPt>
            <c:idx val="12"/>
            <c:marker>
              <c:symbol val="circle"/>
              <c:size val="9"/>
              <c:spPr>
                <a:solidFill>
                  <a:schemeClr val="tx2"/>
                </a:solidFill>
                <a:ln w="25400">
                  <a:noFill/>
                </a:ln>
                <a:effectLst/>
              </c:spPr>
            </c:marker>
            <c:bubble3D val="0"/>
            <c:extLst>
              <c:ext xmlns:c16="http://schemas.microsoft.com/office/drawing/2014/chart" uri="{C3380CC4-5D6E-409C-BE32-E72D297353CC}">
                <c16:uniqueId val="{00000008-4EA2-4939-99E1-FF593FB107CC}"/>
              </c:ext>
            </c:extLst>
          </c:dPt>
          <c:dPt>
            <c:idx val="13"/>
            <c:marker>
              <c:symbol val="circle"/>
              <c:size val="9"/>
              <c:spPr>
                <a:solidFill>
                  <a:schemeClr val="tx2"/>
                </a:solidFill>
                <a:ln w="25400">
                  <a:noFill/>
                </a:ln>
                <a:effectLst/>
              </c:spPr>
            </c:marker>
            <c:bubble3D val="0"/>
            <c:extLst>
              <c:ext xmlns:c16="http://schemas.microsoft.com/office/drawing/2014/chart" uri="{C3380CC4-5D6E-409C-BE32-E72D297353CC}">
                <c16:uniqueId val="{00000009-4EA2-4939-99E1-FF593FB107CC}"/>
              </c:ext>
            </c:extLst>
          </c:dPt>
          <c:dPt>
            <c:idx val="14"/>
            <c:marker>
              <c:symbol val="circle"/>
              <c:size val="9"/>
              <c:spPr>
                <a:solidFill>
                  <a:schemeClr val="tx2"/>
                </a:solidFill>
                <a:ln w="25400">
                  <a:noFill/>
                </a:ln>
                <a:effectLst/>
              </c:spPr>
            </c:marker>
            <c:bubble3D val="0"/>
            <c:extLst>
              <c:ext xmlns:c16="http://schemas.microsoft.com/office/drawing/2014/chart" uri="{C3380CC4-5D6E-409C-BE32-E72D297353CC}">
                <c16:uniqueId val="{0000001A-4EA2-4939-99E1-FF593FB107CC}"/>
              </c:ext>
            </c:extLst>
          </c:dPt>
          <c:dPt>
            <c:idx val="15"/>
            <c:marker>
              <c:symbol val="circle"/>
              <c:size val="9"/>
              <c:spPr>
                <a:solidFill>
                  <a:schemeClr val="tx2"/>
                </a:solidFill>
                <a:ln w="25400">
                  <a:noFill/>
                </a:ln>
                <a:effectLst/>
              </c:spPr>
            </c:marker>
            <c:bubble3D val="0"/>
            <c:extLst>
              <c:ext xmlns:c16="http://schemas.microsoft.com/office/drawing/2014/chart" uri="{C3380CC4-5D6E-409C-BE32-E72D297353CC}">
                <c16:uniqueId val="{0000001B-4EA2-4939-99E1-FF593FB107CC}"/>
              </c:ext>
            </c:extLst>
          </c:dPt>
          <c:dPt>
            <c:idx val="16"/>
            <c:marker>
              <c:symbol val="circle"/>
              <c:size val="9"/>
              <c:spPr>
                <a:solidFill>
                  <a:schemeClr val="tx2"/>
                </a:solidFill>
                <a:ln w="25400">
                  <a:noFill/>
                </a:ln>
                <a:effectLst/>
              </c:spPr>
            </c:marker>
            <c:bubble3D val="0"/>
            <c:extLst>
              <c:ext xmlns:c16="http://schemas.microsoft.com/office/drawing/2014/chart" uri="{C3380CC4-5D6E-409C-BE32-E72D297353CC}">
                <c16:uniqueId val="{0000000A-4EA2-4939-99E1-FF593FB107CC}"/>
              </c:ext>
            </c:extLst>
          </c:dPt>
          <c:dPt>
            <c:idx val="17"/>
            <c:marker>
              <c:symbol val="circle"/>
              <c:size val="9"/>
              <c:spPr>
                <a:solidFill>
                  <a:schemeClr val="tx2"/>
                </a:solidFill>
                <a:ln w="25400">
                  <a:noFill/>
                </a:ln>
                <a:effectLst/>
              </c:spPr>
            </c:marker>
            <c:bubble3D val="0"/>
            <c:extLst>
              <c:ext xmlns:c16="http://schemas.microsoft.com/office/drawing/2014/chart" uri="{C3380CC4-5D6E-409C-BE32-E72D297353CC}">
                <c16:uniqueId val="{0000000B-4EA2-4939-99E1-FF593FB107CC}"/>
              </c:ext>
            </c:extLst>
          </c:dPt>
          <c:dPt>
            <c:idx val="18"/>
            <c:marker>
              <c:symbol val="circle"/>
              <c:size val="9"/>
              <c:spPr>
                <a:solidFill>
                  <a:schemeClr val="tx2"/>
                </a:solidFill>
                <a:ln w="25400">
                  <a:noFill/>
                </a:ln>
                <a:effectLst/>
              </c:spPr>
            </c:marker>
            <c:bubble3D val="0"/>
            <c:extLst>
              <c:ext xmlns:c16="http://schemas.microsoft.com/office/drawing/2014/chart" uri="{C3380CC4-5D6E-409C-BE32-E72D297353CC}">
                <c16:uniqueId val="{0000000C-4EA2-4939-99E1-FF593FB107CC}"/>
              </c:ext>
            </c:extLst>
          </c:dPt>
          <c:dPt>
            <c:idx val="19"/>
            <c:marker>
              <c:symbol val="circle"/>
              <c:size val="9"/>
              <c:spPr>
                <a:solidFill>
                  <a:schemeClr val="tx2"/>
                </a:solidFill>
                <a:ln w="25400">
                  <a:noFill/>
                </a:ln>
                <a:effectLst/>
              </c:spPr>
            </c:marker>
            <c:bubble3D val="0"/>
            <c:extLst>
              <c:ext xmlns:c16="http://schemas.microsoft.com/office/drawing/2014/chart" uri="{C3380CC4-5D6E-409C-BE32-E72D297353CC}">
                <c16:uniqueId val="{0000000D-4EA2-4939-99E1-FF593FB107CC}"/>
              </c:ext>
            </c:extLst>
          </c:dPt>
          <c:dPt>
            <c:idx val="20"/>
            <c:marker>
              <c:symbol val="circle"/>
              <c:size val="9"/>
              <c:spPr>
                <a:solidFill>
                  <a:schemeClr val="tx2"/>
                </a:solidFill>
                <a:ln w="25400">
                  <a:noFill/>
                </a:ln>
                <a:effectLst/>
              </c:spPr>
            </c:marker>
            <c:bubble3D val="0"/>
            <c:extLst>
              <c:ext xmlns:c16="http://schemas.microsoft.com/office/drawing/2014/chart" uri="{C3380CC4-5D6E-409C-BE32-E72D297353CC}">
                <c16:uniqueId val="{0000000E-4EA2-4939-99E1-FF593FB107CC}"/>
              </c:ext>
            </c:extLst>
          </c:dPt>
          <c:dPt>
            <c:idx val="21"/>
            <c:marker>
              <c:symbol val="circle"/>
              <c:size val="9"/>
              <c:spPr>
                <a:solidFill>
                  <a:schemeClr val="tx2"/>
                </a:solidFill>
                <a:ln w="25400">
                  <a:noFill/>
                </a:ln>
                <a:effectLst/>
              </c:spPr>
            </c:marker>
            <c:bubble3D val="0"/>
            <c:extLst>
              <c:ext xmlns:c16="http://schemas.microsoft.com/office/drawing/2014/chart" uri="{C3380CC4-5D6E-409C-BE32-E72D297353CC}">
                <c16:uniqueId val="{0000000F-4EA2-4939-99E1-FF593FB107CC}"/>
              </c:ext>
            </c:extLst>
          </c:dPt>
          <c:dPt>
            <c:idx val="22"/>
            <c:marker>
              <c:symbol val="circle"/>
              <c:size val="9"/>
              <c:spPr>
                <a:solidFill>
                  <a:schemeClr val="tx2"/>
                </a:solidFill>
                <a:ln w="25400">
                  <a:noFill/>
                </a:ln>
                <a:effectLst/>
              </c:spPr>
            </c:marker>
            <c:bubble3D val="0"/>
            <c:extLst>
              <c:ext xmlns:c16="http://schemas.microsoft.com/office/drawing/2014/chart" uri="{C3380CC4-5D6E-409C-BE32-E72D297353CC}">
                <c16:uniqueId val="{00000010-4EA2-4939-99E1-FF593FB107CC}"/>
              </c:ext>
            </c:extLst>
          </c:dPt>
          <c:dPt>
            <c:idx val="23"/>
            <c:marker>
              <c:symbol val="circle"/>
              <c:size val="9"/>
              <c:spPr>
                <a:solidFill>
                  <a:schemeClr val="tx2"/>
                </a:solidFill>
                <a:ln w="25400">
                  <a:noFill/>
                </a:ln>
                <a:effectLst/>
              </c:spPr>
            </c:marker>
            <c:bubble3D val="0"/>
            <c:extLst>
              <c:ext xmlns:c16="http://schemas.microsoft.com/office/drawing/2014/chart" uri="{C3380CC4-5D6E-409C-BE32-E72D297353CC}">
                <c16:uniqueId val="{0000001C-4EA2-4939-99E1-FF593FB107CC}"/>
              </c:ext>
            </c:extLst>
          </c:dPt>
          <c:dPt>
            <c:idx val="24"/>
            <c:marker>
              <c:symbol val="circle"/>
              <c:size val="9"/>
              <c:spPr>
                <a:solidFill>
                  <a:schemeClr val="tx2"/>
                </a:solidFill>
                <a:ln w="25400">
                  <a:noFill/>
                </a:ln>
                <a:effectLst/>
              </c:spPr>
            </c:marker>
            <c:bubble3D val="0"/>
            <c:extLst>
              <c:ext xmlns:c16="http://schemas.microsoft.com/office/drawing/2014/chart" uri="{C3380CC4-5D6E-409C-BE32-E72D297353CC}">
                <c16:uniqueId val="{0000001D-4EA2-4939-99E1-FF593FB107CC}"/>
              </c:ext>
            </c:extLst>
          </c:dPt>
          <c:dPt>
            <c:idx val="25"/>
            <c:marker>
              <c:symbol val="circle"/>
              <c:size val="9"/>
              <c:spPr>
                <a:solidFill>
                  <a:schemeClr val="tx2"/>
                </a:solidFill>
                <a:ln w="25400">
                  <a:noFill/>
                </a:ln>
                <a:effectLst/>
              </c:spPr>
            </c:marker>
            <c:bubble3D val="0"/>
            <c:extLst>
              <c:ext xmlns:c16="http://schemas.microsoft.com/office/drawing/2014/chart" uri="{C3380CC4-5D6E-409C-BE32-E72D297353CC}">
                <c16:uniqueId val="{00000011-4EA2-4939-99E1-FF593FB107CC}"/>
              </c:ext>
            </c:extLst>
          </c:dPt>
          <c:dPt>
            <c:idx val="26"/>
            <c:marker>
              <c:symbol val="circle"/>
              <c:size val="9"/>
              <c:spPr>
                <a:solidFill>
                  <a:schemeClr val="tx2"/>
                </a:solidFill>
                <a:ln w="25400">
                  <a:noFill/>
                </a:ln>
                <a:effectLst/>
              </c:spPr>
            </c:marker>
            <c:bubble3D val="0"/>
            <c:extLst>
              <c:ext xmlns:c16="http://schemas.microsoft.com/office/drawing/2014/chart" uri="{C3380CC4-5D6E-409C-BE32-E72D297353CC}">
                <c16:uniqueId val="{00000012-4EA2-4939-99E1-FF593FB107CC}"/>
              </c:ext>
            </c:extLst>
          </c:dPt>
          <c:dPt>
            <c:idx val="27"/>
            <c:marker>
              <c:symbol val="circle"/>
              <c:size val="9"/>
              <c:spPr>
                <a:solidFill>
                  <a:schemeClr val="tx2"/>
                </a:solidFill>
                <a:ln w="25400">
                  <a:noFill/>
                </a:ln>
                <a:effectLst/>
              </c:spPr>
            </c:marker>
            <c:bubble3D val="0"/>
            <c:extLst>
              <c:ext xmlns:c16="http://schemas.microsoft.com/office/drawing/2014/chart" uri="{C3380CC4-5D6E-409C-BE32-E72D297353CC}">
                <c16:uniqueId val="{00000013-4EA2-4939-99E1-FF593FB107CC}"/>
              </c:ext>
            </c:extLst>
          </c:dPt>
          <c:dPt>
            <c:idx val="28"/>
            <c:marker>
              <c:symbol val="circle"/>
              <c:size val="9"/>
              <c:spPr>
                <a:solidFill>
                  <a:schemeClr val="tx2"/>
                </a:solidFill>
                <a:ln w="25400">
                  <a:noFill/>
                </a:ln>
                <a:effectLst/>
              </c:spPr>
            </c:marker>
            <c:bubble3D val="0"/>
            <c:extLst>
              <c:ext xmlns:c16="http://schemas.microsoft.com/office/drawing/2014/chart" uri="{C3380CC4-5D6E-409C-BE32-E72D297353CC}">
                <c16:uniqueId val="{00000014-4EA2-4939-99E1-FF593FB107CC}"/>
              </c:ext>
            </c:extLst>
          </c:dPt>
          <c:dPt>
            <c:idx val="29"/>
            <c:marker>
              <c:symbol val="circle"/>
              <c:size val="9"/>
              <c:spPr>
                <a:solidFill>
                  <a:schemeClr val="tx2"/>
                </a:solidFill>
                <a:ln w="25400">
                  <a:noFill/>
                </a:ln>
                <a:effectLst/>
              </c:spPr>
            </c:marker>
            <c:bubble3D val="0"/>
            <c:extLst>
              <c:ext xmlns:c16="http://schemas.microsoft.com/office/drawing/2014/chart" uri="{C3380CC4-5D6E-409C-BE32-E72D297353CC}">
                <c16:uniqueId val="{00000015-4EA2-4939-99E1-FF593FB107CC}"/>
              </c:ext>
            </c:extLst>
          </c:dPt>
          <c:dPt>
            <c:idx val="30"/>
            <c:marker>
              <c:symbol val="circle"/>
              <c:size val="9"/>
              <c:spPr>
                <a:solidFill>
                  <a:schemeClr val="tx2"/>
                </a:solidFill>
                <a:ln w="25400">
                  <a:noFill/>
                </a:ln>
                <a:effectLst/>
              </c:spPr>
            </c:marker>
            <c:bubble3D val="0"/>
            <c:extLst>
              <c:ext xmlns:c16="http://schemas.microsoft.com/office/drawing/2014/chart" uri="{C3380CC4-5D6E-409C-BE32-E72D297353CC}">
                <c16:uniqueId val="{0000001E-4EA2-4939-99E1-FF593FB107CC}"/>
              </c:ext>
            </c:extLst>
          </c:dPt>
          <c:dPt>
            <c:idx val="31"/>
            <c:marker>
              <c:symbol val="circle"/>
              <c:size val="9"/>
              <c:spPr>
                <a:solidFill>
                  <a:schemeClr val="tx2"/>
                </a:solidFill>
                <a:ln w="25400">
                  <a:noFill/>
                </a:ln>
                <a:effectLst/>
              </c:spPr>
            </c:marker>
            <c:bubble3D val="0"/>
            <c:extLst>
              <c:ext xmlns:c16="http://schemas.microsoft.com/office/drawing/2014/chart" uri="{C3380CC4-5D6E-409C-BE32-E72D297353CC}">
                <c16:uniqueId val="{0000001F-4EA2-4939-99E1-FF593FB107CC}"/>
              </c:ext>
            </c:extLst>
          </c:dPt>
          <c:dPt>
            <c:idx val="32"/>
            <c:marker>
              <c:symbol val="circle"/>
              <c:size val="9"/>
              <c:spPr>
                <a:solidFill>
                  <a:schemeClr val="tx2"/>
                </a:solidFill>
                <a:ln w="25400">
                  <a:noFill/>
                </a:ln>
                <a:effectLst/>
              </c:spPr>
            </c:marker>
            <c:bubble3D val="0"/>
            <c:extLst>
              <c:ext xmlns:c16="http://schemas.microsoft.com/office/drawing/2014/chart" uri="{C3380CC4-5D6E-409C-BE32-E72D297353CC}">
                <c16:uniqueId val="{00000023-4EA2-4939-99E1-FF593FB107CC}"/>
              </c:ext>
            </c:extLst>
          </c:dPt>
          <c:dPt>
            <c:idx val="33"/>
            <c:marker>
              <c:symbol val="circle"/>
              <c:size val="9"/>
              <c:spPr>
                <a:solidFill>
                  <a:schemeClr val="tx2"/>
                </a:solidFill>
                <a:ln w="25400">
                  <a:noFill/>
                </a:ln>
                <a:effectLst/>
              </c:spPr>
            </c:marker>
            <c:bubble3D val="0"/>
            <c:extLst>
              <c:ext xmlns:c16="http://schemas.microsoft.com/office/drawing/2014/chart" uri="{C3380CC4-5D6E-409C-BE32-E72D297353CC}">
                <c16:uniqueId val="{00000024-4EA2-4939-99E1-FF593FB107CC}"/>
              </c:ext>
            </c:extLst>
          </c:dPt>
          <c:dPt>
            <c:idx val="34"/>
            <c:marker>
              <c:symbol val="circle"/>
              <c:size val="9"/>
              <c:spPr>
                <a:solidFill>
                  <a:schemeClr val="tx2"/>
                </a:solidFill>
                <a:ln w="25400">
                  <a:noFill/>
                </a:ln>
                <a:effectLst/>
              </c:spPr>
            </c:marker>
            <c:bubble3D val="0"/>
            <c:extLst>
              <c:ext xmlns:c16="http://schemas.microsoft.com/office/drawing/2014/chart" uri="{C3380CC4-5D6E-409C-BE32-E72D297353CC}">
                <c16:uniqueId val="{00000025-4EA2-4939-99E1-FF593FB107CC}"/>
              </c:ext>
            </c:extLst>
          </c:dPt>
          <c:dPt>
            <c:idx val="35"/>
            <c:marker>
              <c:symbol val="circle"/>
              <c:size val="9"/>
              <c:spPr>
                <a:solidFill>
                  <a:schemeClr val="tx2"/>
                </a:solidFill>
                <a:ln w="25400">
                  <a:noFill/>
                </a:ln>
                <a:effectLst/>
              </c:spPr>
            </c:marker>
            <c:bubble3D val="0"/>
            <c:extLst>
              <c:ext xmlns:c16="http://schemas.microsoft.com/office/drawing/2014/chart" uri="{C3380CC4-5D6E-409C-BE32-E72D297353CC}">
                <c16:uniqueId val="{00000026-4EA2-4939-99E1-FF593FB107CC}"/>
              </c:ext>
            </c:extLst>
          </c:dPt>
          <c:dPt>
            <c:idx val="36"/>
            <c:marker>
              <c:symbol val="circle"/>
              <c:size val="9"/>
              <c:spPr>
                <a:solidFill>
                  <a:schemeClr val="tx2"/>
                </a:solidFill>
                <a:ln w="25400">
                  <a:noFill/>
                </a:ln>
                <a:effectLst/>
              </c:spPr>
            </c:marker>
            <c:bubble3D val="0"/>
            <c:extLst>
              <c:ext xmlns:c16="http://schemas.microsoft.com/office/drawing/2014/chart" uri="{C3380CC4-5D6E-409C-BE32-E72D297353CC}">
                <c16:uniqueId val="{00000027-4EA2-4939-99E1-FF593FB107CC}"/>
              </c:ext>
            </c:extLst>
          </c:dPt>
          <c:dLbls>
            <c:dLbl>
              <c:idx val="0"/>
              <c:layout>
                <c:manualLayout>
                  <c:x val="-3.298611111111114E-2"/>
                  <c:y val="-3.2407407407407489E-2"/>
                </c:manualLayout>
              </c:layout>
              <c:tx>
                <c:rich>
                  <a:bodyPr/>
                  <a:lstStyle/>
                  <a:p>
                    <a:fld id="{64353971-62A5-4F7B-BFFF-53C213F2B14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4EA2-4939-99E1-FF593FB107CC}"/>
                </c:ext>
              </c:extLst>
            </c:dLbl>
            <c:dLbl>
              <c:idx val="1"/>
              <c:delete val="1"/>
              <c:extLst>
                <c:ext xmlns:c15="http://schemas.microsoft.com/office/drawing/2012/chart" uri="{CE6537A1-D6FC-4f65-9D91-7224C49458BB}"/>
                <c:ext xmlns:c16="http://schemas.microsoft.com/office/drawing/2014/chart" uri="{C3380CC4-5D6E-409C-BE32-E72D297353CC}">
                  <c16:uniqueId val="{00000000-4EA2-4939-99E1-FF593FB107CC}"/>
                </c:ext>
              </c:extLst>
            </c:dLbl>
            <c:dLbl>
              <c:idx val="2"/>
              <c:delete val="1"/>
              <c:extLst>
                <c:ext xmlns:c15="http://schemas.microsoft.com/office/drawing/2012/chart" uri="{CE6537A1-D6FC-4f65-9D91-7224C49458BB}"/>
                <c:ext xmlns:c16="http://schemas.microsoft.com/office/drawing/2014/chart" uri="{C3380CC4-5D6E-409C-BE32-E72D297353CC}">
                  <c16:uniqueId val="{00000001-4EA2-4939-99E1-FF593FB107CC}"/>
                </c:ext>
              </c:extLst>
            </c:dLbl>
            <c:dLbl>
              <c:idx val="3"/>
              <c:delete val="1"/>
              <c:extLst>
                <c:ext xmlns:c15="http://schemas.microsoft.com/office/drawing/2012/chart" uri="{CE6537A1-D6FC-4f65-9D91-7224C49458BB}"/>
                <c:ext xmlns:c16="http://schemas.microsoft.com/office/drawing/2014/chart" uri="{C3380CC4-5D6E-409C-BE32-E72D297353CC}">
                  <c16:uniqueId val="{00000002-4EA2-4939-99E1-FF593FB107CC}"/>
                </c:ext>
              </c:extLst>
            </c:dLbl>
            <c:dLbl>
              <c:idx val="4"/>
              <c:delete val="1"/>
              <c:extLst>
                <c:ext xmlns:c15="http://schemas.microsoft.com/office/drawing/2012/chart" uri="{CE6537A1-D6FC-4f65-9D91-7224C49458BB}"/>
                <c:ext xmlns:c16="http://schemas.microsoft.com/office/drawing/2014/chart" uri="{C3380CC4-5D6E-409C-BE32-E72D297353CC}">
                  <c16:uniqueId val="{00000003-4EA2-4939-99E1-FF593FB107CC}"/>
                </c:ext>
              </c:extLst>
            </c:dLbl>
            <c:dLbl>
              <c:idx val="5"/>
              <c:layout>
                <c:manualLayout>
                  <c:x val="-5.0347222222222224E-2"/>
                  <c:y val="3.2407407407407406E-2"/>
                </c:manualLayout>
              </c:layout>
              <c:tx>
                <c:rich>
                  <a:bodyPr/>
                  <a:lstStyle/>
                  <a:p>
                    <a:fld id="{39CC4470-6CFF-4539-A92F-6C3ADBE3AA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EA2-4939-99E1-FF593FB107CC}"/>
                </c:ext>
              </c:extLst>
            </c:dLbl>
            <c:dLbl>
              <c:idx val="6"/>
              <c:layout>
                <c:manualLayout>
                  <c:x val="-3.472222222222222E-3"/>
                  <c:y val="1.8518518518518517E-2"/>
                </c:manualLayout>
              </c:layout>
              <c:tx>
                <c:rich>
                  <a:bodyPr/>
                  <a:lstStyle/>
                  <a:p>
                    <a:fld id="{2D4282A8-8052-40C7-8A68-8C233DE9409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4EA2-4939-99E1-FF593FB107CC}"/>
                </c:ext>
              </c:extLst>
            </c:dLbl>
            <c:dLbl>
              <c:idx val="7"/>
              <c:layout>
                <c:manualLayout>
                  <c:x val="-9.2013888888888951E-2"/>
                  <c:y val="-6.9444444444444441E-3"/>
                </c:manualLayout>
              </c:layout>
              <c:tx>
                <c:rich>
                  <a:bodyPr/>
                  <a:lstStyle/>
                  <a:p>
                    <a:fld id="{9D130D8F-1425-495E-845A-81EB00BF38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EA2-4939-99E1-FF593FB107CC}"/>
                </c:ext>
              </c:extLst>
            </c:dLbl>
            <c:dLbl>
              <c:idx val="8"/>
              <c:layout>
                <c:manualLayout>
                  <c:x val="-6.3656672040099962E-17"/>
                  <c:y val="-9.2592592592593437E-3"/>
                </c:manualLayout>
              </c:layout>
              <c:tx>
                <c:rich>
                  <a:bodyPr/>
                  <a:lstStyle/>
                  <a:p>
                    <a:fld id="{E05EA81F-4285-4290-A6C8-D1C6621D0B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EA2-4939-99E1-FF593FB107CC}"/>
                </c:ext>
              </c:extLst>
            </c:dLbl>
            <c:dLbl>
              <c:idx val="9"/>
              <c:layout>
                <c:manualLayout>
                  <c:x val="8.1597222222222224E-2"/>
                  <c:y val="5.0925925925925881E-2"/>
                </c:manualLayout>
              </c:layout>
              <c:tx>
                <c:rich>
                  <a:bodyPr/>
                  <a:lstStyle/>
                  <a:p>
                    <a:fld id="{620B875F-7C36-4F31-A078-075CF609A2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4EA2-4939-99E1-FF593FB107CC}"/>
                </c:ext>
              </c:extLst>
            </c:dLbl>
            <c:dLbl>
              <c:idx val="10"/>
              <c:delete val="1"/>
              <c:extLst>
                <c:ext xmlns:c15="http://schemas.microsoft.com/office/drawing/2012/chart" uri="{CE6537A1-D6FC-4f65-9D91-7224C49458BB}"/>
                <c:ext xmlns:c16="http://schemas.microsoft.com/office/drawing/2014/chart" uri="{C3380CC4-5D6E-409C-BE32-E72D297353CC}">
                  <c16:uniqueId val="{00000019-4EA2-4939-99E1-FF593FB107CC}"/>
                </c:ext>
              </c:extLst>
            </c:dLbl>
            <c:dLbl>
              <c:idx val="11"/>
              <c:layout>
                <c:manualLayout>
                  <c:x val="3.472222222222222E-3"/>
                  <c:y val="1.1574074074074032E-2"/>
                </c:manualLayout>
              </c:layout>
              <c:tx>
                <c:rich>
                  <a:bodyPr/>
                  <a:lstStyle/>
                  <a:p>
                    <a:fld id="{3383A90B-4188-4F64-A869-FE951F02C4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4EA2-4939-99E1-FF593FB107CC}"/>
                </c:ext>
              </c:extLst>
            </c:dLbl>
            <c:dLbl>
              <c:idx val="12"/>
              <c:layout>
                <c:manualLayout>
                  <c:x val="-5.2083333333333336E-2"/>
                  <c:y val="-3.0092592592592591E-2"/>
                </c:manualLayout>
              </c:layout>
              <c:tx>
                <c:rich>
                  <a:bodyPr/>
                  <a:lstStyle/>
                  <a:p>
                    <a:fld id="{C88277E7-8B02-4E12-B8B3-C206CB8153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4EA2-4939-99E1-FF593FB107CC}"/>
                </c:ext>
              </c:extLst>
            </c:dLbl>
            <c:dLbl>
              <c:idx val="13"/>
              <c:layout>
                <c:manualLayout>
                  <c:x val="-4.1666666666666664E-2"/>
                  <c:y val="-3.2407407407407447E-2"/>
                </c:manualLayout>
              </c:layout>
              <c:tx>
                <c:rich>
                  <a:bodyPr/>
                  <a:lstStyle/>
                  <a:p>
                    <a:fld id="{342AA85E-06B4-4E0D-820B-ED11BF7F2B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4EA2-4939-99E1-FF593FB107CC}"/>
                </c:ext>
              </c:extLst>
            </c:dLbl>
            <c:dLbl>
              <c:idx val="14"/>
              <c:layout>
                <c:manualLayout>
                  <c:x val="-1.736111111111111E-3"/>
                  <c:y val="6.7129629629629636E-2"/>
                </c:manualLayout>
              </c:layout>
              <c:tx>
                <c:rich>
                  <a:bodyPr/>
                  <a:lstStyle/>
                  <a:p>
                    <a:fld id="{CED5B1F3-A3B1-480A-9D56-72B8BA2F57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4EA2-4939-99E1-FF593FB107CC}"/>
                </c:ext>
              </c:extLst>
            </c:dLbl>
            <c:dLbl>
              <c:idx val="15"/>
              <c:layout>
                <c:manualLayout>
                  <c:x val="-8.2469652230971136E-2"/>
                  <c:y val="-4.4039807524059492E-3"/>
                </c:manualLayout>
              </c:layout>
              <c:tx>
                <c:rich>
                  <a:bodyPr/>
                  <a:lstStyle/>
                  <a:p>
                    <a:fld id="{BCE3AC6E-380A-4F61-8B94-B8849478097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4EA2-4939-99E1-FF593FB107CC}"/>
                </c:ext>
              </c:extLst>
            </c:dLbl>
            <c:dLbl>
              <c:idx val="16"/>
              <c:layout>
                <c:manualLayout>
                  <c:x val="-3.9930555555555552E-2"/>
                  <c:y val="3.9351851851851853E-2"/>
                </c:manualLayout>
              </c:layout>
              <c:tx>
                <c:rich>
                  <a:bodyPr/>
                  <a:lstStyle/>
                  <a:p>
                    <a:fld id="{BBAEECFE-2648-41B2-AC27-A1ECC20F92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4EA2-4939-99E1-FF593FB107CC}"/>
                </c:ext>
              </c:extLst>
            </c:dLbl>
            <c:dLbl>
              <c:idx val="17"/>
              <c:layout>
                <c:manualLayout>
                  <c:x val="-6.7708333333333398E-2"/>
                  <c:y val="-2.7777777777777776E-2"/>
                </c:manualLayout>
              </c:layout>
              <c:tx>
                <c:rich>
                  <a:bodyPr/>
                  <a:lstStyle/>
                  <a:p>
                    <a:fld id="{ECFF551D-1BB8-4B41-93CB-38A48DA0D1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4EA2-4939-99E1-FF593FB107CC}"/>
                </c:ext>
              </c:extLst>
            </c:dLbl>
            <c:dLbl>
              <c:idx val="18"/>
              <c:layout>
                <c:manualLayout>
                  <c:x val="0"/>
                  <c:y val="3.2407407407407364E-2"/>
                </c:manualLayout>
              </c:layout>
              <c:tx>
                <c:rich>
                  <a:bodyPr/>
                  <a:lstStyle/>
                  <a:p>
                    <a:fld id="{21D54E3F-9437-4B55-ADEC-2B6190BFCF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4EA2-4939-99E1-FF593FB107CC}"/>
                </c:ext>
              </c:extLst>
            </c:dLbl>
            <c:dLbl>
              <c:idx val="19"/>
              <c:delete val="1"/>
              <c:extLst>
                <c:ext xmlns:c15="http://schemas.microsoft.com/office/drawing/2012/chart" uri="{CE6537A1-D6FC-4f65-9D91-7224C49458BB}"/>
                <c:ext xmlns:c16="http://schemas.microsoft.com/office/drawing/2014/chart" uri="{C3380CC4-5D6E-409C-BE32-E72D297353CC}">
                  <c16:uniqueId val="{0000000D-4EA2-4939-99E1-FF593FB107CC}"/>
                </c:ext>
              </c:extLst>
            </c:dLbl>
            <c:dLbl>
              <c:idx val="20"/>
              <c:layout>
                <c:manualLayout>
                  <c:x val="-3.4722222222222224E-2"/>
                  <c:y val="-2.5462962962962962E-2"/>
                </c:manualLayout>
              </c:layout>
              <c:tx>
                <c:rich>
                  <a:bodyPr/>
                  <a:lstStyle/>
                  <a:p>
                    <a:fld id="{BD2D8B5F-01F3-43E1-8C72-4AB2C0ECE0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4EA2-4939-99E1-FF593FB107CC}"/>
                </c:ext>
              </c:extLst>
            </c:dLbl>
            <c:dLbl>
              <c:idx val="21"/>
              <c:layout>
                <c:manualLayout>
                  <c:x val="3.472222222222222E-3"/>
                  <c:y val="7.8703703703703706E-2"/>
                </c:manualLayout>
              </c:layout>
              <c:tx>
                <c:rich>
                  <a:bodyPr/>
                  <a:lstStyle/>
                  <a:p>
                    <a:fld id="{7C668EA3-E5BB-4873-9BE0-9190E8065C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4EA2-4939-99E1-FF593FB107CC}"/>
                </c:ext>
              </c:extLst>
            </c:dLbl>
            <c:dLbl>
              <c:idx val="22"/>
              <c:layout>
                <c:manualLayout>
                  <c:x val="-6.6636318897637797E-2"/>
                  <c:y val="-1.8281204432779235E-2"/>
                </c:manualLayout>
              </c:layout>
              <c:tx>
                <c:rich>
                  <a:bodyPr/>
                  <a:lstStyle/>
                  <a:p>
                    <a:fld id="{CB2A1E38-2AB9-4A55-8B03-F12EC822F8DD}"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4EA2-4939-99E1-FF593FB107CC}"/>
                </c:ext>
              </c:extLst>
            </c:dLbl>
            <c:dLbl>
              <c:idx val="23"/>
              <c:layout>
                <c:manualLayout>
                  <c:x val="1.736111111111111E-3"/>
                  <c:y val="-2.3148148148148147E-2"/>
                </c:manualLayout>
              </c:layout>
              <c:tx>
                <c:rich>
                  <a:bodyPr/>
                  <a:lstStyle/>
                  <a:p>
                    <a:fld id="{2784D021-497C-4144-860C-2B73643478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4EA2-4939-99E1-FF593FB107CC}"/>
                </c:ext>
              </c:extLst>
            </c:dLbl>
            <c:dLbl>
              <c:idx val="24"/>
              <c:delete val="1"/>
              <c:extLst>
                <c:ext xmlns:c15="http://schemas.microsoft.com/office/drawing/2012/chart" uri="{CE6537A1-D6FC-4f65-9D91-7224C49458BB}"/>
                <c:ext xmlns:c16="http://schemas.microsoft.com/office/drawing/2014/chart" uri="{C3380CC4-5D6E-409C-BE32-E72D297353CC}">
                  <c16:uniqueId val="{0000001D-4EA2-4939-99E1-FF593FB107CC}"/>
                </c:ext>
              </c:extLst>
            </c:dLbl>
            <c:dLbl>
              <c:idx val="25"/>
              <c:tx>
                <c:rich>
                  <a:bodyPr/>
                  <a:lstStyle/>
                  <a:p>
                    <a:fld id="{BE8BAD23-80EB-4739-9E9A-084FC2F08E5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4EA2-4939-99E1-FF593FB107CC}"/>
                </c:ext>
              </c:extLst>
            </c:dLbl>
            <c:dLbl>
              <c:idx val="26"/>
              <c:tx>
                <c:rich>
                  <a:bodyPr/>
                  <a:lstStyle/>
                  <a:p>
                    <a:fld id="{330CB6E0-D567-43F0-9CB8-C78078D33F6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4EA2-4939-99E1-FF593FB107CC}"/>
                </c:ext>
              </c:extLst>
            </c:dLbl>
            <c:dLbl>
              <c:idx val="27"/>
              <c:layout>
                <c:manualLayout>
                  <c:x val="-4.6874999999999938E-2"/>
                  <c:y val="-3.0092592592592591E-2"/>
                </c:manualLayout>
              </c:layout>
              <c:tx>
                <c:rich>
                  <a:bodyPr/>
                  <a:lstStyle/>
                  <a:p>
                    <a:fld id="{79CDB6D8-E960-4EDE-8CC3-841DC4E061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4EA2-4939-99E1-FF593FB107CC}"/>
                </c:ext>
              </c:extLst>
            </c:dLbl>
            <c:dLbl>
              <c:idx val="28"/>
              <c:layout>
                <c:manualLayout>
                  <c:x val="6.7708333333333329E-2"/>
                  <c:y val="3.7037037037037035E-2"/>
                </c:manualLayout>
              </c:layout>
              <c:tx>
                <c:rich>
                  <a:bodyPr/>
                  <a:lstStyle/>
                  <a:p>
                    <a:fld id="{6233F14D-FA21-4F3C-9AE9-0A25F2BE85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4EA2-4939-99E1-FF593FB107CC}"/>
                </c:ext>
              </c:extLst>
            </c:dLbl>
            <c:dLbl>
              <c:idx val="29"/>
              <c:delete val="1"/>
              <c:extLst>
                <c:ext xmlns:c15="http://schemas.microsoft.com/office/drawing/2012/chart" uri="{CE6537A1-D6FC-4f65-9D91-7224C49458BB}"/>
                <c:ext xmlns:c16="http://schemas.microsoft.com/office/drawing/2014/chart" uri="{C3380CC4-5D6E-409C-BE32-E72D297353CC}">
                  <c16:uniqueId val="{00000015-4EA2-4939-99E1-FF593FB107CC}"/>
                </c:ext>
              </c:extLst>
            </c:dLbl>
            <c:dLbl>
              <c:idx val="30"/>
              <c:layout>
                <c:manualLayout>
                  <c:x val="2.4921943350831081E-2"/>
                  <c:y val="1.8518518518518517E-2"/>
                </c:manualLayout>
              </c:layout>
              <c:tx>
                <c:rich>
                  <a:bodyPr/>
                  <a:lstStyle/>
                  <a:p>
                    <a:fld id="{BF5E1A47-27A7-4734-9515-D3EDC380B19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4EA2-4939-99E1-FF593FB107CC}"/>
                </c:ext>
              </c:extLst>
            </c:dLbl>
            <c:dLbl>
              <c:idx val="31"/>
              <c:layout>
                <c:manualLayout>
                  <c:x val="1.7361111111109837E-3"/>
                  <c:y val="1.1574074074074032E-2"/>
                </c:manualLayout>
              </c:layout>
              <c:tx>
                <c:rich>
                  <a:bodyPr/>
                  <a:lstStyle/>
                  <a:p>
                    <a:fld id="{57BDEE4E-D5EC-4CF3-A0CB-796A4602ECF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4EA2-4939-99E1-FF593FB107CC}"/>
                </c:ext>
              </c:extLst>
            </c:dLbl>
            <c:dLbl>
              <c:idx val="32"/>
              <c:layout>
                <c:manualLayout>
                  <c:x val="-6.9444444444444441E-3"/>
                  <c:y val="-3.0092592592592591E-2"/>
                </c:manualLayout>
              </c:layout>
              <c:tx>
                <c:rich>
                  <a:bodyPr/>
                  <a:lstStyle/>
                  <a:p>
                    <a:fld id="{0779A17A-E6C3-4FDE-86E6-1B95C27398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4EA2-4939-99E1-FF593FB107CC}"/>
                </c:ext>
              </c:extLst>
            </c:dLbl>
            <c:dLbl>
              <c:idx val="33"/>
              <c:tx>
                <c:rich>
                  <a:bodyPr/>
                  <a:lstStyle/>
                  <a:p>
                    <a:fld id="{CE058DB1-0C28-4C49-BEA4-E26FD9FA73E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4EA2-4939-99E1-FF593FB107CC}"/>
                </c:ext>
              </c:extLst>
            </c:dLbl>
            <c:dLbl>
              <c:idx val="34"/>
              <c:layout>
                <c:manualLayout>
                  <c:x val="-5.0347222222222224E-2"/>
                  <c:y val="-3.4722222222222224E-2"/>
                </c:manualLayout>
              </c:layout>
              <c:tx>
                <c:rich>
                  <a:bodyPr/>
                  <a:lstStyle/>
                  <a:p>
                    <a:fld id="{2B47C676-14C2-4576-BFD5-787F0BAE5C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4EA2-4939-99E1-FF593FB107CC}"/>
                </c:ext>
              </c:extLst>
            </c:dLbl>
            <c:dLbl>
              <c:idx val="35"/>
              <c:delete val="1"/>
              <c:extLst>
                <c:ext xmlns:c15="http://schemas.microsoft.com/office/drawing/2012/chart" uri="{CE6537A1-D6FC-4f65-9D91-7224C49458BB}"/>
                <c:ext xmlns:c16="http://schemas.microsoft.com/office/drawing/2014/chart" uri="{C3380CC4-5D6E-409C-BE32-E72D297353CC}">
                  <c16:uniqueId val="{00000026-4EA2-4939-99E1-FF593FB107CC}"/>
                </c:ext>
              </c:extLst>
            </c:dLbl>
            <c:dLbl>
              <c:idx val="36"/>
              <c:delete val="1"/>
              <c:extLst>
                <c:ext xmlns:c15="http://schemas.microsoft.com/office/drawing/2012/chart" uri="{CE6537A1-D6FC-4f65-9D91-7224C49458BB}"/>
                <c:ext xmlns:c16="http://schemas.microsoft.com/office/drawing/2014/chart" uri="{C3380CC4-5D6E-409C-BE32-E72D297353CC}">
                  <c16:uniqueId val="{00000027-4EA2-4939-99E1-FF593FB107CC}"/>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'Acct Ownership'!$E$2:$E$38</c:f>
              <c:numCache>
                <c:formatCode>0.0</c:formatCode>
                <c:ptCount val="37"/>
                <c:pt idx="0">
                  <c:v>22.3316464905364</c:v>
                </c:pt>
                <c:pt idx="1">
                  <c:v>49.0557470327837</c:v>
                </c:pt>
                <c:pt idx="2">
                  <c:v>59.6866154697314</c:v>
                </c:pt>
                <c:pt idx="3">
                  <c:v>43.989040515510602</c:v>
                </c:pt>
                <c:pt idx="4">
                  <c:v>52.8996933484284</c:v>
                </c:pt>
                <c:pt idx="5">
                  <c:v>9.7176174896530192</c:v>
                </c:pt>
                <c:pt idx="6">
                  <c:v>20.140153154661299</c:v>
                </c:pt>
                <c:pt idx="7">
                  <c:v>41.839442705705302</c:v>
                </c:pt>
                <c:pt idx="8">
                  <c:v>33.456142782961699</c:v>
                </c:pt>
                <c:pt idx="9">
                  <c:v>50.591639345306398</c:v>
                </c:pt>
                <c:pt idx="10">
                  <c:v>53.817549836407501</c:v>
                </c:pt>
                <c:pt idx="11">
                  <c:v>65.3509471878412</c:v>
                </c:pt>
                <c:pt idx="12">
                  <c:v>41.615971332099399</c:v>
                </c:pt>
                <c:pt idx="13">
                  <c:v>63.721331083560401</c:v>
                </c:pt>
                <c:pt idx="14">
                  <c:v>34.862491856645697</c:v>
                </c:pt>
                <c:pt idx="15">
                  <c:v>78.310446680113301</c:v>
                </c:pt>
                <c:pt idx="16">
                  <c:v>31.2380546293167</c:v>
                </c:pt>
                <c:pt idx="17">
                  <c:v>86.515534401574797</c:v>
                </c:pt>
                <c:pt idx="18">
                  <c:v>60.4259618948848</c:v>
                </c:pt>
                <c:pt idx="19">
                  <c:v>46.2794636646139</c:v>
                </c:pt>
                <c:pt idx="20">
                  <c:v>20.296518425250898</c:v>
                </c:pt>
                <c:pt idx="21">
                  <c:v>46.279770842724901</c:v>
                </c:pt>
                <c:pt idx="22">
                  <c:v>45.604596570899901</c:v>
                </c:pt>
                <c:pt idx="23">
                  <c:v>87.442770260749995</c:v>
                </c:pt>
                <c:pt idx="24">
                  <c:v>45.4883633087181</c:v>
                </c:pt>
                <c:pt idx="25">
                  <c:v>75.038224810669206</c:v>
                </c:pt>
                <c:pt idx="26">
                  <c:v>12.203046403000601</c:v>
                </c:pt>
                <c:pt idx="27">
                  <c:v>52.2155914465012</c:v>
                </c:pt>
                <c:pt idx="28">
                  <c:v>44.960501532741901</c:v>
                </c:pt>
                <c:pt idx="29">
                  <c:v>73.594134582360596</c:v>
                </c:pt>
                <c:pt idx="30">
                  <c:v>35.934720342353401</c:v>
                </c:pt>
                <c:pt idx="31">
                  <c:v>80.992415435839504</c:v>
                </c:pt>
                <c:pt idx="32">
                  <c:v>54.934631821523602</c:v>
                </c:pt>
                <c:pt idx="33">
                  <c:v>45.349482515352499</c:v>
                </c:pt>
                <c:pt idx="34">
                  <c:v>66.367090247420293</c:v>
                </c:pt>
                <c:pt idx="35">
                  <c:v>70.172074871880994</c:v>
                </c:pt>
                <c:pt idx="36">
                  <c:v>46.994018206732697</c:v>
                </c:pt>
              </c:numCache>
            </c:numRef>
          </c:xVal>
          <c:yVal>
            <c:numRef>
              <c:f>'Acct Ownership'!$D$2:$D$38</c:f>
              <c:numCache>
                <c:formatCode>0.0</c:formatCode>
                <c:ptCount val="37"/>
                <c:pt idx="0">
                  <c:v>36.132131383966801</c:v>
                </c:pt>
                <c:pt idx="1">
                  <c:v>55.016187510097097</c:v>
                </c:pt>
                <c:pt idx="2">
                  <c:v>63.550208809833499</c:v>
                </c:pt>
                <c:pt idx="3">
                  <c:v>59.785369864792102</c:v>
                </c:pt>
                <c:pt idx="4">
                  <c:v>69.355357795651202</c:v>
                </c:pt>
                <c:pt idx="5">
                  <c:v>18.082501344832799</c:v>
                </c:pt>
                <c:pt idx="6">
                  <c:v>21.693763783919199</c:v>
                </c:pt>
                <c:pt idx="7">
                  <c:v>49.602471951137503</c:v>
                </c:pt>
                <c:pt idx="8">
                  <c:v>44.594445859031403</c:v>
                </c:pt>
                <c:pt idx="9">
                  <c:v>60.558639145526499</c:v>
                </c:pt>
                <c:pt idx="10">
                  <c:v>61.202744650605503</c:v>
                </c:pt>
                <c:pt idx="11">
                  <c:v>64.809563032206995</c:v>
                </c:pt>
                <c:pt idx="12">
                  <c:v>56.5265673875994</c:v>
                </c:pt>
                <c:pt idx="13">
                  <c:v>72.417329210808006</c:v>
                </c:pt>
                <c:pt idx="14">
                  <c:v>41.726889018907499</c:v>
                </c:pt>
                <c:pt idx="15">
                  <c:v>84.419423647598506</c:v>
                </c:pt>
                <c:pt idx="16">
                  <c:v>40.859970935378499</c:v>
                </c:pt>
                <c:pt idx="17">
                  <c:v>93.889509049655302</c:v>
                </c:pt>
                <c:pt idx="18">
                  <c:v>62.915302715596397</c:v>
                </c:pt>
                <c:pt idx="19">
                  <c:v>58.131144696964903</c:v>
                </c:pt>
                <c:pt idx="20">
                  <c:v>28.9510608133895</c:v>
                </c:pt>
                <c:pt idx="21">
                  <c:v>54.835476598581799</c:v>
                </c:pt>
                <c:pt idx="22">
                  <c:v>64.185279812670998</c:v>
                </c:pt>
                <c:pt idx="23">
                  <c:v>91.783204766415494</c:v>
                </c:pt>
                <c:pt idx="24">
                  <c:v>63.354996211833203</c:v>
                </c:pt>
                <c:pt idx="25">
                  <c:v>70.659277654641997</c:v>
                </c:pt>
                <c:pt idx="26">
                  <c:v>17.613956205825499</c:v>
                </c:pt>
                <c:pt idx="27">
                  <c:v>74.302879584058999</c:v>
                </c:pt>
                <c:pt idx="28">
                  <c:v>55.745464692484802</c:v>
                </c:pt>
                <c:pt idx="29">
                  <c:v>79.6122559003812</c:v>
                </c:pt>
                <c:pt idx="30">
                  <c:v>41.479031896296803</c:v>
                </c:pt>
                <c:pt idx="31">
                  <c:v>81.278743486231704</c:v>
                </c:pt>
                <c:pt idx="32">
                  <c:v>65.336246937256504</c:v>
                </c:pt>
                <c:pt idx="33">
                  <c:v>69.999982816519207</c:v>
                </c:pt>
                <c:pt idx="34">
                  <c:v>80.267860656899501</c:v>
                </c:pt>
                <c:pt idx="35">
                  <c:v>75.461434648417693</c:v>
                </c:pt>
                <c:pt idx="36">
                  <c:v>52.4013370486159</c:v>
                </c:pt>
              </c:numCache>
            </c:numRef>
          </c:yVal>
          <c:smooth val="0"/>
          <c:extLst>
            <c:ext xmlns:c15="http://schemas.microsoft.com/office/drawing/2012/chart" uri="{02D57815-91ED-43cb-92C2-25804820EDAC}">
              <c15:datalabelsRange>
                <c15:f>'Acct Ownership'!$B$2:$B$38</c15:f>
                <c15:dlblRangeCache>
                  <c:ptCount val="37"/>
                  <c:pt idx="0">
                    <c:v>AGO</c:v>
                  </c:pt>
                  <c:pt idx="1">
                    <c:v>BEN</c:v>
                  </c:pt>
                  <c:pt idx="2">
                    <c:v>BWA</c:v>
                  </c:pt>
                  <c:pt idx="3">
                    <c:v>BFA</c:v>
                  </c:pt>
                  <c:pt idx="4">
                    <c:v>CMR</c:v>
                  </c:pt>
                  <c:pt idx="5">
                    <c:v>CAF</c:v>
                  </c:pt>
                  <c:pt idx="6">
                    <c:v>TCD</c:v>
                  </c:pt>
                  <c:pt idx="7">
                    <c:v>COM</c:v>
                  </c:pt>
                  <c:pt idx="8">
                    <c:v>COD</c:v>
                  </c:pt>
                  <c:pt idx="9">
                    <c:v>COG</c:v>
                  </c:pt>
                  <c:pt idx="10">
                    <c:v>CIV</c:v>
                  </c:pt>
                  <c:pt idx="11">
                    <c:v>SWZ</c:v>
                  </c:pt>
                  <c:pt idx="12">
                    <c:v>ETH</c:v>
                  </c:pt>
                  <c:pt idx="13">
                    <c:v>GAB</c:v>
                  </c:pt>
                  <c:pt idx="14">
                    <c:v>GMB</c:v>
                  </c:pt>
                  <c:pt idx="15">
                    <c:v>GHA</c:v>
                  </c:pt>
                  <c:pt idx="16">
                    <c:v>GIN</c:v>
                  </c:pt>
                  <c:pt idx="17">
                    <c:v>KEN</c:v>
                  </c:pt>
                  <c:pt idx="18">
                    <c:v>LSO</c:v>
                  </c:pt>
                  <c:pt idx="19">
                    <c:v>LBR</c:v>
                  </c:pt>
                  <c:pt idx="20">
                    <c:v>MDG</c:v>
                  </c:pt>
                  <c:pt idx="21">
                    <c:v>MWI</c:v>
                  </c:pt>
                  <c:pt idx="22">
                    <c:v>MLI</c:v>
                  </c:pt>
                  <c:pt idx="23">
                    <c:v>MUS</c:v>
                  </c:pt>
                  <c:pt idx="24">
                    <c:v>MOZ</c:v>
                  </c:pt>
                  <c:pt idx="25">
                    <c:v>NAM</c:v>
                  </c:pt>
                  <c:pt idx="26">
                    <c:v>NER</c:v>
                  </c:pt>
                  <c:pt idx="27">
                    <c:v>NGA</c:v>
                  </c:pt>
                  <c:pt idx="28">
                    <c:v>RWA</c:v>
                  </c:pt>
                  <c:pt idx="29">
                    <c:v>SEN</c:v>
                  </c:pt>
                  <c:pt idx="30">
                    <c:v>SLE</c:v>
                  </c:pt>
                  <c:pt idx="31">
                    <c:v>ZAF</c:v>
                  </c:pt>
                  <c:pt idx="32">
                    <c:v>TZA</c:v>
                  </c:pt>
                  <c:pt idx="33">
                    <c:v>TGO</c:v>
                  </c:pt>
                  <c:pt idx="34">
                    <c:v>UGA</c:v>
                  </c:pt>
                  <c:pt idx="35">
                    <c:v>ZMB</c:v>
                  </c:pt>
                  <c:pt idx="36">
                    <c:v>ZWE</c:v>
                  </c:pt>
                </c15:dlblRangeCache>
              </c15:datalabelsRange>
            </c:ext>
            <c:ext xmlns:c16="http://schemas.microsoft.com/office/drawing/2014/chart" uri="{C3380CC4-5D6E-409C-BE32-E72D297353CC}">
              <c16:uniqueId val="{00000020-4EA2-4939-99E1-FF593FB107CC}"/>
            </c:ext>
          </c:extLst>
        </c:ser>
        <c:ser>
          <c:idx val="1"/>
          <c:order val="1"/>
          <c:tx>
            <c:v>Line</c:v>
          </c:tx>
          <c:spPr>
            <a:ln w="25400" cap="rnd">
              <a:noFill/>
              <a:round/>
            </a:ln>
            <a:effectLst/>
          </c:spPr>
          <c:marker>
            <c:symbol val="none"/>
          </c:marker>
          <c:trendline>
            <c:spPr>
              <a:ln w="19050" cap="rnd">
                <a:solidFill>
                  <a:srgbClr val="707372"/>
                </a:solidFill>
                <a:prstDash val="sysDot"/>
              </a:ln>
              <a:effectLst/>
            </c:spPr>
            <c:trendlineType val="linear"/>
            <c:dispRSqr val="0"/>
            <c:dispEq val="0"/>
          </c:trendline>
          <c:xVal>
            <c:numRef>
              <c:f>'Acct Ownership'!$D$40:$D$50</c:f>
              <c:numCache>
                <c:formatCode>General</c:formatCode>
                <c:ptCount val="11"/>
                <c:pt idx="0">
                  <c:v>0</c:v>
                </c:pt>
                <c:pt idx="1">
                  <c:v>10</c:v>
                </c:pt>
                <c:pt idx="2">
                  <c:v>20</c:v>
                </c:pt>
                <c:pt idx="3">
                  <c:v>30</c:v>
                </c:pt>
                <c:pt idx="4">
                  <c:v>40</c:v>
                </c:pt>
                <c:pt idx="5">
                  <c:v>50</c:v>
                </c:pt>
                <c:pt idx="6">
                  <c:v>60</c:v>
                </c:pt>
                <c:pt idx="7">
                  <c:v>70</c:v>
                </c:pt>
                <c:pt idx="8">
                  <c:v>80</c:v>
                </c:pt>
                <c:pt idx="9">
                  <c:v>90</c:v>
                </c:pt>
                <c:pt idx="10">
                  <c:v>100</c:v>
                </c:pt>
              </c:numCache>
            </c:numRef>
          </c:xVal>
          <c:yVal>
            <c:numRef>
              <c:f>'Acct Ownership'!$E$40:$E$50</c:f>
              <c:numCache>
                <c:formatCode>General</c:formatCode>
                <c:ptCount val="11"/>
                <c:pt idx="0">
                  <c:v>0</c:v>
                </c:pt>
                <c:pt idx="1">
                  <c:v>10</c:v>
                </c:pt>
                <c:pt idx="2">
                  <c:v>20</c:v>
                </c:pt>
                <c:pt idx="3">
                  <c:v>30</c:v>
                </c:pt>
                <c:pt idx="4">
                  <c:v>40</c:v>
                </c:pt>
                <c:pt idx="5">
                  <c:v>50</c:v>
                </c:pt>
                <c:pt idx="6">
                  <c:v>60</c:v>
                </c:pt>
                <c:pt idx="7">
                  <c:v>70</c:v>
                </c:pt>
                <c:pt idx="8">
                  <c:v>80</c:v>
                </c:pt>
                <c:pt idx="9">
                  <c:v>90</c:v>
                </c:pt>
                <c:pt idx="10">
                  <c:v>100</c:v>
                </c:pt>
              </c:numCache>
            </c:numRef>
          </c:yVal>
          <c:smooth val="0"/>
          <c:extLst>
            <c:ext xmlns:c16="http://schemas.microsoft.com/office/drawing/2014/chart" uri="{C3380CC4-5D6E-409C-BE32-E72D297353CC}">
              <c16:uniqueId val="{00000022-4EA2-4939-99E1-FF593FB107CC}"/>
            </c:ext>
          </c:extLst>
        </c:ser>
        <c:dLbls>
          <c:showLegendKey val="0"/>
          <c:showVal val="0"/>
          <c:showCatName val="0"/>
          <c:showSerName val="0"/>
          <c:showPercent val="0"/>
          <c:showBubbleSize val="0"/>
        </c:dLbls>
        <c:axId val="2015792527"/>
        <c:axId val="767875503"/>
      </c:scatterChart>
      <c:valAx>
        <c:axId val="2015792527"/>
        <c:scaling>
          <c:orientation val="minMax"/>
          <c:max val="100"/>
        </c:scaling>
        <c:delete val="0"/>
        <c:axPos val="b"/>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800" b="0">
                    <a:latin typeface="Arial" panose="020B0604020202020204" pitchFamily="34" charset="0"/>
                    <a:cs typeface="Arial" panose="020B0604020202020204" pitchFamily="34" charset="0"/>
                  </a:rPr>
                  <a:t>Female</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in"/>
        <c:minorTickMark val="none"/>
        <c:tickLblPos val="nextTo"/>
        <c:spPr>
          <a:noFill/>
          <a:ln w="3175" cap="flat" cmpd="sng" algn="ctr">
            <a:solidFill>
              <a:srgbClr val="B3B3B3"/>
            </a:solidFill>
            <a:prstDash val="solid"/>
            <a:round/>
          </a:ln>
          <a:effectLst/>
        </c:spPr>
        <c:txPr>
          <a:bodyPr rot="-60000000" spcFirstLastPara="1" vertOverflow="ellipsis" vert="horz" wrap="square" anchor="ctr" anchorCtr="1"/>
          <a:lstStyle/>
          <a:p>
            <a:pPr>
              <a:defRPr sz="1400" b="0" i="0" u="none" strike="noStrike" kern="1200" baseline="0">
                <a:solidFill>
                  <a:srgbClr val="000000"/>
                </a:solidFill>
                <a:latin typeface="Arial" panose="020B0604020202020204" pitchFamily="34" charset="0"/>
                <a:ea typeface="Segoe UI"/>
                <a:cs typeface="Arial" panose="020B0604020202020204" pitchFamily="34" charset="0"/>
              </a:defRPr>
            </a:pPr>
            <a:endParaRPr lang="en-US"/>
          </a:p>
        </c:txPr>
        <c:crossAx val="767875503"/>
        <c:crosses val="autoZero"/>
        <c:crossBetween val="midCat"/>
      </c:valAx>
      <c:valAx>
        <c:axId val="767875503"/>
        <c:scaling>
          <c:orientation val="minMax"/>
          <c:max val="100"/>
        </c:scaling>
        <c:delete val="0"/>
        <c:axPos val="l"/>
        <c:title>
          <c:tx>
            <c:rich>
              <a:bodyPr rot="-5400000" spcFirstLastPara="1" vertOverflow="ellipsis" vert="horz" wrap="square" anchor="ctr" anchorCtr="1"/>
              <a:lstStyle/>
              <a:p>
                <a:pPr>
                  <a:defRPr sz="1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800" b="0">
                    <a:latin typeface="Arial" panose="020B0604020202020204" pitchFamily="34" charset="0"/>
                    <a:cs typeface="Arial" panose="020B0604020202020204" pitchFamily="34" charset="0"/>
                  </a:rPr>
                  <a:t>Male</a:t>
                </a: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in"/>
        <c:minorTickMark val="none"/>
        <c:tickLblPos val="nextTo"/>
        <c:spPr>
          <a:noFill/>
          <a:ln w="3175" cap="flat" cmpd="sng" algn="ctr">
            <a:solidFill>
              <a:srgbClr val="B3B3B3"/>
            </a:solidFill>
            <a:prstDash val="solid"/>
            <a:round/>
          </a:ln>
          <a:effectLst/>
        </c:spPr>
        <c:txPr>
          <a:bodyPr rot="-60000000" spcFirstLastPara="1" vertOverflow="ellipsis" vert="horz" wrap="square" anchor="ctr" anchorCtr="1"/>
          <a:lstStyle/>
          <a:p>
            <a:pPr>
              <a:defRPr sz="1400" b="0" i="0" u="none" strike="noStrike" kern="1200" baseline="0">
                <a:solidFill>
                  <a:srgbClr val="000000"/>
                </a:solidFill>
                <a:latin typeface="Arial" panose="020B0604020202020204" pitchFamily="34" charset="0"/>
                <a:ea typeface="Segoe UI"/>
                <a:cs typeface="Arial" panose="020B0604020202020204" pitchFamily="34" charset="0"/>
              </a:defRPr>
            </a:pPr>
            <a:endParaRPr lang="en-US"/>
          </a:p>
        </c:txPr>
        <c:crossAx val="2015792527"/>
        <c:crosses val="autoZero"/>
        <c:crossBetween val="midCat"/>
      </c:valAx>
      <c:spPr>
        <a:solidFill>
          <a:srgbClr val="FFFFFF"/>
        </a:solidFill>
        <a:ln w="3175">
          <a:solidFill>
            <a:srgbClr val="B3B3B3"/>
          </a:solidFill>
          <a:prstDash val="solid"/>
        </a:ln>
        <a:effectLst/>
      </c:spPr>
    </c:plotArea>
    <c:plotVisOnly val="1"/>
    <c:dispBlanksAs val="gap"/>
    <c:showDLblsOverMax val="0"/>
  </c:chart>
  <c:spPr>
    <a:no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3353802213291935"/>
          <c:y val="0.1079232875673934"/>
          <c:w val="0.86556121621183113"/>
          <c:h val="0.77725972881548655"/>
        </c:manualLayout>
      </c:layout>
      <c:barChart>
        <c:barDir val="col"/>
        <c:grouping val="clustered"/>
        <c:varyColors val="0"/>
        <c:ser>
          <c:idx val="0"/>
          <c:order val="0"/>
          <c:tx>
            <c:strRef>
              <c:f>'Acct Ownership (2)'!$B$1</c:f>
              <c:strCache>
                <c:ptCount val="1"/>
                <c:pt idx="0">
                  <c:v>Male</c:v>
                </c:pt>
              </c:strCache>
            </c:strRef>
          </c:tx>
          <c:spPr>
            <a:solidFill>
              <a:srgbClr val="004C97"/>
            </a:solidFill>
            <a:ln w="3175">
              <a:solidFill>
                <a:srgbClr val="000000"/>
              </a:solidFill>
              <a:prstDash val="solid"/>
            </a:ln>
            <a:effectLst/>
          </c:spPr>
          <c:invertIfNegative val="0"/>
          <c:cat>
            <c:strRef>
              <c:f>'Acct Ownership (2)'!$A$2:$A$4</c:f>
              <c:strCache>
                <c:ptCount val="3"/>
                <c:pt idx="0">
                  <c:v>AFR</c:v>
                </c:pt>
                <c:pt idx="1">
                  <c:v>EMs</c:v>
                </c:pt>
                <c:pt idx="2">
                  <c:v>AEs</c:v>
                </c:pt>
              </c:strCache>
            </c:strRef>
          </c:cat>
          <c:val>
            <c:numRef>
              <c:f>'Acct Ownership (2)'!$B$2:$B$4</c:f>
              <c:numCache>
                <c:formatCode>0</c:formatCode>
                <c:ptCount val="3"/>
                <c:pt idx="0">
                  <c:v>58.987513824989982</c:v>
                </c:pt>
                <c:pt idx="1">
                  <c:v>70.68009748001873</c:v>
                </c:pt>
                <c:pt idx="2">
                  <c:v>96.804404497329358</c:v>
                </c:pt>
              </c:numCache>
            </c:numRef>
          </c:val>
          <c:extLst>
            <c:ext xmlns:c16="http://schemas.microsoft.com/office/drawing/2014/chart" uri="{C3380CC4-5D6E-409C-BE32-E72D297353CC}">
              <c16:uniqueId val="{00000000-6FAC-4509-A3FC-164CCA9B939A}"/>
            </c:ext>
          </c:extLst>
        </c:ser>
        <c:ser>
          <c:idx val="1"/>
          <c:order val="1"/>
          <c:tx>
            <c:strRef>
              <c:f>'Acct Ownership (2)'!$C$1</c:f>
              <c:strCache>
                <c:ptCount val="1"/>
                <c:pt idx="0">
                  <c:v>Female</c:v>
                </c:pt>
              </c:strCache>
            </c:strRef>
          </c:tx>
          <c:spPr>
            <a:pattFill prst="ltDnDiag">
              <a:fgClr>
                <a:srgbClr val="231F20"/>
              </a:fgClr>
              <a:bgClr>
                <a:srgbClr val="FFFFFF"/>
              </a:bgClr>
            </a:pattFill>
            <a:ln w="3175">
              <a:solidFill>
                <a:srgbClr val="000000"/>
              </a:solidFill>
              <a:prstDash val="solid"/>
            </a:ln>
            <a:effectLst/>
          </c:spPr>
          <c:invertIfNegative val="0"/>
          <c:cat>
            <c:strRef>
              <c:f>'Acct Ownership (2)'!$A$2:$A$4</c:f>
              <c:strCache>
                <c:ptCount val="3"/>
                <c:pt idx="0">
                  <c:v>AFR</c:v>
                </c:pt>
                <c:pt idx="1">
                  <c:v>EMs</c:v>
                </c:pt>
                <c:pt idx="2">
                  <c:v>AEs</c:v>
                </c:pt>
              </c:strCache>
            </c:strRef>
          </c:cat>
          <c:val>
            <c:numRef>
              <c:f>'Acct Ownership (2)'!$C$2:$C$4</c:f>
              <c:numCache>
                <c:formatCode>0</c:formatCode>
                <c:ptCount val="3"/>
                <c:pt idx="0">
                  <c:v>49.992255203433956</c:v>
                </c:pt>
                <c:pt idx="1">
                  <c:v>63.695673737225363</c:v>
                </c:pt>
                <c:pt idx="2">
                  <c:v>95.38252711280883</c:v>
                </c:pt>
              </c:numCache>
            </c:numRef>
          </c:val>
          <c:extLst>
            <c:ext xmlns:c16="http://schemas.microsoft.com/office/drawing/2014/chart" uri="{C3380CC4-5D6E-409C-BE32-E72D297353CC}">
              <c16:uniqueId val="{00000001-6FAC-4509-A3FC-164CCA9B939A}"/>
            </c:ext>
          </c:extLst>
        </c:ser>
        <c:dLbls>
          <c:showLegendKey val="0"/>
          <c:showVal val="0"/>
          <c:showCatName val="0"/>
          <c:showSerName val="0"/>
          <c:showPercent val="0"/>
          <c:showBubbleSize val="0"/>
        </c:dLbls>
        <c:gapWidth val="100"/>
        <c:overlap val="-20"/>
        <c:axId val="659215872"/>
        <c:axId val="659217408"/>
      </c:barChart>
      <c:catAx>
        <c:axId val="659215872"/>
        <c:scaling>
          <c:orientation val="minMax"/>
        </c:scaling>
        <c:delete val="0"/>
        <c:axPos val="b"/>
        <c:numFmt formatCode="General" sourceLinked="1"/>
        <c:majorTickMark val="in"/>
        <c:minorTickMark val="none"/>
        <c:tickLblPos val="low"/>
        <c:spPr>
          <a:ln w="12700">
            <a:solidFill>
              <a:srgbClr val="B3B3B3"/>
            </a:solidFill>
            <a:prstDash val="solid"/>
          </a:ln>
        </c:spPr>
        <c:txPr>
          <a:bodyPr rot="0" vert="horz"/>
          <a:lstStyle/>
          <a:p>
            <a:pPr>
              <a:defRPr sz="1800">
                <a:latin typeface="Segoe UI"/>
                <a:ea typeface="Segoe UI"/>
                <a:cs typeface="Segoe UI"/>
              </a:defRPr>
            </a:pPr>
            <a:endParaRPr lang="en-US"/>
          </a:p>
        </c:txPr>
        <c:crossAx val="659217408"/>
        <c:crosses val="autoZero"/>
        <c:auto val="1"/>
        <c:lblAlgn val="ctr"/>
        <c:lblOffset val="100"/>
        <c:tickMarkSkip val="1"/>
        <c:noMultiLvlLbl val="0"/>
      </c:catAx>
      <c:valAx>
        <c:axId val="659217408"/>
        <c:scaling>
          <c:orientation val="minMax"/>
          <c:max val="100"/>
        </c:scaling>
        <c:delete val="0"/>
        <c:axPos val="l"/>
        <c:numFmt formatCode="General" sourceLinked="0"/>
        <c:majorTickMark val="in"/>
        <c:minorTickMark val="none"/>
        <c:tickLblPos val="nextTo"/>
        <c:spPr>
          <a:ln w="12700">
            <a:solidFill>
              <a:srgbClr val="B3B3B3"/>
            </a:solidFill>
            <a:prstDash val="solid"/>
          </a:ln>
        </c:spPr>
        <c:txPr>
          <a:bodyPr rot="0" vert="horz"/>
          <a:lstStyle/>
          <a:p>
            <a:pPr>
              <a:defRPr sz="1800">
                <a:latin typeface="Segoe UI"/>
                <a:ea typeface="Segoe UI"/>
                <a:cs typeface="Segoe UI"/>
              </a:defRPr>
            </a:pPr>
            <a:endParaRPr lang="en-US"/>
          </a:p>
        </c:txPr>
        <c:crossAx val="659215872"/>
        <c:crosses val="autoZero"/>
        <c:crossBetween val="between"/>
        <c:majorUnit val="20"/>
      </c:valAx>
      <c:spPr>
        <a:solidFill>
          <a:srgbClr val="FFFFFF"/>
        </a:solidFill>
        <a:ln w="12700">
          <a:solidFill>
            <a:srgbClr val="B3B3B3"/>
          </a:solidFill>
          <a:prstDash val="solid"/>
        </a:ln>
      </c:spPr>
    </c:plotArea>
    <c:legend>
      <c:legendPos val="t"/>
      <c:layout>
        <c:manualLayout>
          <c:xMode val="edge"/>
          <c:yMode val="edge"/>
          <c:x val="0.14054965900872804"/>
          <c:y val="0.1431575409920233"/>
          <c:w val="0.39476986101883849"/>
          <c:h val="5.9987832611590311E-2"/>
        </c:manualLayout>
      </c:layout>
      <c:overlay val="0"/>
      <c:spPr>
        <a:noFill/>
        <a:ln w="25400">
          <a:noFill/>
        </a:ln>
      </c:spPr>
      <c:txPr>
        <a:bodyPr/>
        <a:lstStyle/>
        <a:p>
          <a:pPr>
            <a:defRPr sz="1800">
              <a:latin typeface="Segoe UI"/>
              <a:ea typeface="Segoe UI"/>
              <a:cs typeface="Segoe UI"/>
            </a:defRPr>
          </a:pPr>
          <a:endParaRPr lang="en-US"/>
        </a:p>
      </c:txPr>
    </c:legend>
    <c:plotVisOnly val="1"/>
    <c:dispBlanksAs val="span"/>
    <c:showDLblsOverMax val="0"/>
  </c:chart>
  <c:spPr>
    <a:noFill/>
    <a:ln w="25400">
      <a:noFill/>
    </a:ln>
  </c:spPr>
  <c:txPr>
    <a:bodyPr/>
    <a:lstStyle/>
    <a:p>
      <a:pPr>
        <a:defRPr sz="1800" b="0" i="0" u="none" strike="noStrike" baseline="0">
          <a:solidFill>
            <a:srgbClr val="000000"/>
          </a:solidFill>
          <a:latin typeface="Segoe UI" pitchFamily="34" charset="0"/>
          <a:ea typeface="Frutiger LT Std 45 Light"/>
          <a:cs typeface="Segoe UI" pitchFamily="34" charset="0"/>
        </a:defRPr>
      </a:pPr>
      <a:endParaRPr lang="en-US"/>
    </a:p>
  </c:txPr>
  <c:printSettings>
    <c:headerFooter/>
    <c:pageMargins b="0.75" l="0.7" r="0.7" t="0.75" header="0.3" footer="0.3"/>
    <c:pageSetup/>
  </c:printSettings>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'WBL (2)'!$B$1</c:f>
              <c:strCache>
                <c:ptCount val="1"/>
                <c:pt idx="0">
                  <c:v>WBL Score</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'WBL (2)'!$A$2:$A$46</c:f>
              <c:strCache>
                <c:ptCount val="45"/>
                <c:pt idx="0">
                  <c:v>Comoros</c:v>
                </c:pt>
                <c:pt idx="1">
                  <c:v>Eswatini</c:v>
                </c:pt>
                <c:pt idx="2">
                  <c:v>Niger</c:v>
                </c:pt>
                <c:pt idx="3">
                  <c:v>Cameroon</c:v>
                </c:pt>
                <c:pt idx="4">
                  <c:v>Guinea-Bissau</c:v>
                </c:pt>
                <c:pt idx="5">
                  <c:v>Equatorial Guinea</c:v>
                </c:pt>
                <c:pt idx="6">
                  <c:v>Congo, Rep.</c:v>
                </c:pt>
                <c:pt idx="7">
                  <c:v>Eritrea</c:v>
                </c:pt>
                <c:pt idx="8">
                  <c:v>Mali</c:v>
                </c:pt>
                <c:pt idx="9">
                  <c:v>Botswana</c:v>
                </c:pt>
                <c:pt idx="10">
                  <c:v>Nigeria</c:v>
                </c:pt>
                <c:pt idx="11">
                  <c:v>Chad</c:v>
                </c:pt>
                <c:pt idx="12">
                  <c:v>Burundi</c:v>
                </c:pt>
                <c:pt idx="13">
                  <c:v>Senegal</c:v>
                </c:pt>
                <c:pt idx="14">
                  <c:v>Central African Republic</c:v>
                </c:pt>
                <c:pt idx="15">
                  <c:v>Ethiopia</c:v>
                </c:pt>
                <c:pt idx="16">
                  <c:v>Gambia, The</c:v>
                </c:pt>
                <c:pt idx="17">
                  <c:v>Liberia</c:v>
                </c:pt>
                <c:pt idx="18">
                  <c:v>Congo, Dem. Rep.</c:v>
                </c:pt>
                <c:pt idx="19">
                  <c:v>Guinea</c:v>
                </c:pt>
                <c:pt idx="20">
                  <c:v>South Sudan</c:v>
                </c:pt>
                <c:pt idx="21">
                  <c:v>Zimbabwe</c:v>
                </c:pt>
                <c:pt idx="22">
                  <c:v>Malawi</c:v>
                </c:pt>
                <c:pt idx="23">
                  <c:v>Uganda</c:v>
                </c:pt>
                <c:pt idx="24">
                  <c:v>Madagascar</c:v>
                </c:pt>
                <c:pt idx="25">
                  <c:v>Ghana</c:v>
                </c:pt>
                <c:pt idx="26">
                  <c:v>Lesotho</c:v>
                </c:pt>
                <c:pt idx="27">
                  <c:v>Tanzania</c:v>
                </c:pt>
                <c:pt idx="28">
                  <c:v>Burkina Faso</c:v>
                </c:pt>
                <c:pt idx="29">
                  <c:v>Benin</c:v>
                </c:pt>
                <c:pt idx="30">
                  <c:v>São Tomé and Príncipe</c:v>
                </c:pt>
                <c:pt idx="31">
                  <c:v>Mozambique</c:v>
                </c:pt>
                <c:pt idx="32">
                  <c:v>Kenya</c:v>
                </c:pt>
                <c:pt idx="33">
                  <c:v>Seychelles</c:v>
                </c:pt>
                <c:pt idx="34">
                  <c:v>Namibia</c:v>
                </c:pt>
                <c:pt idx="35">
                  <c:v>Rwanda</c:v>
                </c:pt>
                <c:pt idx="36">
                  <c:v>Angola</c:v>
                </c:pt>
                <c:pt idx="37">
                  <c:v>Sierra Leone</c:v>
                </c:pt>
                <c:pt idx="38">
                  <c:v>Gabon</c:v>
                </c:pt>
                <c:pt idx="39">
                  <c:v>Cabo Verde</c:v>
                </c:pt>
                <c:pt idx="40">
                  <c:v>South Africa</c:v>
                </c:pt>
                <c:pt idx="41">
                  <c:v>Zambia</c:v>
                </c:pt>
                <c:pt idx="42">
                  <c:v>Côte d'Ivoire</c:v>
                </c:pt>
                <c:pt idx="43">
                  <c:v>Togo</c:v>
                </c:pt>
                <c:pt idx="44">
                  <c:v>Mauritius</c:v>
                </c:pt>
              </c:strCache>
            </c:strRef>
          </c:cat>
          <c:val>
            <c:numRef>
              <c:f>'WBL (2)'!$B$2:$B$46</c:f>
              <c:numCache>
                <c:formatCode>0.0</c:formatCode>
                <c:ptCount val="45"/>
                <c:pt idx="0">
                  <c:v>34.380000000000003</c:v>
                </c:pt>
                <c:pt idx="1">
                  <c:v>35.35</c:v>
                </c:pt>
                <c:pt idx="2">
                  <c:v>38.08</c:v>
                </c:pt>
                <c:pt idx="3">
                  <c:v>44.48</c:v>
                </c:pt>
                <c:pt idx="4">
                  <c:v>48.75</c:v>
                </c:pt>
                <c:pt idx="5">
                  <c:v>49.15</c:v>
                </c:pt>
                <c:pt idx="6">
                  <c:v>50.23</c:v>
                </c:pt>
                <c:pt idx="7">
                  <c:v>50.28</c:v>
                </c:pt>
                <c:pt idx="8">
                  <c:v>50.33</c:v>
                </c:pt>
                <c:pt idx="9">
                  <c:v>51.1</c:v>
                </c:pt>
                <c:pt idx="10">
                  <c:v>51.1</c:v>
                </c:pt>
                <c:pt idx="11">
                  <c:v>51.4</c:v>
                </c:pt>
                <c:pt idx="12">
                  <c:v>52.68</c:v>
                </c:pt>
                <c:pt idx="13">
                  <c:v>52.9</c:v>
                </c:pt>
                <c:pt idx="14">
                  <c:v>53.48</c:v>
                </c:pt>
                <c:pt idx="15">
                  <c:v>57.2</c:v>
                </c:pt>
                <c:pt idx="16">
                  <c:v>57.5</c:v>
                </c:pt>
                <c:pt idx="17">
                  <c:v>58.95</c:v>
                </c:pt>
                <c:pt idx="18">
                  <c:v>59.5</c:v>
                </c:pt>
                <c:pt idx="19">
                  <c:v>61.88</c:v>
                </c:pt>
                <c:pt idx="20">
                  <c:v>62.1</c:v>
                </c:pt>
                <c:pt idx="21">
                  <c:v>62.3</c:v>
                </c:pt>
                <c:pt idx="22">
                  <c:v>62.48</c:v>
                </c:pt>
                <c:pt idx="23">
                  <c:v>64.13</c:v>
                </c:pt>
                <c:pt idx="24">
                  <c:v>64.930000000000007</c:v>
                </c:pt>
                <c:pt idx="25">
                  <c:v>66.72</c:v>
                </c:pt>
                <c:pt idx="26">
                  <c:v>66.72</c:v>
                </c:pt>
                <c:pt idx="27">
                  <c:v>66.849999999999994</c:v>
                </c:pt>
                <c:pt idx="28">
                  <c:v>67.400000000000006</c:v>
                </c:pt>
                <c:pt idx="29">
                  <c:v>67.599999999999994</c:v>
                </c:pt>
                <c:pt idx="30">
                  <c:v>67.930000000000007</c:v>
                </c:pt>
                <c:pt idx="31">
                  <c:v>68.55</c:v>
                </c:pt>
                <c:pt idx="32">
                  <c:v>68.75</c:v>
                </c:pt>
                <c:pt idx="33">
                  <c:v>69.58</c:v>
                </c:pt>
                <c:pt idx="34">
                  <c:v>70.28</c:v>
                </c:pt>
                <c:pt idx="35">
                  <c:v>71.47</c:v>
                </c:pt>
                <c:pt idx="36">
                  <c:v>71.599999999999994</c:v>
                </c:pt>
                <c:pt idx="37">
                  <c:v>71.88</c:v>
                </c:pt>
                <c:pt idx="38">
                  <c:v>74.08</c:v>
                </c:pt>
                <c:pt idx="39">
                  <c:v>75.03</c:v>
                </c:pt>
                <c:pt idx="40">
                  <c:v>76.349999999999994</c:v>
                </c:pt>
                <c:pt idx="41">
                  <c:v>76.680000000000007</c:v>
                </c:pt>
                <c:pt idx="42">
                  <c:v>78.25</c:v>
                </c:pt>
                <c:pt idx="43">
                  <c:v>79.33</c:v>
                </c:pt>
                <c:pt idx="44">
                  <c:v>82.3</c:v>
                </c:pt>
              </c:numCache>
            </c:numRef>
          </c:val>
          <c:extLst>
            <c:ext xmlns:c16="http://schemas.microsoft.com/office/drawing/2014/chart" uri="{C3380CC4-5D6E-409C-BE32-E72D297353CC}">
              <c16:uniqueId val="{00000000-6E42-49F5-9B65-E64E05F4EC9D}"/>
            </c:ext>
          </c:extLst>
        </c:ser>
        <c:dLbls>
          <c:showLegendKey val="0"/>
          <c:showVal val="0"/>
          <c:showCatName val="0"/>
          <c:showSerName val="0"/>
          <c:showPercent val="0"/>
          <c:showBubbleSize val="0"/>
        </c:dLbls>
        <c:gapWidth val="182"/>
        <c:axId val="2023923567"/>
        <c:axId val="2023924047"/>
      </c:barChart>
      <c:catAx>
        <c:axId val="202392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023924047"/>
        <c:crosses val="autoZero"/>
        <c:auto val="1"/>
        <c:lblAlgn val="ctr"/>
        <c:lblOffset val="100"/>
        <c:noMultiLvlLbl val="0"/>
      </c:catAx>
      <c:valAx>
        <c:axId val="2023924047"/>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23923567"/>
        <c:crosses val="autoZero"/>
        <c:crossBetween val="between"/>
      </c:valAx>
      <c:spPr>
        <a:noFill/>
        <a:ln>
          <a:solidFill>
            <a:srgbClr val="B3B3B3"/>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45">
          <cx:pt idx="0">50</cx:pt>
          <cx:pt idx="1">260</cx:pt>
          <cx:pt idx="2">173</cx:pt>
          <cx:pt idx="3">49</cx:pt>
          <cx:pt idx="4">196</cx:pt>
          <cx:pt idx="5">69</cx:pt>
          <cx:pt idx="6">43</cx:pt>
          <cx:pt idx="7">71</cx:pt>
          <cx:pt idx="8">157</cx:pt>
          <cx:pt idx="9">19</cx:pt>
          <cx:pt idx="10">175</cx:pt>
          <cx:pt idx="11">41</cx:pt>
          <cx:pt idx="12">38</cx:pt>
          <cx:pt idx="13">210</cx:pt>
          <cx:pt idx="14">55</cx:pt>
          <cx:pt idx="15">73</cx:pt>
          <cx:pt idx="16">86</cx:pt>
          <cx:pt idx="17">142</cx:pt>
          <cx:pt idx="18">44</cx:pt>
          <cx:pt idx="19">100</cx:pt>
          <cx:pt idx="20">276</cx:pt>
          <cx:pt idx="21">264</cx:pt>
          <cx:pt idx="22">156</cx:pt>
          <cx:pt idx="23">240</cx:pt>
          <cx:pt idx="24">149</cx:pt>
          <cx:pt idx="25">89</cx:pt>
          <cx:pt idx="26">146</cx:pt>
          <cx:pt idx="27">239</cx:pt>
          <cx:pt idx="28">245</cx:pt>
          <cx:pt idx="29">28</cx:pt>
          <cx:pt idx="30">233</cx:pt>
          <cx:pt idx="31">168</cx:pt>
          <cx:pt idx="32">129</cx:pt>
          <cx:pt idx="33">208</cx:pt>
          <cx:pt idx="34">254</cx:pt>
          <cx:pt idx="35">204</cx:pt>
          <cx:pt idx="36">9</cx:pt>
          <cx:pt idx="37">213</cx:pt>
          <cx:pt idx="38">87</cx:pt>
          <cx:pt idx="39">57</cx:pt>
          <cx:pt idx="40">209</cx:pt>
          <cx:pt idx="41">263</cx:pt>
          <cx:pt idx="42">119</cx:pt>
          <cx:pt idx="43">232</cx:pt>
          <cx:pt idx="44">160</cx:pt>
        </cx:lvl>
      </cx:strDim>
      <cx:strDim type="cat">
        <cx:f>_xlchart.v6.1</cx:f>
        <cx:nf>_xlchart.v6.0</cx:nf>
      </cx:strDim>
      <cx:numDim type="colorVal">
        <cx:f>_xlchart.v6.3</cx:f>
        <cx:nf>_xlchart.v6.2</cx:nf>
      </cx:numDim>
    </cx:data>
  </cx:chartData>
  <cx:chart>
    <cx:plotArea>
      <cx:plotAreaRegion>
        <cx:series layoutId="regionMap" uniqueId="{31ECE710-92A2-428C-882E-59F956C8FE49}">
          <cx:tx>
            <cx:txData>
              <cx:f>_xlchart.v6.2</cx:f>
              <cx:v>GII</cx:v>
            </cx:txData>
          </cx:tx>
          <cx:dataId val="0"/>
          <cx:layoutPr>
            <cx:geography viewedRegionType="dataOnly" cultureLanguage="en-US" cultureRegion="US" attribution="Powered by Bing">
              <cx:geoCache provider="{E9337A44-BEBE-4D9F-B70C-5C5E7DAFC167}">
                <cx:binary>7Jpdk524lqb/SkVdDy4JJCSdONUXgr137vxyZjo/bN8QaTstCQECSSDg18/Krppz6nTPdHTfjx3h
iG2+hNBa632fpb9/X//2vXt79b+sfTeEv31ff/9Vxzj+7bffwnf91r+GD7357l1wP+OH767/zf38
ab6//fbDvyYzqN9yhMlv3/Wrj2/rr//2d7ibenP1a3w9DNHE7X5+89vDW5i7GP7Lo/+Pg7+8/ftt
Hrfx7fdfv7t5iO+3U8YNv/556Pzj919zVv76y29/vcWfB29fe7juk5uj/uXT/OP1P1/19hri778W
9IMgXAhGBKOUU0F+/SW9vR/Jiw+EcPjDGC95SfPi118G56P+/Vecf8iLshAI44IXiJYwiPD+KLjf
ByIKWgiOEeaoLAn+x9zcuW5TbvjHbPz5+5dh7u+cGWL4/Vf26y/jH2e9vxwrCpGXmBFScpQXBBfv
x7+/PsD0w8n4fynN9cp894W2GD1Sq4rDsHbdpRu2WOekKZU0y0Sqv0zR/+2hCN7sPzyW8DwXghPE
MStL+q+PpaInxdYtz867oT3Mlqv15DbafCajGUXdoiUluYW+uxcLS7Hq9cwe87GN34py307euoKe
KUamu8hK0+LTOEeaP69ly5TMy7D+WMxmLlnZBHQsWgK3aPHU0kOY46qO4zzn4ynworxRbl4+N1EQ
VGXb5umNLfaiPARut49KwTRUeVvScMrYnJhsOsu/D/C17U2RI8Yrw1frqt7DWObKZeNIM1kuNOt+
RoNC84XNTWEn2Zoc8VAxmO18PEx2X707DINh5rzDJw7dma8+Kz9rYWcjsRINmqRftadtPfJ8Ft+F
y5pUuz0fh/vcOPQtJdx+cdqMw2nVo6cP3LjihiSe1DMcWksjVy727OgnU6xVmvHqJcEt/eTwvD5n
vMt1lbawj1bqpRiPQhNfBjnNC0OZVL2a1anXfn0YO9/wo0OBH0TOUKi1ntHFBIsq1EzsjZIqrdSc
5jUb8cm4Prsx7Wq9nPO1GGU3UJXXKLjyo0s+9Ue8+xFfrCrTouIumwuJFyHEoWdDE5mkuZ1RFcJM
0v1oeNSPmvXfcp/GJEWiPNVGpCBTv5dfR+u8lW2rskUqOjstGZ11rLSY+7nGe+RB2mztbNX0++ak
LfBUyHzs7WdNyuVLZLHf5bzhjddINHaoh4jJeEDZ7LXc8sLsMq7tOMre7AO6QrFDx3JK45PxS/ml
0XzL5FLCvJ3c4GIhszlOnXRNp0vpReinixXucRaKqKudbPBszdq3OaX+rZ/tzqTodKMqHah+C2hb
SK2QziumhqGeNMRitbsxvxhdoaZq7F3XyyYnaq6o75Wv8qZP1361cZMbodrKjpcrloVpzA/Ur2te
TUXjP8+7poUsQhp/qKC8r0tkxsuh36YnMubTdFx2lhNZFpTOEvUpsXMa0nDqCRWxWreiObFmgvWy
87aZpN5GpA6dbXpSk1nRB9GO4UcvhHlIqsmDRGvvbw2n7pmgpZwOexbSdeZbiCZurX9wFKdQdTbF
S2Ym1Z+WONpjq1FIlRtXdsI+Knhwv+7Xord7U+f70C2yK1xaK84Cc5XY4XlSNEUqZFMIUco+N4uV
dvPOyt6mEGWfljBIXax2Pu6I7kqObvaP3JvxvrXKLdJkfr+Z1n75stJAvzol9pdCNCOXa97OdxRz
86m183C799mu6s0n8XPZnXASZpcVl1h1xS55mqbPpKEcydSV7BZ36/a4bSsEcblE8UC6cnu28969
kkVoe2iaiJuqc5lRki8dsnJD3XbnSJ9vFRdZiIcxW20mux23peRrILYK+aBwjZDe+krgReeHpqUW
He3MJ2fqsqOWV11DW0QOE8rN+JNAsHyyVDH/Zoptn6Rie7wR5YZjVXCXx7qg/eCqsR3GRSar8lz6
GZZ7le/cI8nz0FOZaTKY475tBo9ypJ7ORzvAq94oP1L6o2clo5dBTVMwNR1T4etu35t1OyC1Jmtl
7sUISxWtihh15Ps+porTaWHrcZlD9gwf2Uxy9wsnlS0LXR7G0DEuIZ7ypU4txZZdMLcNIR6zkcG8
HLMUePmtnLNdn8qyN8wem9HYZKUf+QCpKFc0o/Wu9xTaG+d3M9TBp7hXuVtwuNBDrklXzYWftSTr
tA053LooYn5rCbcGlvxSbuI09j3HGmYjK+1YF7lujmXuEKqSYHa7aLK4Ol8J7Upy+V6icBVsUQp2
MbWzKw877wXkOD21LfLXLJo93WxBFF0nURtC+ah6THhRFcZj9J5VB3Yay9Kyodq6vF8em8Xq/ItH
Y78evG8LW+M4+eYFmxR+bnRqnlNeUiznbEFvLl/H/DwglSbJOjTbamsTPS2NJlDrqEafIds1P/eQ
9HVsUf+ztQ0/tzFOsVZZRoZDaPk0yNZRhuQ6NvMN3yxpa+2LNT+oNLiH0kz6ZVQqXmZIx9e5j2WU
GbPTN7JF0Vdtv8ILL5Pa1KHZR2ykalM71qWDOi6zhaIkJz+iJ0geXldbvrhbyFiZlbB4EWTcTIez
Z7hNByhC+SSXZWqw5LworgassZbdWvBcGjaw12ltWiwpGwnE/lrg/UiT27+HBmq/DGSeIbxtj34U
XPvHeUBlWxVQ6KzcO8se1Oq6+VBueeyqvBhh8Lvo0HdfELdLMXbqk/Am/7busKblViZ40XkbVxSr
KVs8FN2SD/o4dlrTqhzsBtlGt+s9TZw/73aK8YCmrqf1aIaFHUAsbP60uqJfKh+mXtddq1I4gG5e
vqSCQcpy7aa57ALBkOimqW+qiDV7ynpql6PoQzkeRGZxrIWJRZKLY113VNy1X4otUVoVQuU/Vghr
Ktt91q+qhPiRPRlEXq3KjqtE3Ty3tRCty+VodricuJbdktUOtkb57lSVc7sSuWaFXSSkYBPlVDh0
JfQqmmr2BjQIJORlrgdhxvKmX3wHVWhs50bmGaQvkDh7CXote3+2L9FYntuFZC82FQOr6L7lpt49
L3NZrgRPB7L2brrgSjshc2Eho5d+62K121yPsujKdat52qbttBtITMfNgf5Zt535moRgu3NIbiEH
TgibT9tO572KhTJH1g+svDTITBeU0Gypl7wRSJpmLiEvcci4PpWLqXTbNNcDnCykjRnGstmapajK
TMNKXShr6IWiQoQq7Gv7ktJoIPnmpl/k2uPwY44Zw8cV78sg16S3reqHLjo59Su5a/HC75dlzS7w
jnCQYqWQP9S0oQqVGb0NhR6+il6nGxJLyN1tZ/dbWJrrV4qpzo9kXdIqSeyyS74s7CNaSxQl3ZR5
G+O+3qWdZvG4jjZ7gTcvmeStWh6zDNlZho3RWOGgVZTlxsmrY26AEiWKN4rZCNFJGtxW7Rp7yHa6
Vx/Xoc2+8pb775tvVVtpNwsvp8GrzyuohbumSfomhc2+wNeaz+NCzSIZn/AswciNPwez722dZyZ/
9NOOi4p0K5vqtVt9OrnA9lMzhZnWM83EWi2Ot18SWLtednOP19OSuGog/rNlr1TjHJIdWmxfuWmg
fY2yyD51rYvq5HTZDBVIfAUr1K7dCwepQmVnIcVIrdoS9CBIfchgJoNIMqhotYTc2DaV2pY5l2ws
FJUFnaiVxq3ldZrV/kA73eqqwWTpZbGLPByFM/bO8JD9pLnKLvcFBKNMAbPPAyz4u9C15F7EyM8L
62mAybcEV1qrsoOlkIVwngRLtPKNKrjc/F6iihSNvqU2irehV8XXHnLNUgWdldkRDQSSAgUJbiXL
NjIche0nfAbPZq/bdX0vPTxOw7F3c2ulMDtfKmIhOci4DMgc2gz3Uw2XggqdomumA+9L/4BN16PK
NGoQhxTp++nTPJpKgKCLpxnP890wZb05gJKBNWiE8x9DadtQjaUpju0+QGpiAx0+soTF536MC6l2
sxeFVNswnV1MLTm2KpTuOPU4extYo/qKGzX3121jg64DPG+XlndtqiH+dPmJo6YYDhxk4ip12+8f
S1T2WjbGgMjb/aSQDO0S6LUpvR6qpp34Ofl2uuvUlvmqK1RsZLClLSub2zTAF6PiB24687mHIHha
i0mMEszNKuTINq6rMWv6b4qz9YtZAkw3x674xvd82+VC8hhqiG/0ddACdOuYs0ZCBiBPPsdNUzVZ
4+6WHQZUWedgPLY17TdLEAwiXxrxgJ1tMhjxyB+7CTNWJ9+xEwkLHUELpQyWxYgWkCB4nqY65Lsv
LxgdfFkVrRhE1Y0IfE+csv1agUbuD6KYU3/IIK0OcsiCKCuTz8VFnhVRQ26dFiNToeexgkhkTy5N
Zaim9T1NmcFBNdQkQ+oSkj3MrxBb3tdQjEV/QL3KPs893+7bBlTIASLKLofIGgyTnEamJWgqCjar
3Nrt2HahM9XQF6OSbdJNBHOVu1OBF6iIK8MrqxRIFy53tOwBVq1ePwewIoP8d1zw2x9A509e8Ae0
+O7GzRul/yQ6//j5bzf/BxT9/f2yf/7/OxX656+P49vwKfq3t3jzOv7HM//lQnjcn89/B0r/8uM/
0aW/wp//7sH/Hlwq+F/AyftA/oUtydnPww/zVxr1fsGfWAl94AT4iWAIgetmxT+xkviAEOIgMykS
rKRl/g+slOUfCvg/OIxzUByowHDsT66UkQ+kFAUWPEcE/tKc/U/AEkiwf2E8tOQMBoZJzuHfPMcY
BvhXtNT62WSoGJ83StB9mOihF1kCN27Q5Rr4hd46cqnL2MqEoWCmLwU/9Q6MSb4e52gPJf20FJ/W
YpMtt3XcOlHlZgORBhcsecWzh7h/Grf1iHx/6fqrKTbXwHJmEBYKvxTqssgfcPbaxfIij82h8GWs
QRJmzw7/GBdcx/1qyi8GVlQ0fMsmfzXvvT0PnnQ1w36qXIvi0dteahwPjLdVUzZ1UfK3xkNQ4iT5
HExleeHaem7arPJCy0l9bLtCHEiYzx1ppehBHLa3K/cPdH8whcnkWKpPWg1SLelyWrJLwrXMMlHR
Zcolti6TfYz1NIdCIrwT6aGUabOcGj9dZHE+eYhmFrqTpuhqClY2y9eFLb4GNblXmchqXaofrudA
MtqbRG4cyqvBn6HySK9QLjvRqWov5suwwPjDfGhBwOJB1RqQ29iySmfZMRlez6GrUL5B1fiZOV3z
/uesiwPZ3cn5Jy5+6KKUezlZmXbxsBB8G/EEeRsg5ik0wNvsfGNp+bSvZXlR4L6VK+LqKCjMykAl
JUYWs37TIQGVKuueJi8ta5/bNB0nE+QwtBd846PEG0j2LGfTDTJmlKZVl1l/nZNXu9LP4JZAWOXZ
l73/1oq1zthNEu68JFscijF2XuL8WzPvw6lDZr4qCxJu593JYqDPM8iDpqSVKOEjU9A6tK+0ouhx
SmXNVPOMh67GhuYHTV9Ks4OKSbf9vAAUJSxcbnS/ExEcqOFXg8MGJv/cqaymnaJXK1nB/ExdcVOA
PN2WdCSJ1CteD3qfroDAgTGa36amgxXt/OVaDgfkxnMBi3TS/id+L/G8PxGwJc1sjhgcvhwJ9lVG
11WqfZZFw2/Krr1MdpPT2NSssWBprc/eUWXVE9ZWAqkTXjYAm1MdB37BZnSAr1y12XjAXapXD+V3
zurE23q397PooXSITa47FHC+nbKRH3JiPjasPTAwIf2C73NSVIh/IiZJ5FNeKS/qLNxwUpxRGirP
6UUOLACqwaUBpdAWdZeZ4xC+B/cY2EGj50avMifreWu6gwNFeodFGADmFhWg12rbsquRg6VtRTXM
X9cRHMFwP9PxnAPXwwM6bKkcPxa97+Wgt4sVpYd5pSe8u49kxBVFXhbEeJkN4Ek4ekjupTHZJQ5O
th2tiV7AQPXhiNbbNno4Y5YUQim064Gln9n+YtDnPGHZjc10n3pbj05HieZ0zLPrYT1H+mCDgjLc
k/kY53vcAjJD/TGPlytJn+apPe/h3kHwm8XHumwHkG/9hdGbbNjHfFEHU4KVylUFKrmVm/0G9Vdq
cCNVswK8NuPBawj3tjwXo5eg7u+c/VLq/GejTNURLeflcW3M54ZCNPB9gFX1bWCpYgmWSOFqH1e5
rd/i2FdDYw+9hkgDjlVNOgA7fOoTeDoI8xFhuU2pWve3Jvs5WCeXjlYjfVjK/BTb+7ZtIEXcgswX
V3uBP1PTwdIeqgWrb3gDi9GFJ1dSV08MHWhmr3sa5d5eajCB66R76Td9yUm68x7oKyyXPiYHMGlg
kun2YiHk2G1pqaH9sR51Awlwb+S8vstZmBp7H/cXwV9FNsuUYIb1cHQYHWDdiYNCy2maXAODJ5hU
2WSbivXLT+b3y51n1/v6Cemzjic0E35PivExRFNr5b+MhJ20yi4sbhbp+qE8d26CHK+A+11z7Ak0
PfStpybeRgrATE+m+wbs5C7L6SCZmO5YL74uELXQbrmH/pWSRYm+BKg1frDrV59MW2WDwNfKhsO0
qJMonJIlAZQRnf7Y9/Q+96UcKCUbvJi58q299U2/fRUt2EIQ/E0fbtJe1kDayuMYzXLrHNA57FJ7
afP5OO3xHb7j+QAtH2AZKjwATsDV5iPMHWLdeUqoEFUL8vO6GPX6UnoTTkp0/qkYMMAmKLLgP8Pb
kkT+glGwF34F8L+UgVTU5fazH0DDkX68bChaazU0dWw6clhCaE4h9bOEFwR0sFyQiX/vR6yusuDV
GXpMY9UmYRrZzvNlt7D5CZhorDkAOAugc6ucoUttIghnvfAXXQzSaGirKGGeAxBhiqH4g2u6p52A
iNRAZvETyO+DoEi10ik2SI6fxQZz58lDMKU6Wb+DOOfp3O05NI7Iy6BRM8gJaNhxjVdKAQdFK5fM
oeEbnkZ2qUKDgNmWM+C6RrR7BQsL/IlDCuJJ46ecNpeAOK42oi9W4MERgHmzr99NtLyGNyDH3KzV
RsuzYOMZR27qMMAHZnNfT4M5EChKVQHevCpjZ46g0esI2AwN6bOj+csIHSBlvZFuWM66n+760R8z
F148Syftva7LfPV1jhE/qmG6cODNY193UPvBRb+XFzkiQNklnZKuSJZd9KYDGxVhMk0WL3ak5LLP
VxEI1c+eC3/VjUOokYvD89hk/LhtzVpPNBQHPGdhrkQnNqir0RTxBD2deB+zYqx7EsjHjrFmP1qj
qanB7syPA3H6QFqjvpZk0gCHB+9xNWoCzZVQUlk6UA1jropOjhsk7dGwBFR4Y1U5j/nd0BAQRKYN
N0Oy7OTJRu65t6aX46rn52YsiT6XkYz3DS0cULyiheK/LYW5sMHECrzeye4T9JbyTrEOUijXnRxM
0w6yyZy4ZNkIihJ6daKTc7D9pZ0gjgDNZewKojp8tIKzL2TLJgndmXhNgD3MkMKA/Q9IO1Z3fDff
oHHpoc2TzZ+BpjWHZY4R+CyQSHWcxbgg6aG+ApSJ3TWZCQOtaOMZciI9kEVtR7vropcxZ1BF7Xbq
M7tfAZVS93mCwhHxNtxkcTfSku9ePFqWrijIi+cZKOI5kgSUy2IlAXQU18XapE9Z0OsXAqO/LTUU
pATmrRatYAcOEPne7Ru/EWF19zCU5gyttwfWNUvdtxSyVOuf7YbFuRUdl7SfSZAwgP37nHJz6jA7
jw3tgOnxBtoPDToGXYS6XYsG9CC6smOR3c7YDd8Gg4ZnzZy7pimWEHptDjyUw/OGfVO1C+PcV4U+
FKTVT4GZdG3G6SQwOGBRHGzW9ce2YBlwFz5domHwdUbtk+r8y4az5iQaBX2OMlNV6w8ButFf2bi7
S9Xl5uAHuj1mu3WvfS7osyGhOThn00VAoJQ7rANgha055hsvn9ggNPQHXH4hygZX05QALvsetNXG
Mw1QRd2LFlO587m5IX6ar1yxtO8dmu/GNZd+iC9pMUfD7/cpfNHqcXJ7OiAg8TdWj+fUGgcSDrOL
hqZzoxr9MTbCHkhaHg2HVujkwwwxKvQ1WcljFmOqdjTdQPMWDFDDTYVpI4fFmLcpgWkYzIZkYdl1
Pq2fvFsr8i5IQBteMAuTO2Ifro0Cwd6Z78os0IBpy894Zs/tgoAtrfG4tPSuISlclgu5bu3PDr5l
vXXmoWlDvEMtVOKmhf6HN5k9tGp/oVn+MtAVpC1gvquop0rlEUD9Ih46ripIg1eb2AdotqX7kqKX
YYl3sQjhMoYZ3AG0NxUe8pOYwhP0K7+4d9+Sg0lRzF7ifPLSbFlVlsneLOUKNkQMYJgEWddaM1go
pbjkgXWfIJmCKPZA7V3WbwDwZ3r0Wf6szOpvekPyc4xatHdMhLHeYd2+tVRPdaGb5uyzjB0SzvjN
2mzQnMqom85QZKmRvhHpCEEfbizQ7ltrTHual76Fht3kLERGL2qzTkOtPJtDDQ1VBrQdut2y1MtS
TWLBhx46NeCjeJ9fb3t0OcxJ8D8AxmYJWI1DdQ/rGyCP099CnGC2C305boD8ruPSGbkP0KCV0Ou+
GDPfzMfRImqugFhKsl/QYtw/Z2i3B2gjnKAV99ai8eTnidVWuyhHXH4BU9zKbF9fleuWKmVKnP8/
UYnb+44WLP5LouJiSK/D61+RyvsVfyCVXHwoWMFh90YOlASaXEA0/tipg8UH2ICAqCgZwzmBrTL/
RCqYfYD9OzmAGIJKhCj/51adLC8/CMAsSMBFf2z++Z8gFVyQf92uAwwfeg0MmAotSkxhmP+BqSQe
FfKxHyX1+7rUvvDBfsu0ZVaSDicgzKVVsCsDqif/mG0Iok0KGvh8l8bWQH92yjZcO6zarlYwCejG
9NkMXlNB4/64AB2iBxDw3XwNuz+suEQxQNng6xLiE1tFic7F7tWLgc0k4QJ24sTmRiTVvaK0T2A3
Fo2F7LOFvxZFD44ftmHcNSt0H1gLpcE2wX42zNEjdNOAlVhtv5AF0HJNAc4KkUy1rwAeOOvaW1j0
YHFWaP4xDMUXMmrxkg20+2pCNxzINHd3vjNDxTDgGRB4PczA5jtZ+Fbf8W1pTLXBJzXQusuyCr6a
HSX04DI5zxl5BHE4ffQ9QOG6m5y6n1fFr3ph6Gkv9/WWDe9cfm9jB0oWXCuGDTK3OMWwVHxayx8I
SoPIFa4YGqJsksd3QSXmJEuNOzqyD4etaZ2TZJ7W0x4tdP0iyIdLROe4AAJy/GNgjfkGfhZaTqx7
pOOgz4Ne1aNQ49jJbOLqoigTP0DfnT+ZBcF1vg/tgfLmp+fjl95b6PDOe5LwaYHm4JJUaVsXWWhB
z1mJu1OvRvtUFum9HtbaQZEAUK4wJNzuHRMN9OiaebqK0NQ6wQfL6h3S/JONE/6oG3xjnH0yxXvH
YOPg8vPV/G92zmw5T2Tb1k9ERXZkwuWBv1cvWbLlG8KyyzTZQNLD05+B7XWWS3tHVax9u8+NHbIl
wU+TOecY35j5y7q02ZXNe8EAuYz2WzsW5S5ozXqi3M5lEnSmuJFTMMMVkm2dqkqhNsW52ZRQ9O1d
N86XTuFuzaAERFI3cXEesjbADsGCp1iORRp3VOyoqPS+cbI+xkWxHnwx+HRYSHjJDOshCY7LgWu2
N2MZ43iojPIZIA8vQD3p6pirhp47vqhdNPIb12I5lzpermMvb0Pv+BUp0ABWBjtV0bXodw3LbzI2
NR9cpextVvfVt1XAyQSENtizQRt2hBRZwjYr/It0hjyuzjfYLqLiawfMB/4Br47O1SGUFlLdeglB
aAnYVYvLdl/yqDt3FgVhEaz+4hZdHlprr1dtmxOoDp+IaNi20KkpkorprQFmDW6CVR4UBpqzKlxg
Vrfoy4q46D6A7KCPPpjYEeyTP0IYfWZlDF0KC0ciq7pYUMi6y2BDerUGRbNzjH6eUJude8tzlAbx
tCS5QMNfNxIVpWnmu8jNKN8KXsFtG8PUxOS4rsTe9UHoDqOv+E1Gg/iuy9166wKfQ/wPu6u1JGuR
NDYW3+oc2tAChufc+bm88mWhDlR1n2hL8z3abLhgCqVvRYH2KC5fcgbrHw3aJkhOcdVHhxm3/pKT
gAPs8QtKtlx8cJkH4hUXrTpkQz5/6tc6S9Zy2YNewi0vysx8jmZm4BLhx/oWlSUVc5/Wa453a6Z6
l5HwDuCdBQ1QTDvXQnqBHdZFSQCm4py10u9klpuPkxz4xU9UXGkQCTBPNb/UNNsT1X5jo34D/6Lu
/TIUBxuEkE7R4ORJ5+ruZbYVqERVeJIdcqFiTRLc2lMwOSCEcCmDaXjrqIasIykeVL9r8/lKTS6j
uzx2t/EwDZAf85Ce+nGuv2ix5KnpRZz6SsibbAQitKsM4QU+rqePqkPjCWOLy1bv9ajo9QrIp04Y
71De5xY38mHucjS9MPWgUEBg37nRHHg93Mxjcepq0pxY25yN0XfBOpgkw+MH3W6hR2r5TpfLS5OP
F08ZCrlWX5Ny3MeZehOiuVQC1IOC5ddDWPZiORFT3OYMuMJYo6rjUJ/mDD218TsAEGAOIAdTcrBT
hq/rExz9JFLLV1E+kQzrXBS+QgcDoEAOtB2P9chuItYeHNryyNg9t+iTq+iqqTqgDOZqtPwqmyFB
W5z02h7Xwp+XqjkWnbuNWpi7bZU2I1jCnB9ctt4tfNm7CT1uXGD5gG8QCJPQHmJgMzdNSlDWBmHo
E8ohNOoge+TVjMWBnfSmgLvsejL1LhDLfR+0ydwT8QELXEwTWMtZgl1MwBljZZEqqD9hqga5PHC7
EWlDw/fMFg9+cm4/Ru7Oc35d59WTtvoAaOLYBlW785awU0iMuDUmLL4FTKzrBSATfaCAJ85FoLud
izL57BmE1r2m+lkpVZwMYKakUpw6SPCg6kYspgeIT/YQxibY97rRaZurcB/28XfmPAg7G5N0dfQa
xenXRmJJkfUE87PIRDou63CO5+ktm6v+JgOGl85Dy8/aF9mdnGugiIq3qeP1BUipAy/QD3sWyvAQ
V+KCZRG+4YQuoGy6aUfaZkfr4pQ38V2t2iUd+qHY6SCCUsjzZl9nyu9h9uNN7sdv2Vrf0HI+q0gP
b6vju7aO7yxf2Smb4hYvU/0UkuwpDCzUIR986Suo77YdfRIaqCyxhGpsm0Nh/AHt1C2dyXoD0WIB
TDE9jNgX49DxdHZYTMycf6zGMd/No7oMS3fJs+6B5PzaTwyL5GhO0cAhGbfEfpwsiDpUEdOp99rd
eLeoL5OIw4uJvTtmfda1MFbn8sC9gUDZD/S1gOLbSCziHYf3vYdOiFJobKLvHW3YtbTW7kNfgjsd
SPA6qfUGOwmahSFycZLVsfizxClJR9D3+MHtsQZOqQuhAygpPmcjiyB7DnQfTsRMyaCMO05F9Ern
PEwDlT1NJmYAYbH6SU7EppmMza5uuzyZRG3vJRtqiNg9mnBsTGWzfsxiO6Vxa+70uiagOYLP/dph
DeTgdlt+PU7Qck3XwkoJXmlZHiLih7SIukMxewN1kT+Eq2W3tuLXdigF6EsK66FasVKw4HvXwHrK
1+lxJfpxCGO48Q3F89tc9UYegqHeARTT36HX8TQAXrfLOOTLHCZLNcb1SYN32RUoU5N4XCSKuj6G
P06W5670oHgNCjE0XBOkDP4aUfs9zCoG/KCKTkvTXEnVxOlk/UdZlWGaj3UDF02NyZBZyDqN5uVu
FMTjMxVtc9Nks7msZqY7tU4fGEMJJa34kkV0TkrfrWc9QgVVo0+DkT4WXXRXVSFPfebpct0Wqrvv
lGoPui/oHhWx2fkskEcd6fpbDqvfpBTI5jMlfTylEjTIl7BzbTJGGzha5hY+nwuW63qe+4caVwxo
h/CA0WfywjLwC2A4+a5a2XpeghFfD5NfQRTp2EJNz4U+ZV0Y7PqhVs2+xD0FOOPHhVyM9EvqrS3y
ZCm8hPvhav7gOm4+iyDHAcF43mWVbm/6UDQwYOfsNpfzet83ZuUn6/w6pY2R7qZbmP9MgDcVCWre
s1ZkwG40j2dfgKNaWBYmqAyiazTlYdKyFc+2CjQ/2qjxBxTe6jKr6lNle2ALjK702MEtvOpoLj51
i0fBY4yE/Bj6wwxjZh8V5f1awBOG0/U2g1s/afAv7j6HCNfswqKNxhc6R0F1bPpMYdEO5HRZ27ab
j2Ss6tt2GZargdIglAmdFwI7oaud6o7VXK/02xyu3SmIy2K+oT0lcB7r6DETpZ1OcWkWC6J5bp8L
yDA4g97RL2PsixfDs3VMAzOH18AkAmjWYuyno1V53n7jgZYS/GyAm79QVpi9W0TFL2Swpbyp69q5
K6zVsOawjJfBLoBw3ycthHiTgM0CgLiOPYEGQxaS9cdWioocmIJnntSl9PFHN/uoezRFi1tSwLUL
HueuapuToLGA/zk7Vg542SVQ6znvAnVZB1Asn/TcUHFqZFTCnQ4zBfiqcN3neW6AxStry3anxyov
zgrbDrsfxdpjcV2Xzg1optCfJX6V1bBfJY0avLB5QdJMh+GbIJn94FnQjmcpsdI8+dFm7BaNJrZp
5aWert0y+DyJ1aL9iG22Hb+4oXYBIJ9BlA+FjWEv8ALCzXltedSextLQZF3Gcob2rpvhaspQbvPW
4nNxKkAFLR5kVt7nuxZITMKruvxzcWN+5j3Vb6Zw8a5Y2fgAKDc8R4uT94WNSFoPK/QhLYO0Ul2U
ZqOE/QilON5Fc1Dcz2w0H8o82hlVpHgsz1EYrFBiVplUQUd2WgXPzgTwG8cD01SeM94B79Vqx6uu
vsO20cDORjeLpMSnykTNXg7e72uLp0fHw0F11D8OZdnXqajjWz2N9lNdR1+yDggEgLIXB1YJSA94
xkHU9J5lvnjKiHwyFufZNvYZKGcN5RDad+Yvsc3h7AzTfV+K3dQ09MBNcEV1C8sl4B86RtNKNDah
nXmBTQoluZz1fo09TUktHpaav7Y2vqBLyMCZM5IETX1kuv+zB64818vLNMW301J9hKAqBLIgcw/9
oHrBrX6Fh3Ff1DACgsB/MfV93etz6PqvFalPVi7X62rD01h1r7LCDZjj1PYr7FaVjhJ2at74c+Ub
LENF8MIcefRI5hQjvQNlSJPeuguEuz9J3MikyeP6lgXdkzCbDEnsfS6mR8j+NxSuTtqNQMDWZoT2
111lit33cwC1nPTfYwZhxOuLBn1+zXmBKnREMV/P+zJAKiH348Nam09LHH1Gdz6duM7O0vMlVRId
El5D8KrHbRN05cn671VmEymzexNhK+N8DwfmgMUXihyRnw34kWIwcwLFEO5QJw5BVh1XtBu5id76
BdcjXM4R468LuBA3TuXrUnQzMKvyvKzZq4mqr6J27IoS9xn6x3lpwedjkdzZJV/3rLYvc87IfhDj
cSDqS5AVZhesYKRbWU6HkUwiWXh9arELNnl/Cwp6BFbJ1i+9wOMI4R/nPdp0coM4DzPDu0xkOsiV
Q6vHKTP8Jta5V0p4nSxoXAFZm28QiQ91X0CSxoKeMlpdzYZcRyrYVQ3M6mAFXp9YOuYJ4Y+Tqp6d
Dh+A6h19GLYP5cjQ8Ue4ypE8q7g8M1S30TqkK/5db95r1JunJuhOPQCPRrljXrEngtId4YDbSs8v
s5+yZwChe1OCaGDrLY/1MyfjrumjSzGSc90Ex3JtT2qVp7b1Zge5HSyaAZ7euSNh09XYZ6c2Wy7R
gBhQp58NI6mMzB5e7Rla9BOLGvjgk7nQttzRUZTXSOFdeiSXSCnOvAueM2QF02Yo/5xhge21X/mR
iP4CpXmfs/iRLxkSBAtecOzzcP0KxC2ohvUFhcIs7X20BtHdKP0ddJQzJJtPVVd+y1AYrtiid1Gv
s9uSi+GaTCMFIFS/tsXCr+KGuRNhatcWWDGq0dFdVSzTrmqD+H6aXJOMlducvw4As69f5nlDbDlS
O+U06x3PevtgipxBLmiuyhbbb9ubJdHE3AEAfZIdeNAqSCoJVqPMEPULD+sUx49DXkC3CIB7I9ST
ztRD54iPFgy0gspzWRtxoSoHnQSPA4T0CQIPSWrDAIaET/2K51Y0Kfa2fOcDf7X6SBz0Aj0JssdD
BsoI4ha6cCiUpzWANpMF+7IaTyGQ66Mn6sAmm8EZD99WUXzqAhh4utlDb8KLUiJOIbS75RVPWxKf
NyoU/VCf5FJdlFnBt8YoappzFQEJiMxJzCS4CdrbtvbXdtrApAU9Xa8hi9Bop2MAJSL75hA2Icj3
8AbmRFj0uypbxpc2b3axzz92NccT2x07bNk1ekYVinus14nz7W5CGA95MYugGg9uWKgfsyw+GCf3
S/9oGnVuffQMjH43rvaR4YKLuD0PDN2aQ41OUZIyfZBqAM2wEmiFNY+TMQsFevN1OqAFr1FD+C9R
se6Rn/jQTmjFS1PJA81BQQCxaNKO+NNYM+DDwWml63ckmVIz6DKpWmnwTmfbAeoh6WfYUWq8ySlO
vfOooI18LMBeAlOO9p0LoQmS3iNH4b+N3gEimj5r+O1myg49nREmWj+2jXmlsU7DrEGx0kgIM8gK
DcF0H20x0bC/Av97M6HmgPGNYJV4mVcwopqWHyur70bASmLorpwXt2UFLiu0WDvCDCJGqyVgiixH
+iJ8XVpxp8P21i1sTiiLYccQBADanp5RSLw0dXQgNUrxoX6FnnaepT2CiDKJBld9BpR+TeKOpB6J
NiQQ0BLOA3sGQL7rbW7RzPU0kXq+QSICfLwrgR7b10iLzQSC2QmePaElsUCPwksfOnqg8K6Plbdf
DIUnFI4dmJRhiM60qCCtUvEKKh/yXJNPByMgcbsSreAyNu2lQaZ17wqHWIsu35AzBekQT+o4ye6E
evBVdwFJadHupfHZDiVpk45d/GAr8+yyIZ4+xWijUMqWAvZbf0A8YzIevxW2pNzNnfK4macIBK8h
T7YrrKH7IGrmZQhSVbacp8NYOH1YYVs1O9aAizgAPc4eO4QUOQzNuqyvRLXq4miySjyvVsIcCAHA
KbiXkn6wyLLYtBQmKPZlFqrvcDlHbJ1YYRGixJPxrVbZNB607sPvwF/UY72O06MniPRBlQyQO5xR
PamkixqsEbkRIMDXJli7vURUDCmXnOq0aZegRicVOex0dtK3pWzgLcQje0blHAtAnlGHyNVSLJ9m
1QBMgDMRGAQ6hgJdfYF1AucYlc9szoDKd1mHiCnyMEqm+ezW7KS9x22M5wpQPJC5sPVHV6yqgwNe
S5rgtvMZieNugKDvouA4L7X9zCrRP0zgVO7orOHRO4qaN/3/pttP0y0kf2e6pbVFjLv73XPbfuCn
5ybEHyFMNwKAOWahijYg+afnJvgfW0IcgWLJ4ihiEf3Nc6N/cAmpFP8N8kfwGPnxf2HMiM4LRmK4
ePEWaecq/E88NwHA+rekekS55DC5kYkRDOcnY5z57xRz6ztGSi05iqwBIAkJwuXU02h9RF9BHnmf
h4dsGkK6R5pp/EocOuJMN/aJuS7s91VL1jPav1djHARokbd5AacDgthIXFGn6DOKjWe29T0kJQvv
IyzUjUPqoEbWVkJLDbt8+IB4V/YCfw9C28h787lpnb2uXVsjhyUChI5tu+5yJeabOBTximIta26M
JuunpVDiaTBaALLq6l1pi2fso/XHYOJILhLThNiNPJVHklUzzH8YTvDls49lWLuvc9yib/rt3v83
2X+2XbB/TxzYLmjIGYYaSIkJBjEHZf6XC1rEli7GLmFShoZ+WJHHvYQC2RBYHlP0UC8d/dbryewl
/Jcunfppxuqedf4xplZ/XHQ8fV89/CbsNQ1NbGaxl4i1fAIXPSMg78R4qQoT8pOe1vwfTh5W7vtz
F6EUEmw8RWvN3o0tMIgAG4RFkR5yc7Of4jA7OrbMexmU0d5XJdn9/cWif/V7f1ysvxxwO6HfxjPw
jBSFmkyYWAm7oiIACDM0d+CXB3RzAkqyChskWCNoDfwAuPLarAZaMrugBP7IsnHfRW06g5X5+xPb
fOZ3N1FIeN3AemMVI3351/NiEFsmPPBIGs4Z3JjM1pdAz9nN/+AolKkQWDbUZPXuUUGj4CGtNXhU
grC/BmjW7j0fxn+4qT9mXLz7MFIirECEhIcf8nevOOd6LUUVy0RVUQCXqBaYJtDQLL9i2PVeiqGg
0LaZXz4S2ZKXNpSBSwZJqi8tX/33ggARK3EEBHnzGiZcBSgcRJXVf1JmIO+JNYMyOMyy2A9FAFtE
FGAnSWz2U8Zvhjgf7imHhbSvTN48jaZzn3xTSADmtoXqDUw6L1m9ZfEGOLgrurYOG5Q5z2RkMDOq
eT1zx9H0/bj6v2Ivv17V/5WxGxAcvz2I/yV385x/cd/+woj8+IFfuZtwS9dgV8Kjj30B81z+tWEB
HwkRw+GRFEIA+cBO8muai8AwF0G290Qp7Epqw0f+33b1ByahgKuIQ0pCJTCD5T/Zrjh9v0QRbHyC
0BDnEXFGGXbN31eMySxVx2T86L1a3bkt+yiArDgUE7KRc3Cz5O2Tl2gn06A2GfDyJmQ3ITqRIFlM
XbxC2UQowMqJVElLZVkeezbAJi6WrQsMVLxMianoBOPT5hDJIOBhWymqdfpETA3FA1mCBZU2pIso
6YECfxhh88x75tF4JFDC7ZdF2hwRhlys/tpDhi+yIy9Ij/SJRo42e4jXVSpqwLO7DvoWKxyMOi1Z
K45F1jSMwlvs/fI0LXlhrnJwrKkfodhjr5wWnOqW0ZWw4irsCSKX7ZG0bNHpOI0jttqOAWCdMYAl
P+YlJK2UjJbgpbfUfpqGQCHWiDjlACZuU0AKllXfycDEJ4/o+62eLdyknGULNuIS02FSMHFMJmzF
3A0obHXrD0QwqPQLxNgQOToFC4ORqXJ72zXkFC/Wge2Xlf5aKUx82bXNmiPMl/WGHkZw2595xfxz
M3Q5vJa8bjEvIfNqX2M0A4WT01TIsQhcD+jBTXxVlVSxY2siWr4OLNNf4YMYRMtXDxWrnCDmvTIS
NK8VJqDoXZVzxnZLMZqzXaiY9sCKw4+u7NcvCtwN6ogCTVhqbEmXlIhpntOgMQ3wADS+2cR6tL8W
JXaiLTKpSOnDg93mr9DEK4+9NmK+jvd+jbu7zStrdy2e+s36m7FhWbGs1yrqmdj5yc76xDkyMrvR
U8DgrqCzS2TXIdeu8ghhSqymoEli6iJY/NVKMXPC6hpttAsQw2riEU6dDMUaJxx5asjoGN8BLs/J
OEr0XCMkQB2HflctXfEntS4IkH5aoaJwSmFfTdCBqzSasKGDfQr1lHTTFN22jKGznOIgbpGqqPri
xvFKv9HG0XvwycYezRyU36Kun1gyxq4o90iTotW2ij1OyHHAquHatiC89c+JP6BMt/k/hdE+e100
WIfvufUGU4LYJOG65mWOpyMpfowRWgek6tIab7i+CbZJQ3m0DR0aCIQoxBa2YUQR8jx3cI4woigH
ixMCJN5GFyGsPX5qUXTdxLWlzZFgyEZ+cNSVIZzIYOxTp0RLkOvCVCRmo/nb8mNUkv8xNilX2wgl
MAWFOTkqaHiGB7Ac+TZvKesL9aFYS0xQWrd5TKgHxikJpOnjfR0Fnb7qVTCUe7Sh84mB/AYcPcRl
lazhfBvNpdQHq5vqJIxGDtxG+fphmjqUo0vD4u+kyfVtnPl1gWUU+Q5EG5NPPSunVzIWoIKIj4dl
37KieJmIVqCSmbIiVcLvh86jhEVfDuG2IUWDgrjy/rFGZbulMjC1aV9FrnkNMX4IcLof+WvhZPXR
W054ajFIAvE9DbkkiSC430+S4bkLfQsGfG7CfNfFG6AcIyh/WzUVBmO0cEsvbV1GEIkXPL4HE6lW
pMg36SWlDdDsI+375TuG9bi5uw4HhazYQXFdw1/L3GQfSYFxN8nQ6OlLNpj6TplQgkRV6E9TFA0L
POd+sDfVINAmzCCTxJE7j0FUvUZQPhsIsnFh7DhyGlnbIZkcRtAVM1e2TeJEUXUPghQy2LfQEAYg
zhnkjYpGtNthYoqtThQ6pkUQR7fj57kNTZN0YzRjqRcI6LzFEbrgg+yL+avHOv+Jh7F6I87SR+mK
6MCh/Jl9PLdrd1+HjXBt2vE2P9VBvQXyTRl/DREBC3e1WvV0iRD3GZIlB66Hx79yExJrY4PYkA8B
i8XITe+hLOFyzHPV5glOSco9QoPr515ZvBIqLtiaDrkBfsAkppbAcGdq2GMaUZAfWCeKfJcZmC3J
FMYAThwN+qt10BSpjppML03cA4Ah8KQufLsECRRqTPaQMe3o/75KCaPw3J+u/71JR8f7d1XS//ne
ll//UiX9+IGfVVKItj4UkqsY9QimRm0g68+2HkGpP1CfoOBBSYSoMd86/l91Elf4LwKUVkAHwPco
/Ne/6iQu/ohCBp1ARIJystVd/8pl/6WUxYjAX1//PvZua9T+XfID7Q0jxRlKMYy+QyMTveNoM6X5
DNEM1vi8qLhNkWYI/VvZZhzDcAI0gPi33y7Of3PEv9ZlOGIU05hH248itY3i7K91mYJT34wYRTgt
7XZANVvm3zC2B3/GEwylYz6ZLnj6Dw8K8DhCg0YkmGVUpO8OCv93FLWZ3lrIg/6t92MfPEmDpfop
HtoV2zfm9/wPDsqoQsgcQw03Upq8O6hsbTW0k8JBaxyuAIOswRTlXN9gZozQNwSoBQ7995/0v9xQ
KAlRjL4cDwe45R8yzm+Nso6ExvonvgxhGeEWZqgV/BvyuvjYmR1yBDH//njbh/j3AwTBCsU/GkZ8
SCURmRfvHqC8HzWLxIooLBDNt0qOFQ7x83YWSA7i85kBEwDzJMJXmiUhlvp/fKb++qG3B1hxFAME
lxtnQMm7xhUDAzHQooxFUvRlESFi9ePWmtYRHB9TSbA//cNT/O5jC04kdDeoYdsjRWn4To9ApL1q
VeTGFMtyrfVJmngMADa107jUZ1XRFcOzooLM+KsgMMGqA6mU68rj31/+v75NEVoo6IUxlRAgGIZW
yneXv3A85tJ9xnC0MVWrAnF7wFPHcYXbEvWthCU4jv/wiL07JpYstIGxilDAU7xL6t1nzwOyoLSv
DBLobgyeuEUC7q2MnAWzs9QxnvVlrCdJ9n//UdFP/vakYSFEdxhisaRoIPH3+5tcVcUgM/QNiQ/K
KXgCM6ZxQIwKXHCTMyfwMte4aWOf/Hzcy67ZngWDa4Lv+/tzeX8JIIZi4UUXi+GWBOvYu1cbFWKu
oZFglGCD1a5Nf16DGQtY8BSM3Pp8X22m6D+9bdvt/Pfb9kMGw7hQhCtCaEERIe9uNyu16HwMxqZm
o8RxSV9hlhrIBIx9+aeFWrH3VxyjDlHjYsYq5mFsH/PdjbaLIqXqMaIKAwkZLvKsJoyk2ZtuiKU/
YG7kHDy5dezxb3UBWIje0hqKWHmslrAmD5xsI3A+1HmEpyT/8axgXszYA9lFcHx7NeWiu2m87tHF
4CviVrhX6A9BlOd7FxCPv0gDyIxeAPHFM8NE0GpqJrRthGV0vpFog/HzoYu3o/7r4E2I+VD7sJRh
NXyE2dOX4OgwARSgA0NLHN1gpks1xztVjhUekGGSbntOyjXu1bEmGUHyFOnJmHcJmlpMB0KtDUoC
dGJHI1xmBIg7HK7BIBjdnSnUyC7AAJp4+2UGyTEsgEUnV4XG3FTAOGaLvf/btAR0qK5hi1FVfoBR
VkaItfphLLvbyJCmZTvZxjV+BzPQfYH5xV0GkUEHflrk3a9/ZDPbHvd2yBv6CREM03xkg2rw7b4r
8OZl+IW4alUxGfxbA2UAj0dYqQznXfthu+hQyxRu38+36Ncn+/n8Tq7aNiQI68Hkj+uEZQDA/c8l
/dfFxeQ/POW7PoBS3RwNomG2P9oqqDCPcwUyiWOzTmnlDzCWFlwlzVbPoUTDku/al5/HaTvL6xtA
wSGmdGRgqf02zsEIPV0Fsikmfc3WSRQzhor8WFQ6XzCJtqzY9pZfj86v6wGka8Iph2Jw+LwYN7l9
ABRUPnha6w7rkgMRjkvQIbE/qGOFaUHbXZq7UW/j2igEoVPuGzrUKS2HCfNRfShJPiLpNleANcst
zvaCEZvR8vrrVwE53n7Hgkwz/hqbusaHHjKC+ORFAarHlf51S3KN4RGY8/dzpepnTPYIMZAMXPqf
gIwbXJ3Q4EV5W4YxF92uyertNfj17TFvIK3uZ25rfGMJ0AxHq82KbfbQOLfg/zB+z0cR2Ok+gOI/
QDzWN9E0VRFmHPjSanEQ8MaBHfz6fnTkWJMOP2+CCdl2OceRbo+IcquolnOODUXfUHyxVUkoAt8k
ZwE+Q9/n3rZ9GlQNekefMD/qcX7WMrdcfYzRFkfBVx8t8YwYYw5/q0M0aYZI+LbE2VSHl5FkTLcv
GAexZNG3pV0szZ+miXV2ed5077y7cBcCWXzsevTBmMhZdyNlX9piBAt3/lk9GW0RvTz+epDthOFe
KHH6YXsru3qOmmVPMVfSfw1tgAETCEtU4Nn3S9sG+MZfL/rPBz/SITaMX/9DEQBBSrNheINgqWyX
eJGYsDBej9oYXP7cSmQkXpCxKDAqA0MCoOI8+CLaNtoAfsx2h/Jhq+ym7c4+Zmqd1HD1qxzBZIR+
u5WYQoVH5WfFG3Vx7rsDIEzdMCA4mGmaHyOEY4v5PEBmGJA2Z22d8ZS5JsLCtDHueMQnVlHUWUi0
4a5BV9zeuHBUDJ9PYh7f2sOXN9LcwhMTDNlujhfr1ppx2x9Kj6lWT1Uv/i91Z7YcN45t0S9iBQkC
HF5z1mjJkjzohVGybM7zzK+/C8rsakvlssM3oiO6ux8cZUvJJAmCwDl7r91G2U7ZflxUV4HLCrjY
dKozqcXMAJw7bA7AC5xHCndudq2UPbOyyWJT8Hk0hSV2ag8iNtIvRgO/iyZFv4vCiHF4VwrkU9dD
US38kll7UDq1QyIMEIi5Ai3nVjZV7eaHPtarZuSGaYu4CO/n5M/7Wqicx2jIWITQrlnqkV+ngz/3
7jVL7do2V7KiNFLT0JZaQeGU4cSn+FLpszWoBPMpaKD1T3qV5vN5fpvyJZ1k7Pm7AIGS86hmQ/84
G3nFH7E5xwleFtmUQ7QJJ4mjwTh+BCiJIogQHfS1h+uncl08ybDmcv8wRJlVORQnk4aPz1Gv8vE1
sDQu40S9BaeZ6RthZ2G0kdVUHsymnjnTwVYS0QrSWQbpIbBmSgz74/XMVaF/G3RGU9M4UVU/3MTx
6FomRYDjyVN6Me7iYFoWCtk8G/oqF0vMfRqgOXDNYAknfGCofBNceeM1QXGwnWlq8KyY3nA/htjo
kJsHUfLU9h7EHzSRS3OR1NReDvGUjfW8cd0MdE441wz33XEYTGNnM3ckWHiza2xwkgPTjCr0vZud
nnuwmIweuNF1z0+0ucfEu+n8Bu/BZionsMEHu61d5/F4CxjZgz6HNB9d7uNIaZG3XMw+Y6ou5iWL
XmZTSw8KmRcRT2Skie9yG7fxyEVaZAvZ9bKmr8otrGmbZ9fHq5iaOd4hlFVjEb0bGqsMs0PQhTPD
1nCSRV+jxWJvsJnyoOXj/SUxe+Pg+RHCla3vRBU3Uj8I+nOPVzidAz3YQjqtOBWKuvM6zCJuzRuG
MgwlHfwjLppduZkdFiqQDkZDj+OUGT9FSwfklmnezOI6cG8tCHJ8GEYxr2OsmpVdXcMKKPlGFlpr
b/rY9oE+4TmgsADIO0z0X55ugAOsmjMpEdGrqV0JcKj62avSCCCOMho20pvE6TwAVdXIUD+d+fG+
GVqfU2yO/9JSYeDjmV3QEl8NRrk48QFwbAN0qGzR56PpmSf9tB+vbpGw/MR7CdXJw901GBG2HQs6
tMJWwlrrXz8XlKrjqT2N2LH0LG5XW2U5fwkZQDqPaIH11+B9wiRSRM3EDyRZrx/Jvmv0nY9xC3F3
4bMCfLw/no8RFIEvzryXGS2ZhoHrjFYApz0GILjrPHZRpu/IECt9CxEbC/6S1jvys7XRhkZ3ljSy
4MpawLKs5s+wq1t+MDUwPKPRCqV+d3vDFMgHJ18Gz/rSipmG4k2I74NvRftTH8aRhoNoxwp7Vmir
eobu1vzZLm7EOXWjZcbOjsfSxIHGqz5l5nKSDvLUKs+CvAJPe5rAyl5PqAOyG33nK0oS8fkI1Sf6
bNZGaNTbKgv0P+VJtXBxl9wSBTM0auYREanXWi2fpe2w8Xmem9bgrAewiqHAWdbWvLpCf85461iL
i61/i2nBZMVcgBvhZcULrGC5rmmYg78DxV021e1p41LNUCmQ4CpvSbN1a8RBOVE8LcO52pV9bLNM
YH9f8tE1pUdeSZ6XWHx0GVv6dQgSU78xQZvo5bSSg14+mDRcCkmLIrK88GyAaFlEt9DPRjEhzYtn
vrVXGmHNzVBuNPbb1tAI/D3Phlc0eyujHppctH6Tc7xogUvarPO4Q0kFuDYSoVzbI1tDWCvDoNcE
2FhrYV8GVH4xRmH+0MhSGPGDBvbChuPXT2/vgRUJn8l0rX/PLAQrzdMlyyKLjUtgsJsw1/nIV+r2
lhPp82mduTdZ2XuyLWfEL4xXVp/B0LE6oQCjF6FqmiP+ErK13hAcl1R1NrIuOccpb2UtsOTWRRt4
OnQ6+4k9nhsG2PcXRpDHdNtTMWDZJ2Nf8e1O3xVveeEH24SuT4mIGWcfly/EGJXANMbR0me7IOWZ
qdaNa9oevbW61ueIDi1wXbhH2D3qjWaJEjlROkUT/Anyf4RklcugM5/z45LZmht9AsJuWRsZVqqX
0UxnLqdfGr7eXkRlWjDQWGt2fINEf8mnWkld5RiOX5xJSU9PXTXpLxDrdcoT87/+qCrD08VtP9bf
3JflWAC3l4LC8VYyn+o7OtqGFypceWmPjTqxcfKzlXkpaJVNoj8Ws13FaGRq1gWBOW77BA/g0PTN
bTj7pV4wvvx4GyZ6JvBfSmKpCWVGXArU7ng526rSp+BodiypBY2jd6DjcaN02uGy5LN5ZEzCDFjZ
ZTw+/EKulgg29gJFSkafJ2/W4zOFUcvdqvD38Sk1znDgNt2UTv14mcS0OA12vnRrAtHQbRsKNMTe
cbF/Gprx7Ph8gDxeh9M2dTh+eJAMGCK3hixrkV8aYqx758JrSi/XbeaXffQQutiLdwvIo9pl2aUy
wNHPwkSp6u7/VRXxFyAOW6vPYq5PdywWltRl+a+KkqYebX7Q8KyXhZ/oH4kW0wdetVSD3mv7lc8W
AMyHLwN4B55Repj8W+kzvOMYuuQdeFkqqtVLpZNudsRnSEOFTKPI2VoBYZc+UR7tS1QkA/plZinG
UsFSl2OfSqPH+yaPJcMGJoW+rIDKuayFG5p8Oy+aBzdYG6G5oL2dlslghKMg1i+RevKt1DoTSRtK
uXdl1PELNbtwL95GJaMBpKPo9O7qNGiVTRAJ/sm2Uh00RGBitLQdXOdetKGaM/CZYzfo22/0BTM1
YtCX3b4VwFJy16e5IWLZmkZb0VemR6O7byomRzubHf44DanTiplGoN5JTnJxy+RMOiF1wu3xnE+D
f3hZ7Z+e+9zBZcNj7LM/gVTvdwPqWLYsQ4JxxswG7if8fr0b5a2sHx2gCBWiAJveP27P4wc7MwiK
4bxn882HtC/1cNcAiO7ue4r1ZXR7/LnxZTME9ElvME7TkJkO+pfwueoClwMjgT9SFegd+KnqCCVP
l52HKtOlHKG7CezQxKJ/0rcsfXmHBdFUvyfBpXEW1AgpL63tacw5shEBXwHjVNBfwrpOudjSYPYH
+4gdo/SL89id2NxeRRUkernpGhqY1edlmFgY7lHz68t8+r60vG2LsBmVLa240pE10aUPxdBpVliZ
Os8/q3pIUNGOOI2yCe8Q43tG+qWYx7INzsJWuAMuBsQBs32LfwdGz7WITf2HUzUd3+x0mqchXB3r
K22Z6TnbRC/JiravWP4/l0VsLN2myF1dizyVME7PtzxWZ9AN63rh6Q76JLFM+TpkL6xug5fuyM8r
mK9L5iht2IdRNqZTgNgGmMvb2p6DCFjkkrf3cfscHEuIpxlwZl3ATf35IS3d0fq+fCl4CqiWU0AR
No0gab85aGYKYxgDLs6p6lCiIuUyjsfRopeq3EMMkLptMLWZqJa7/lgNkApgR3Tw2lrEya2Ff9r+
xn7acYwNXeRpaNCl2iSqsAvu5pYB3gayZQR6LbKY4dyweTUzhJaa2ZvaVJP4vAmMShGLtDdREXjP
TTBYTr82CTCocdIcS2F+Zej6KvVuiw+zj6/CY1esZMfE4Qw3Vy63bXAqUoDYAOkSm1pwgJMDlAB5
rHfI1fW4P9WG7NTU+7TuOEpOFQIznLuw2gWGm4GAI6ZFv/wDZ9RPll498l/HssFij/r5ivsMqepo
VPqFtny/aFlgpfNLx79LXQoXXISenIZvMg1nKtYjcUN879PajTUfLTc2tL2lNSwwXwDkHYvK+Fn0
ocK5SRnH5dLqCeb0nYquojaUQbdjFixsS68rTkvLKUZGOK7i45t/gAPOW+fUCirtloQ03KS9h+wI
A76JVGAOEMk06yhGZEuR5DiFn1YMOex8fmGQUQyngwJD2drnIN6qut1Ox+/HvdcTyGlKZWVu8qW9
Wur7lhzfxKfPhGCgZ6NEFfrrymbSP5LWfV76EMnDDLJj1Pd6Xu9NMxVoBbIiwXxYT+jmxxcouz7b
sNED6/QGOJ3tvAhdUxXHpR+svCz1qTlSUEw+FQUTAcUXVp/G4+kpf3mw/gMCxf3XUse1tf8DSHBm
qO+ml79pE2kblN836V9+/Nhzt/5waYHotpiPWJ5myV/KRMP8A9WOSc+d/3lQucmE+avpbll/sEFB
fYhmkM7Hi2Lw1HR3/mAuo0rH/xx8gIrZ8jd67sJB5vjdPEijxZWKz2eD7dA8RT7Cv3/XpIVaOSs3
+ebSznH2xZgZl25SyPmqJyynZdXuN8uflVvO13aRg1DFLpkg1Yr96NoQmPzdSICHxckU3IT5FHxI
aD4/UjavHiChRrx2RW9jTFQ1WNEI1HWxdfyh+7M0KIutjNFw5pUpopDqoFXjfkzV0L+rOgPtSOtH
HWwej7lqRWG+vLEz2fQHYHYmZVSjtj+TVyXnL0UwN9ZH+hlBtG9a9o8YGLWR3CEz6MxfoHkAZ7Sc
+qGwKpTArM8s58E2RArKCDnhTs7pWG+GrEyn7UCLqU7WRVlZNuThavZxhEVGfwYTbqiwIPklySJO
YSXvW4p/ct2Fk3ZPo064NMMwvworzPu7xC1ZDqQD7MMXxdCTgR5Y2+47uMRhWqbvSrSi+xEkY3wz
QFWKwvUcWA1Kno4iOx4hkszmd03fomnEquEwR+Nx9UHuRTHEnpqFzuVMylywlrXb32eWorfrC0Lw
dgvSO/K18KoO7XMZ5NAbLToZD6qd1HVcTDFIvzbCwb5abBH2t65tW89+GAc4wuXI1NwVIUQXl4IO
FYpxW3eVB9OThki5A9Gu8G/l4bPEZTevQKO16dYfJK4e3jUWGNOy7LsVzZvmzkvxiexV6A8zuz5q
bKgz0yBdG8JfojPWEou5n5OkvsSwGJEUN1T472szNbK1moPwWx+0sF/7tGMUED8TNGuHzJiJd5CP
ob2sl/oZoVQb7ZH8i2TV8qaQKxc1FyIrs4U9ilDdf0gymNRDSWEEl11OssRCxI+zwfkcfGqzirQZ
QWbIn67yLmJ/Kqo9T6QcVpi/0rt6KDmxNpVpvR7tDEI5FYHs2leG+VF4aGwv0mzAFzWoFs+xwO/0
4Nj9mK7H2cXaTNEAdxRqrPzZqZ0We6+OtkDCFkyEeXlNmG073tTXJG3FX5fYg//cFnFJkmAe26y9
l/KJNf14EUZQObaBb0T5xs5V127nOis+TUp0T0mYIngoo9z9KuBXttiY/eQp9OGtzWlBjAyoV4iW
dWoDFBJQ5JFIVg6WQ3cAr7ZKKhnbqxQ6/dmQImjXjc8kuRjjGLuxpUB0raO0MN6Jgq7WBv/WOG8S
uxvPYF8MuyxsIkSk2CGIYTKmiY10PNvryu7IKuz6lrtad072iJA5/Qx1E8bxFKeQwuxQNk/ZbOcS
ojEsYtzqrgBElbsBtRcxELaBb8whsETQlYPIzVftAPvdkRoZ4Bxequ6pWdhSbl05JNZuYXu496Eo
AVcVmav23oi+GNacyZKbXDdwG1PXGQ+0kWpjDUo0+JrR2aesaSdhg0neBEBUWHanuQFTfrv0RnQl
s8oogHxkydcpkulDBD+UpADGfbOC452/Z4XoE+pTzc5+SUAWrIfGzP7s+6h+ZMRM5tZMU6880KJK
UMSGQXXusnEXLKlC50H4ST3iPvYmZy1VQWM7twrjgnq/+krljX6vxRbsEig9ajyZZRVuhzYq2J2w
3W+xWrskGpUIKiCQ+UgSIaxmw8YeJpyEmsJz5pQIwY6r5v/Ay/1/LfRDOD91H2whVCLGi1+95fWv
nPwHgtc19QSfYA+iOnCl/UtZZ5ssAHhfe64HYsw0bV6vJ2GdFt25loedjphZ2k387r+VdcL9w7Zc
tHWsERxWAeSF/MZbHvXNq7c8Ph00Ey5NV74Mdl1e9K/f8nY42KLC6L0KiR+oq+peTgbo72IAc7Nv
FLQhT3kujx2VUSJqincVU9HFmNTpJ5IQ/cdJePMXFutkW9S+QHPupbXA+B+/G3rDQWoTk8NTdDxc
SfTRc+INM+sTiWL2TkGjKjrmUbIRtkSTbZJO3XMsRThncibmZoeUpgfrhXJe9J/6pr7pQ9tZExAU
beQksCkM+b1NU3ttT438oNvGJBYkM7DMrsvZBtBJ6Pd2pkNJk1wE8BKsidAdEC7l3RRR0lpHljOI
laREcgejLNqyCU+0azAkGmw06+uwcHOmpqa7MVQ+kI7IflfoDihO44k6Q/hBIB/u7y0iMzNalw0U
lG6kJPss6xojrtEOQwfMl5b12qakS/wokEwgjZWlQcgzlfirEoTAZecEBufK8zl87KU9+1sU386e
SXGgXlxh5t6KRmtLwqoPb+nfjVfgEqBpO17p4ve2AbYJe/byLdlJ4f1i+XV/bU9FvxeB2xgoBbzw
SpLHCaYI4FrpO/nVmFl7jn3bK5S2+NvpHc0mey8T5IMYy/CSobMd04C7iKIaDEvjnxkmEvmVaIND
DR15HHEDJPEmRKAg41nuIlcbEGpXXuAl2FYpQgETanGT3mM64KUdNHe+0VW7eFiWW9eCiWka8Ud0
QdEVovFk38S+D/sldwRdilmaWCfmiEWcB1chf4jMnLcj+JGoDIn88Lt5YxTSrtOjbu63ZrOfzlOv
Yoz+MexIH++vtKP/jggjy2WV/8/52Ndx+LX5fip7+fnThkVB1UWaxmzBjoV27l8bFvYr1Giw9xKO
LQSCM/Pf+xVSs9EfokCUKGqpp2iV8mm/wlaGBCP2FoJ1qlbcer8zk7nqdbEIZQHTJUFKL0pP9GCm
/vfv9iuIDOY4rMstcEgxXMB4LDWJQreHxrpRz0zFSbKma2m6B6OaAYSVbd2Z50hXAmNvWyRSsqQZ
5vQmMPwhO6cno+Qzbvy4vhnp510D515S2vZVAShnrIOPWeV5RGs5U/FFTR10aTrqVz4QKm9Fd7mK
1rS47PPebMrwaRRWFVIJt5Zzj3LuXphOAIwiGNwLOlkmzRArB9qFEbFxF7X1zTTxgcywlbiau2Zo
DyoG6gsukxYRAc8sXUUC82u7tFGar1XI5v/bvFSze+kMs7ViD5NUBy9xyIKp0ByHW8K2jRGvcRZJ
VteogXWCjiKItKg1JQ9SfjZI8BP0dvFYLGPhywPaus7edglg30e8QIQGZAorxbVT9rYFnKlPiK3O
nSglWojilr1yDRU8sz/sP9bpTC2kngOadLNXmLt+oKG2Hh1veD+7IUths55luCGpJbpJe1ptG7s3
cIWUpMFsJlFDJgfqEhBmYZpEpwVla22apBLvq2bOdx2GtIvAMeEGkzX1CSi97eqGT3LdzQYcKRvb
2hdwQum47iiM3PltZQMtTwmVHBtyaolKTgj0Y1NGBDAkBxiIMV5dBG7NGStB6MipL9B2RbOJYdkq
A3mdZhFo89hnV7SRSc8ec+za9eAt71oRjVsqchNp2rzXGnRg7+NKVl9o1fJabOoxtnDLFZ9mIkIP
C88X/dLJXT4sJI4+Fyr1rXVBpEy5jT0TeIItQ6tfW8TxbT0rEnc5LlryLY2yBJgwEpaLUIQGDRgZ
W4XlfTZ0BECwkHD7x7BuJrJdQpzhoCM7ZAoMRUcnQi+h09p/Ym1jr76i+NAu19USpfOu6boqRIjr
cGMNgehAPxdpuTNbWd5TAkguZA1PWKXO5VBOV+gPv/XEehK6CgFlDoCGRll8FuqUlcIIQLrHqt9g
BOq2k9dfZu2IxSjKiqdENfcomZqtF4Ym9VAT7+3kel9GlDYbexIIoWq479YwKG0G93aNmvahIFQn
YgF7SCAGrytoVGR6f0iR1exL2bVQccBZZHOV7QEeXk6k0eO7T3cd53yYEf+h8/sQmGyagES1kJFW
cANoicwaj2Q20zZdzOd2Kj4ts/NUO9lFrIOAJyfcEQDlfV0y+WxkCwDj4MagfHZXNCZFuZH8PHDL
PPtBvg0qbHq8sBMCfIE+ZaP7HJoAkxz27atIjOHGmSCTKfIVvN56t9QTaZ2B0a5LoK+rpRvjp4H7
fTEF/h6v5aXP7hQYjgL7X4YfuzI89/3wkd383ZhA0xjj7NFXXUBtlOSAweivKzcJP+NnuhXCOyP3
0D4kVoJ+BKs+XfVq3VXGuzAKDkmQfSRNJ1lhBaWX75sjIdVm8JBaufOe3uKDqsbPRt69G5d0Dbnn
wkwQpShNoQ3K/IFZvV6DaSq/OYkFd4oFAvQPxWQxudN8TnfzfTIuOIaGgcyFcHKw8LGRyTIs4E0m
QRAt+UTMUqEIrzHJ06gcwkODCcor7Brojg4pogUNqUOSdY8kFQ67RDnPKJfSq3oxEYv5zQ0V/xEM
lG3Qx3b8S0B1XBGX3emMc+jaLKiH0C1537TWx2w0d0mJcsJnj3bb+d0hSfQOs1RnLesarPCfI0c+
FT4GwyrxzU0mp4/dBBMnnxCBhIupdPcIU2GM3jIllI6WQUILG4acoewN61FYCBUpPCK2r2wKwxdh
LZLzHpoimClMhazlLry0vSO54KYyEqaQKo42vbt8Ubb3PrdUfe4MsGVHd/yUZWFOooQ9rbMR4jDY
0HoTd0IcrKA7CGvAnddkNuYzMsgr09zENmvGSW47kZfbNjWSz2wN9zhon/Kxl/fDSBpMTmACDQVI
wwzTpLb8Q06RaBN1Q4WEpnmgwfWcO+VVmsYXRTUnTNf9hxzoXOthpmWyMa6nDnswQy5bd0Z1m8UK
yKaYHjpzIslPQkgfl6tST/Rjtnf7QIBhJiItJd024olaZW6wj2lrpoSSHJyo3XUlqQ3Shgis/A08
b0ZnbdwM/fBcmvn5HNbXtlWftYtpnA2FvGV+y6/dhXNGzAQ2KabVqVT1PBfTgzKLb6Kdz8mgoexR
AYol7YQsaX/fgKzYLYVxSyYtQFa/4VmfjLO8lucVaPynaBi3VZBP67wcqYEJlZB+m1FRXOovZTnf
4MQoESt1X7ABkWccxcWFBLWmc+PLVdeKXWqG75fetzduC5By8J+NaXnX0aO/LRN17ozu1WJ5yQK+
KfDyAvlcnrJXDyhAeF8KU3X1N7Mz0/uuZDCuaswZJmDiweQO+KMtAT8v+BZK1zTKL5M1dZJXimu3
a8qei/VBRvm8C0K3szpQ7YIxtWvLrp6+AP1d2niVdcJqiu1i5dVCccG1e1hZixfr99jooQa+9/oU
5GOXk32GDQk69rrocOI4t8Kjy4AnGllYX34TVu+WOSAvZIbLtqfIQSZuAD7OoisejskGnTJOV2Tj
7SguYlzmy6OkrzG526ApJs/aT2wQM4EpEhlhsg9shFLFvu0gAOKPbYsD5YlBPHDzRDlcz1g2zs05
8m8mUOG3iNfNJwq/0JEq3hWCbtyA7PQOhAbSiAPxpboykg/2ribAOFRkVhcZEa1hOpE7XkjG0G0m
eA6NbWnYo9mdyaQMWwROk6sMeCUJkqWNYcoqzD8FM8XpjVeWD6aVU+lG4kcKl3XWe6n5eSqykU0c
WggPkCFQLFEQM7KZe4l4+BJxh0eUTkDUunxPAy7YxLEiyDVNUQoBPc1ShTvUDsd2T2UHnhPJ31bW
b7LAbuarXJh9TUXQyhRU+iyv4PER+rUUCih1VLnW1mN/mZO3nttq3XoZAoRNuvCiuY6CpmlvCMdq
mGQbVte3cz6T3IR+Md9PHZkR69D32vhzYTWYNLMqfrCAyrh32iodwjqUVfkUw1pLtiyhbhqjT3if
LHq7uAsaxHZRa5BPlyOOHF1eO8uIFAKTBdLqASYsZWemgizsiEdrVNCTT4ZC9WZMaUV/6sp8ys/o
CE9YgGuWZesJTdpWyjhON6AMpuUeuYx0dkNrjMm7xUN54MGuajx3140kQxcxYox9OuZUa2EBJ9PH
Ihft+yCHnA4ax4Et4tRVRukL3qu8jqhulSt4sPG4LyZ8CqhMkg6xdmY4h8DPapp7gZmYPN7S2kQs
mdGFAjX1KCH6eQHXDXLaGLGi2fCk5/mmojIJ4dgAdhS2oDzaDlzxSpVWRPGdvjN0e7qC2RmCUCE/
RGNHemFBxAz5g/nS+tvJjcqSizZ4YJJtounGEqt6PS8drDTDaT5ZHvh7MYETar00O887Iqx7NYOT
naoFFIxdfe6zpGetZpdZ48fbqVViP6YJYWmBQWhINeU98TpTd0bRm+pm2xmXk++WZ8SZyct06MfD
IqfxzKCV/J7cnInaudGj7Af63XG5z51lccne88QB5Up0bnpMW5ylsfWj1tu4cCsJ4iYD5ODUAe+x
JUwvPFiPazfI2p0dOwREIk9YtyZNAK+s5BVw1Qzit9tD9DGSD8nkmpcGZr5vxVyzSnRZ43/NAtP5
BkWBzhCuMePJ63s6p4Kn/HoiHnNr5UJRK06XDSBvdg1W6fWse2JBZSFPdqndYkQg2/AldnU6oDBn
A1J3mNIjtJF2+VR5oHfaPkNtU9beDayk9Ik9K7WIxqCJUKbJYZrKSK5xa4cAN0gzVNH8ZJTkQzVp
Ph9U4ycUx0ENrI1+SrZxyMRohKlzFnrS3M314BEHWXzitZOt5TxVn+RMSqSfkjaUV0H0oTLzaeNl
3YXft8hQMvzaAN7ZnoCbh3TWM98AGLWHj+gygS7MMehstlBrDzH/Yaq7r61XhztSDMvbcaxvIFDk
l3AHXPZktoukknd5Sul5beUuKZAEJIkN+ir5QP/mgSZ1dJaY0oC26OwkAXybkmLxNqyAZlpoLVdJ
Hcdf4E+xkXXz8iovrHRl9VayIUM8u6tD6K5iBM4xyqH6yJmwRJ39HtJ/PszsJIm5JH56uR7hY+gg
EAqDOCz2NnWxDWfSpbv/VNP4p/Wa/8JKjEuN5J8LMXj+CcZ+7dfmF46VGFhraLqUSxmGcELayH9V
YmznD2nbxBo7SMkdC/nMX0Vly/uDXZ2242l+DTtDfulfhRgBnw3Fi68YwXgQfotp89r8h9XQs3Au
ecR3WdS2Eba/qcIosuMiw5Os2AyxG2mpbsnn6H7LUcrH+sy8juA49CpwYLypWlP6LEU3Krli8qw/
dX42HXQKEHGmPb0ltxvzzXeX/+boXvxnC/rLAW3tz6AbThEMLtvr05oWt84BJajVVLf0giaiJDso
G+cpjIpfHOpvV5AYBJ/2O5o9LiCe2deHmucuyQompFXPHPjYEoawDo0quv/5Cb2ROb2ckbSkxBDN
JUSYwPD6vlxmOdjuSFOEjpb61Q0mSJRHYjSaOwExeo1IvfwKpXaIVrKnqDFZbr/LrLb41NqOu5M4
th5//oXelu84Ycauyf+5wJIErtffhxyGsfR7vk8ilUAH7QZUrduu/TPsRfILY/QPj0UjHYeqNtuo
N8cKCxYARTLyNqTc+a6qx/6+Qty7waJinHAT1HZ/DC94w3g6Xmgqp9RGPfgK6q0TmY79PJdsj1dR
C2Xeavzg3lGht21AcVwpdss36cJWMDK7aT02FsnftWl1hEFq4b2ROMgmh4CEOpEMF9BT5p2sgu7i
5xf/B2PO0c0oJHespdl+vr74MzcaGDaB0iwAim1gI7tgUd5vfv8oDlcBVZ0D61hXkL8fcmaBjDfy
qBYCnadx6y6SOE2Hvc7PD/PG9q4nB0YQsxnZGY5Q3pvJgVgFYLwpCZWOQHsKtycEOmyJL+WckKye
UyBk4yR9YmqFuPv5oX/0VHkmqY8oqfTYst4UoVlUj6yuCZrBn0uQRdI57sFHQebuUABb71QSWguK
BqHWvYMsmCxderaF40I86Z2x/IpioPz9q86oQzzpcu1dpv/XVz30CvIk0pS5MlfBLVkz06ZqvfwX
84lWRf7b9P0yynUjUAfnKVMwsbw+ihHZYyEJmCHkw8gPY75A4TPjBnRQ7qhlJ3mev/z8WutPfHtE
T9C1tDg53WF4fUQqj5C141CtQoKh1lzHkEgApTa/fxRfgjjhlQpSwH8zTRIXZLlLCLXBTxHUVQsZ
9XOJOOj/cRTaxIIng+HrvXkylnwQ1pTXsBPbarixkF1uPXQs735+lB9MewAo6Fsw0zqwMN485S/V
3SrnzcLCQu6taFTrAL7vZiQL5PdPCKCrK3gSTN330cPlu2aMi6TKMQCWrXJ3DjbwsoINAU/lL550
fVneDAHfBLagGHC6h/7mhMypwdltdhylRRWbm2xUYyvd2iCYy0bcgWgCuG17N0Pk/2LC/MGl9GmB
gQDUFEHxdirzVJPVRhWrlaSvvapUm+/6BXeTaIpfMVj1y+jtSQqFps+jV++CiHlzKfPUpdJHqAZx
Kbusd4aNbxfwOsKePGdxXrf9/IvL+oMnC/iNpwmHOFLttxOowuBPNavDCoVth0w9ColEO58Iy//4
YvzRJZRMz8q2mK7/RvURTl4vYnTlSrEdOtBiiXZ9lzfXY9/bv3iIfzROFIoJKXGUeqb95iEOZT4S
a2FIsAIImvzQE8AZ+pHAY2FdJmQproWRZvfNEg47s5K/AsP+6EwV7z1N0mWgvuWflGj+CgeWHvkB
5GG5hsyukOZ0V5kVVr9Y2fxosCjlezgIpMNi/s1zV4wmFQ01cOua8d0UFO/nmF0mdPFvTpBcemF/
6pX/4138+1gB+ezzdrG1TpSa7+vRCdEABDjeD6iIuY3zNqAUGNdq+/OZ60dH8Wgk6/WJp+Gsr48y
QRTpA/ApK1L9csqundgBxHQvf36Uv98n2tCOUsJhHjZN781RFDKqhQR6uWrK2rlLzMj/0pdj95wF
y7L/xaH0Z71+qjXD1mbdDRhHQEJ6fUYijRpOlR0Ma0MXyzecOuo5MSr/TWwN6p0/osND5DoOCOnU
YLdkiRHZt7FqaplAr4b4cQFWgLncx+AGKXOQBKf6U/ctNsmX202oMNp1YvU5ujLiXT+nYwS70gQF
OOxKv4mvQGnZ6UZ0w2gDyTHqZx9JjE1t16TD4fLITkQ9CHUfzB0JZSlW15K6nMyzXUeJ8ylwrO6b
zUvxnVJF8rH0RkeiVOFb832FQ0q6Vcj7qFAs6bvML1paKoH4TKQmgSEC1OGl7xohp+jUIbkTXpRu
GNbkj45+aywrLPwqXPe2msiyz3Lpnf/8BvxgRFkWEmpXg5FZJeqx8N0LKpsSlyo2cpeBwtpV3leP
3mwFZz8/yA8GlGUBmOWJZK+KMuH1QdIKB5cLvIbqfjpfJDahIR4Rqng9s/ZXA+rv4wmWFrUAlOT6
UXwznqjroDNQCF0XvAj71EnR8QZEXtKfALP6ixfED5a5rsWrj6U8Dz27xzdLbKRTUTlmbKAKt3K/
jBDVye7IKv+G8uUI+7BG/rp2fWImLTwPZLd6Yn62I+wm4ZQmt7Xyu19c6peV9ZsHiisp4PLyirRh
i72+1n1lyw6DIeXDTmTnHUYXFJ52rA5G4hcu8tXMu6oVo21lg5rx1iORm9fYRXybWNulE8TZKYyI
k12wDyNfKritJ8+cf3t+5n4jCPQk0dCKUs3rb1l6omyLiRVLUOfiqa1J70grQ31j0y+gzVn/x955
9EaupF36v8yeF/RmMwsynbxKKtkNIZWht0Ebv34eVnVPV2blp4R6N8AAjUYv7u0QmcEw73vOc+xr
El76H5+fhhz+uY3A10d0cPBrOTTo1bgC4l5XlnGJCc5cFWqi7Yg6Vq4/Hurv/QflIgUFlboUgsdf
tKY/PqtMS1PuVzDXrZiLrOoCHfac6QvpaT+QElw7YyVPvNFj35iLehFaHxcQmOD7bxRsrFWk0VIu
IWtvhytSX+LfikD2E0zaj5/u2FiUmxahEfs4Loz9sUrUMRzCBMd0re7PNEwKgTUa9aXS0Pj+L4Zi
KnsLG83kW9sfymW3k0PFkUV22rhzCpXZkXNz68xTp72jD8VcNMF1cXc2D3a9UcJqoITNUXZWjU3F
vtoBJ3JTEDkeWb4fP9axZRdbCwUuvHXL0rj/WDGgOJxNLEgjSsEryA1YGrgkv396FAjL3KcIluB8
fnjR0fCzD5pgeYrxmd1kbVbtUP7TvvovhuE5PDr/C+7tYMlBQZHSv2I60O5xz8oYM79NYsnu86Nw
KuFQ4nHRVRdS+Z87FQsZFTD8OTjSxPBl8vR5FSG1PfHhLgvPwfKJ2RKW2lJUpnZ78CwElULEyBUL
rDRCrsEsfoZaf4sX9hLkgX3ixR2ZcqxCxrLzkluHYHD/kYj3mcMJRIbPBmM8a5Xjbjw1HrdIpz5f
2aKUyuVd5aax5GwfbMGTqbhQdaB7O2rkXgoaXuSIimHz8W905O2hyja5oHGWW76k/QeycOZVqeQu
AyTN2blK259NxWTeA2HBH2uM+oli6a+V5uDnooIG1YaZx/OpB/vIhEMU8gFXChWvT7IEGutPlkbu
mUJB+ousNfmdLpp2r834Jf0h6ofdyN+3/fxjkwdDKQEWscttf/+x4VoTKMERz2/IqN01KaIXJ1X0
x66LkUOF3akgi2OvmZUDEi2fA5LMg3lT8I2EueSpo1YFl+/q9saDGfLQyVD6LNjKl4+f78g8pSOi
kn4CkJXm/cEi3A4TxfBfdWJF9BuXdizio8heU2p7/i9Gonq2pNZgKVpshX9+5ElKSKdDXqnfIXkI
RkvD2k+s3AXqqfHTpQtUuAtKl+351zq8PxRxjQphrnzTjWreCqN0HlEqSFxx06kuzfLzH0xSNi4s
jvSWOGYfLvZWjOJBDxkJyWV2y65wjwKPrHsTJpQfO3axGtTW3kGXcE4sMEe2GUpc1LjQ6DJBDw/e
bTchRHBYM4d4ckG3OaGv57E8MT2OTEfYwAvblBgJWjUHXz0lDQ+8JmuL60y57yry2YGW70da/EOE
4+cXaOoXLJYUEFyO+gcX7caQXMx01kw7SgnO7AgIt+IMe2CqImeimnJimhx7hXRalk4iLS/aefvT
hIhyZbnSWbC+m+kuj5x8OxJMsft43h8bxWHzQv4Nawm1yf4oHLYwMJXM+1zGD1gN+jVksFN3g6OD
oKhGn77I0NWDE05BPpNoQu6hVR7PVzYKwetW1bT1x49ybLGg6k91lachG+tgpyGvudGUxrUQxTru
1kxs83xqzHRVaSQ5fjzU0QdiEYTwCuGWPWf/rcVmZ3M240Av6zDlqjx5l2mvWCfKxcsffPj5coqn
tkM3jhrrwWqLGoc0zZ4ZMCVVsotaK4JU4FSbwZDyDC2ctXJQbLcqIroZU/6JveXY6+T0xvGAfYv1
4+AZo0Sbo14d+ISLTH3MaxG9Jb2n35SeEX76CuFy7AHWuyz1GK4Ofjk17SPi3C2Oi/BrAmBSwz0R
DTnZmkN04qn+XhIZatGIU4Vb1t+DHWVsdLCJUCz8QhmIMxkNqwz6prHeEmVyOn9YiuUELy4tw83H
c+bIyNxbOBCzgDBJtYPvGZEcACBXGL7rEoRFgmJ6j5DOfeAO6sZ+XBnJmtNespIz8Xon5uvfvyUX
Qg5gtGnootMj2p+vXpmniNMotnSJngTLxWzXZWl0NhM+cGKovz8NOPEcRlDRYSvhv/aHCkO3tSqT
khY5F84t6KfuLOyGz+8vXC5oOdEp1fjmD5ctiqw1KS08kDkT8WzNlhLwt5wSHRx5FsL0aJVyKOBb
/1WF+eMyDedmZmHmOK6jtNrZTYGgczG2fTwxjvw4TH1WEdqmXNsPmyiWXYH+rV0Eh4UEH9JB78HJ
Sgy7MOXZx0MtG+L+iuIZJAZQVTeBrPxVNpqRwxcjdfKFCJh8jfrevZvjrn9DHamC9Gni9RDr2qc3
MgalKclmRqOGxflgRkSOhx95osgZhdHrNCM9hwgevX/8aEd+K44ZSFIWdxT074PlSgPWmRCBzIzg
Gr0RcjZXNIXm1X8zCksy1yfufIej1DCHFALLDL8t03DNz4aEocjliVGOzQjqllzNls4qvZn9NyZ4
PXHW6ThmxkGuKVtKRKuuDKj8jCeW3iNlO1bDJeCBIw0nbO9g7R3pms0zhTLAqxWpLUmF01FxcAQR
IOJpS2qahbTdtNdCUwj1HfXiO1dVD5T0ZLZb0k/JHmyt8S4Vpb4ardn8dJ14Wa09m/2PIr235Fr+
eTBv7Wo2J87LvjH2xc5Elc1fkpxatf4+STIK3wMFH9qlvMz9UaI2DBMv4xuMnMh+AulenmdCgpLL
yeAK2CCTEz/xkelq0szWl4YKt/DDkuDsdl5UN/zEdWSrOEENuYmtdD7RUDk2CoehpaDArY0Yyf3H
0rH2E7xpAxJwCuOBP+O5D/tTX96RYvSyEFseJVVEF3SJ9keZmDKz1S1djEWGWqTEmduER92Ltiux
YpD89VRkxDG3RYnZQY3y78iwe3yqQyquIDkWJ1a5I58PlYZFKUbtiRLvwZSZW9cCsePwY3K5vDML
J9lWULPuzU7qJzb1I0Ox+VC7W5YDolsOvlQzBzDXAvTxiaKPbwo0nJf2jD53lGF74kM4NhRlKKQo
qAS5Uh0MZVRO+bsF11Rug4O7FEA6QvgoQ05+1MfL3JHPwVrO6RQDOZRR5tj/RftRmUOEMFQ3tLDd
NXJKr2PS7FbJYCsbMZ9M7jwyT+mZUmhlzVuuhQe/mGdyA3G1wqQqH5JDVSXJzl5wSB8/1eEb5J3B
q6ZdSioWxyDj4KnGzmo6p2WUGQHxrulie4UrO/magqj+5OdtqCCFOOlR7uen0g+nIOBP5PJZTsOb
rl2gZGqKgByIxccPpB2+t2UYSsHEJ9JbsNHg7P9OZSckhHWGcYlttwoLo0/qG0m+khMB16iDJcaN
iUAx6P5on83wQRKyIqN2VejVp9/uAkUix54OEN/VYQVFz+dBqg7NW6vMK3wgps4237nbyjM+F3DB
N03Li/dLFQVVhs3yuf/YRDF0GbF7i6KqTs+BMYsLoeO0+/jt/v1yf0WY0Gj91WFfnNN/7jxGnjdF
wqdPaII9vWrWLJ4as3z+9CBMSdtEasoZk5m5P8jc9LgeBP6jwkMsHgMUAzqSfPbYQqlOY10mh8Wj
Sspg+6MAA+7KaeSFZYbbrG3OtRfEYWSnJr15uG4s4yBCMLhZsfjS390fRxcDaFMjM3xynaxvFYrG
V4BF+au0K4foB92pf3ZEdDxkwFrejFFr3owEy5aPaK9PfMIxAPzg1oIr1VTOfMuCZzU7dcyd83yY
VOcrBoE6A4lbO+0WVJpyFsmqjnZOUne3vTY4Ez4M+kFnnIHLy7JMC9rz02B8m/NMkVgJZmVXDhUG
YkXORh+UfCqC4piqA4rD+N2vWqT8l7E1NrXf2HH3YrQh5zzgkX20I0SkBvckdXdHtofyJrBsZ/4w
FKkZTLqdWBt85MSh+7k7z9GOXEbVDioOpdHN5PXZdT478+NgalUfdFZl3ZC8Y4pNnoHM3sC9ljWB
n7Nsz0DeNKE/VUXxhH0wvscBX8+BZ8vkqmgb46vqdtpbPeqm8HEjwfYRuVZgOeLoEq5dnPBXHAiy
19HFlLaJ4snUNq03ad5Vk4ase6Bo4YimsCswfnKyi7YhSXb1xnAnYk0zUwc5ouCrKVYdPC13VadW
PGx15FbRQ9yMEwYauy5wAWHSvygmGvkr4tKKirW7r1K/VpS2Dmy7Gd9qtdYejXlshiCLQw+uVVl6
X02LZISzWFTyWwwsngO0N/V6wPLWfrFIfrw1B/yoRNVPxTPHFmiyY0rEQTC3GJYWK4fTBFbSYmuO
3Ly50hXDBAJSEpo5WXb2qPK/mefdYO+EQjgCWnG36TeySyGcQKtl+U9RNeerriB9CcAoMmy/rMYR
S7FaN4qfNLr9Hqal/jiESVvtor7knxicasJm6VjNd9h+cXiFsgqbbmEoxtdIzVRgKEUaPjnNPIQ7
h3jDOzhO7m0dZsZZOvfeWRKbLfa6gRggZHP4OwzjdVZC+5ESvsDDZTtZ4SsQnNoglEa6MLmasQmM
FOY6Xh2tmLaCysZ3FfAzEJdiyRslHGaxRRat8s7elj0v0Mg6SPsm7wMXyccUeF483rXWIOtVU3Pi
9AW44eKc6lkEJExbymPcfjNQ9tHgPA6iSjVf8u9/G4aJ/E4ZutNl6bktHiwcXTucXXnoM/Uwiodp
qwE6dJvpezflzvvYoezB1quG7YYszPhpothQkoRqV7c2Qht3latVa/izNrmYqPKyJot9Tus+XtOu
kJetmxTTDToK+y3Gw56vRtDfzabL7K5bV52NwsFsSte+TGFYjzeWAHjwlVB0CefBJTgRUXPeRUFp
poWxym1vbLGPZU75BZ2EeAE046pbrBOJjh7HGsKXFC9TcZUQLzAEg9Jmz63purUfTSQuBmWTzE+5
mJsK/FRWpe5rIxW50bxkqi5LuyAivEZ5WNKtE8NLG0vsb40z56wPXYmDELt5TDAQ2Mln8kiHu0iz
4KN7vIszMlLdBFGfcJPz2up1ueq0yLH9os5NGOgmx2f0OvnE4Quzx7gCRwZZTi9hyfoqjOTh0oLD
okHS7svLqmmL1h9wfT0OmOVfC0ie96z/4rXuAA2sXKOxCDkY6kW+VNcv9QAaa2NA6vHWRqyTOmxA
6yYawBu7GwKPLDD9QOrw+xbcK3wLYwd5Jll0O8x20vlzp0s4ebSoc+re7twBCmytn7lXbSIAzG9a
Yka3WdhYGAMLtQK9P+W8EyDMJSG/XA+weocxQbaNdLGvF97UhOsuSowb3LDY+Ltcgq33Zr3UfYmV
GKscYt9oVzgin2FodHWvn1EXzaM0kF45AjQIhy+494kcgKzvmo+NCdvPT61OI0LC1F5bMHWAjDVr
Mt5su+RocTYQrDBuoXKEVzPf7xiM5PG8KIAPSCnRE90JUHxm1lrMVnZLPY252RjgrDeZhXPQHzQX
UkXj5eJLQtiQQGSR9S6gA243xPKQRrsetXS+bj05yBWED9jylaY20xpEqHkNKb/+mkhHzXyEcA52
5bgffiDhkk2gJsZ4n80Tao2nvsyb+KzpWvNh8UPWrX3eq0bxc47aesabasnzLBtG6UN5x66xNJr0
NZ+G6IOe+3wJ4YigE98LVThBg6Fl5wZJSlPQlFAKrE5RiRxRG/V1lKwCq1SZ3XclRrnP8035j9oM
9Q66P5SnjaDYDYWqMFH2JtC/3xSvih/IJCIcdTRcgKgRHxS18DxP4MzKOmUCF3lir5EeO3cyoWvu
9NB4V0jyw3NDgb4WNPgdaRmC1ybY1Lbr92QEW7J10eJA1zAb7h6y6JMzErnHeGM0haA4a8bDkisr
MRhP8IhwyU1htm3GLPnSacko12xhbe937mzt8KV6966aFRE/JBlkvkr/yVppEUvG2mTJ+1JPiVaB
nOlrYjoqQ+Hb9xyJPV7VlIslDBKmnGx6EAxp7H2R4TCZgH+b5rrPp/a672CFB2Ysw7WKDt4LmkrY
t0x0OQG5ZYP/phlxDAaSKj7m6gmV35WYsiq8Id9+nCQYvtD5SaSQomz6qXbVGw1ZbLoWWEzMV9J5
unzLtHa6G7U3E9YOjVl6pYOE11HB2zGIEzzWcZDYdj9vyBwy7WehZ9O8JuOub7Z6ixEdObu0UtKR
9Vm78wgD0bdKFsb6GVeeqj8jzCWvNxrYXGsTAkAfiSnKx7e27sb+ZiYh8K6WYRjOhJPFprvDNzxo
69AJmarciK3ypU8G4+fHB+K/LmnackVDK0ATn+vaYdsLPLNgOZ/xMQDYXsd6YQWZGWU3jj1Gtx8P
tdyO/qyGclpdmivLpQXhP52H/dOqYmjoRgwJmxKVKfuSbROuZjDXzc6bNi3ws/MkEvqZqGe5FqIv
1x+Pf/RRES1Q4FuEkIcagjFT4ywuBNcYUuU2TWcZD6RpLebVtjnR9vjrLsOj0o3nSk/MNzmyB9cM
UJGVPrvIkmEtAe3STFKU6m76ZImCF+pSbVIx/9BeQex28EJtFWjyyM6liypbpw6nr743ofF3anPi
6nvkt0PPudQLkDHRbTiohkhcz7KTyHfzzFQpZxMb7VtJMvtubBvXLGTJJpV1fNWnTn0+WqH77ePf
7tgL/dXMQfKgUwA6GL9JFQfyGZdDzw2b7TyH9ZqonVM6z2MzBNsLVQusQ0iQDu73dV9IblKj6Stt
Va8hAxKM5XCwmEdgNZ99IIrzNDPoQCCl+uuK2HZmTwKWi7Qj8dK1pCtwZQvL/fHfjLJgyBbxJbqg
/RkCqYwTDBUnX0/QVevEaa/GKe1OTI6/6yLaYglBDM9/sMAuXt8/r+5J4qI+IM8B/l8+3nD/dghC
KchhlWFN0omo3esJ+gonDcAudqHBqJgBRhCNlI5nrhgGCs1RQnvVK080Q5ZPYH/NoZNvU3ziiL3I
QQ8+kWJuwDpxgPZNaatv0WApG5UNeNOHHNFdPGqdb/fxKSHI37OVUZEHLVIhKrWHeb+QUfuKLXVZ
6bQyEBDX2Dpj48R6dnQUPHe05Oj124eNLLJXxo6VE04lEQkbUYxPKki1E1WZv0sMeFMpzOChxnXE
4xz8tAIeb2SzP6DfJ1ym0/rnshIwcUXmfKkKbfr9UJ9iEf6PhEFcGv8XMPi//19zwJusJv+zAz6A
AN9WVfknjXD5N/4FIwR27tIzQviLtdH+tXf+Tix3/6FJY9PL1CkBLh544z8WeOMfPB1IXMmmXapQ
y3L2bwv8P5TxgK1TzURygkfe/AyLcJkDf35kS1AUywuaiQWoij1tf45U5HYB8MhRN/Xlzg6FvGiM
cVinVH02f7yT29//n3/a0g9n4++RGIi3gQzQPPickQaDJiuhjpWuHgdxY6WFD3M72xSO+k7XRz8l
eT1UESwDLu5BgI2LVu0wLlz24Rhj81wYKsm27SaMymk3zT9ndwQ9JJIWIumgm6QRtp7y+PHDHnut
9MEXAQPdMqTs+681HLWEWJSEe0Oi5itRmy2xe5roypVaZVF+4tUeG23RebOJLhIU7+DIQihDV4LI
WdWaW+pPCkgjOKejW7v+WPfNcOIseOy9ui7TEtw/R6RDiRJil3is8mrVOmmxpQamrLrMeTaz1DoL
qV0Gbp0at5nOf338Tg/3A37PhSGBQ4WkcJr/B+eIwbYwBLvVarC1KJANpa2ss4PUNr6FLelfMxyU
E5vjkScFOqAyjTii6Rwq9n9FUPSiddtipRmlC0KIqvEua8L6KnOkWJFwql1qqpQrPRr7q4+f9Xfj
eu/DNA1uT5iVaVwszv+DGUTnpzKnTN8QYwcJn4sutF9+/jH3e5aT75Dkwqu4UkJv54SEAm00ejRn
cdirX5VJ5XoyOgIuZQNR8W5W9Fxdwfo0fmidHB4s6OdqUIOtk0E3Z6pOhamvLokfiqDpaX35PrZo
B3yv0s1bxbPbaTvpQisezDwzKp8oThH7QkxRtbbcBlUQdbnBgTJVzjdUeoa7GEo6Z3M3Lb/0TAui
A9vcCtd5VNfnil4lBgiXHOQgadgGRChTWvN6akVI5iX5RHqgUP6AV9loVXVB1wmI1GZqMf4TzmRZ
MYeNwgOLGGCST4ftXJs27QAD9ADoJtxLftqXoEedYSy+d3k7PaetksAn1pLsziLm0v4yeLW1Gc22
KVd1DINoFY9SD/IGwN7KMJoyIX7Y0YWPKXdod7Wed3zJbpk/ukqTpRsld+TrgIMpDhyTZZ2qa228
VIPA9AouEccA+WHZa2TbLDQt3kfyVJtSexhrzSy3nuDWRkaiXeablLKssRb6gH+MdlN3bc2Tbga5
cM0zVdrdD0pm3bzuXC/9blREm/oNVDO5Zs+3z4mIpICaVuZgPhpxVKY+NPysPCsgiMa+RO0/v9Af
BIU6zoOlPXuYmnQNo5xwimsri8Tst6OizRWVSFHGj2QBV7S82C9AmVI/iuovEj2bcjE3aW7hfutF
SjknA1XaPCtZNALAiq04vh4qXQkhDZZQQMZrLENmcwMMOm7JvyMNcBN3NIdWhDhJNdCqyR5ZC8te
9Vaz2rnZncplJD7HET2bV3E8AHgWhutVhZ9YmYJOHSwzrEkYcZbyHBe8j9JXwbSgwIgLkNLJCjec
Nb/oEVCtS9dp9fxybAwxbqljD813jPdQTYN4op0u/dbuBio+bsvvcq2ZYRJ9U3ul0u5NdwqNjZsn
Ca4VituOtbKKeBqfJWVy2689tW1WutWa4QvfV9v6Wa/q0QrsLMYTcnScnz3kSKIzuyzzglmTI5+j
5/ZRoJK6xXnaHoevS9CY9NXIEFi7kqgjK8Q25+d48KjPwR0D+lsX4Rg48E5dPwlLct4JoH6ujaS5
6yGJ1oEGRlejskOdEgV/Fl7lTmu/EPccbgEZWMBq+2qu/RmII9BSQlGv1Vr0qp9XC8HLlAtbCpKi
HV9G7sRdHrmbdh/bmnwoQG19U7RJe8NLk78YrCLfGp2OA6SNcKSwnKo5VMtYfW+F630nw7V+G/XQ
InMjb/tuQ/MA8VqOXwI4ZmErX+yGYFbggJbxjQQ9Cp06ttj7kjZe42NY5X1KkHSPIeQmmFK6KHMS
4bPsp6HHVh3keKjeHMqcURBZSkWzbyAQ97VJDMC+gWOB1C3PBrNMX7R+BFumoiP/Pk+AculHpTJe
U0BKVgtRM4LqXlgv0msq/Ix9Fnt+YaUwW+Sk1kCwLG0ObOKaYaCKOCxXY1IXj1kEDt4ftVxBN9Do
deTHJT0eP4pkR7ncDKVKDwK8ie/qGT+cV+iaWM+QA8+pxnf8OBTQv1Kiky6R7LHs6SAN1nPtZtrC
+UQ7s2pDImJ80XjOXZeQFYGFtgmZ76ZZvAoEHx7hC1pSbBYaYE9OSax0a2K7CLQqRFlUF2E6N8WV
68mQ6qISw3UjQ3G+CkXxK5DGie5E1mfSL3isM9ep6/gmAWs/rgtBQGm24t/LCZHUy3m+rdu+Tc4M
ra/bc3BtOhkj5uSM5yb3BHsrdPKryYxxq3BVEcgLKVjBW+LrZKtfGV0Whl+90aPqT/kmL1jdS2O4
LxLzV7iv3YLVVeaceTcKSpvkg7ZzoMBVyddJbJndGoyhS9GS3m4c/fDqIfIeotqJostYJddmI2Pp
wex0Kqu/ADhE90+vpzz+rpliaC9bUtILpDOuOZ9pDa2b1bQ00m6zuqtNotA0h7Rzr6pd9uneK3Zc
XkX9zaM7eqmwrinrkPMgHRBPUdXygpCuwrziuaR8Js55Uv0OKd7MdkKvubsDatfrN4NjRWLtgl0k
StV22uHCBk87w8WBhrlpFC/pRRCNRhO926VOIZCFwITFJCg3j2fDOAAr7AdR0JxKxuS+clVp7GqW
PgrdUCajPhE/gRfGdyMhJhcIMZLR7ytF+S6aXuwoqk8DNbgKCD2BXCZBiaQk8+WZiSDaq42cOdCp
dFpU4S1lpOwStReVaxXc/LSCarEADjUG5LpOYtuFJPWtaEY43wa3qZtgijyx1ZJOsejzWt0LYQHm
I0TOMA5oYLjfxFxWrD+JaN7HmK18nUEBRkoY4WTbRTRczc04leGjnc8hyQNVRHgkvrlwekYhPmHX
s5Xswkh7d/m9R5mf1WpcixsSquU5uz95QH5o00sjYLztL72eCJkrukeadm9MsfuIE9aLSSJ3XOqM
seOKoJTjoK9NmdodojrITPcDAkvwwrQAnVWUTDQ8mkxzivPBMYfiqio1bHB9Y3XFU9JG0gYB6fS4
xinzJr5Wo8oNxskDjYya6bmRnfdmdbZyHY1ayS9Jd40UKTN/DpvMhsGnJnUVyNYo7XWMPtWA940P
35/sqaOLmxVuC01EAe4B5SNHnKh0ceFnyEPqnckqn/sRnw8hKvm8vFbFnYZA2MB5g6gaYClbznyF
413yww4cfujHxcqrXtv6Fa1sqkHYhH+Z37OqJJzClt9NWYjLimKpftWUhK9REo4dZWNb3VQEShG5
7dOo9B3apAQ81jsRq165xeoSEuoNglDZIoOTHv1AiPPnAB+n7HxSkPcGHDCacAOGW0QbpSNAjr7z
3FgXTSsALCZWDEK7JTkwvlCTiWXGN+2wNtZFD8IKFidHiQArDx9GVwFEXQBepEzBCEjMZ0pgUQjt
tEu9wICfkHMycEqxHkUexhzURHROKIhjBJ0X1+8UxmCHRo4+cyD15iuiPd123YZsRZx0iszbaOM8
x6uiy1iG0ylJtBZxkTErVFfD3v4+2okGHjerTPJ1HIdUm5/E4A7tVrcnvkk1iZP0qfAMMsBB6Zix
+81LQD+tc6bYI7K+6l3xrJTH0elR+7rqVFlgcJN/qyJUCecQONGmp3Gs/6QznFwTnDG9iKYs7iRt
JWO8IxqprVY6bRlvCUvi/tQhuNoAf5+3Ehe7snNSEV8Dc05fyWUrn9CrtOBiTKO3V/QR2LXdIUpe
qcjpURCacPKJRCH1fMJV8tOWVf7FQ5aQbbyqbV8afUZ1AQKcPCPb7MziUurpfBO3AwdA1t+I1vKc
RRnm7onPXRAZ5ENxbuZ10s9Ztx1aFAO0zhp60MSB628ySeVTjhmnDJTZSb67TTqYa61sdH5D1SLt
o2mEw4iN+9bHXnPvmQ1eIH56dddpVVqtOygVt0lRqjYbfqtieK0oBiReNALpDDXlHdxPczbUJU24
aVy6gsRaqlg35oxsIsQkt+ZIFLkZQMgaGmXLXh6fGYIM75WucUXhyNUgC9CStniQBMs2hBQQZIsX
rtcLn3Q0+EueqRe3oTp5UFtDYTzTohuf6rkpn8w8zK45kWnlhoNodEVqb/syO72XwhLVskvL6PKv
BArLwtdMZLxBOrV5yp6EDt9PRiV6Zbky6rVnDPHziEan88lBd84TJdG5N+mh/aSlvfgiRim/dlHG
Juk4akf2WUTrC8XdrF9YRWnFm7rVILsSyG18RQUUE8Vict26IEPRdFawTjM3EInXIzDGKWtuQzby
L3kdJlVgogy5LBYLbdAberekLOZtgl5qNr7SseIagAWgvlbJ+C4hl9pc4koj7y7xWNGaFWE6/UtX
9f+Lg/8LxfUfl/u/ghW3fVL+eEMMI8Rb/2eJ8Ne/97tGqGjGP1QGDeg0qkXJj5bQv8OXFM0mYcnR
bfpRaFcc1qP/VAn1f5CDLJGMiNW03wzNf1cJ1X88VOB45NH/udSfPpG8tF94QRi8WJIpQdB5o1yJ
8Xq/DILwYB60ML2JVJIOSQrpYNq3eqmihjLosE5K+8ANQDvlHDswDv8el9o4ZSYaOoticn9ccLJV
M5DOFEdrpGBXg8WNvOhoa49414sfJjnfIoRVjIzu+Y9f6Eit8tjQAJBoWFFmwipx6KalGU+0fNPe
DInRks9SN5REvVJuAO5SRiThII6uXJlUG4nxi4Y5V/0x4J/VoxOlvV8moP/UgX69BHPhpCwWOgrC
hzihURMRV0RO7kiruEFhgKOemJvETI4SNYfvCqm1iHhK7X2sWuEgryYgLtAQ3AHjNNz4Qk/Rtvu2
Lbh2ffyajkwMmiUUocGm4Z1dcsH+7B0hi1TsSXrXYEC0kYA3t2xXLDzFwzxRaF2jgFSri0Hvynr1
8cDL//HhS6HE4SyQKmymh54ma3bNJVjphtuG/s61oHqfiIkiF3tKzlH4aU8DIcKUrprqUbXT6ERf
ZZl3f41ON3x5YtpSh0r2QqWGZAnvmti9mKPx1L3DLI03UaefsuDtt4l+//hIqWgdMBUXG9f+C0YV
MSGmCq/D2FAfXE00O41g4e3HL/PY4yBhx+Rn4tCk5bU/CIWsiFO6cR2FZo3hOZoepkhV113TdQ8f
j3TscVy+YwBjNNbpbO6PlA+61SVGdtMTDP0VqXBz45AgePbxIMcex6VrSA3MoVJ82DbsMwtlcJ7c
lJq31MssPBOq2Zh3adXNJzqUx54H8ia1WJYJ2uuszH/Of5SQoRYm2Y3Zyn49kNDYBgVOsenEfDs6
DI1XlnG8aKTz7Q/TeURxdlnCy8ok6XCEM4mkLE98y79MlQez2mL1QNaloUjBJb4/ylhXUU1e3U2V
qLqyapxmKDdlKLyAVk77XBpFdz/q0qKQPBH2gfjGLdygrWk8bu1Qw7P28c945KHxw/N5LWZo1Tx8
aJnblUW6xTU9k/YsI+JkNyiE2348yPJMh8/sYZliOtJlw9O9/8x1kaNabkih1+GIpRh+uGaXTyhr
31FHnVB8HHkglAmI/heMlwNEcH8sp7MKz7Om6zHMojMCSOaVakTWqe1iv2Xxa8Wgo8g0oWmIXEc7
WDFSynOemuvXtOv1c1CTpV+0dbxiclXk36oiaELdXOvVTDFQD1Pr2bKlsm7N1LiUvRKe6Ukefm2a
Lr3X0wiicqu2E5fWNL2zei6KH7/+5Y85eP2s4b/iJhFTcFDZfyVmr+Pr0vVrW2+VG0lh6d2OrNpv
Z5MK3Ryp6NlV6+7jMY9sHXtjHqxBXaxOfdqZ1ymOZzVIxpTC9jQVF7U7SD82apt0hLxzhkCzKCfb
gjrmx3/AsXlAW4cLy9LXgZy9/9B9LbyEReUa/QJZzUorrqY4Tk5MtmPHBj4bULCYDDB62stf8Ycf
V1Rao5FYec25wjDW/VTp/UoHJYySRHrDs1WI+EWphbjvvZkTjaTDNVAcd8u1maoKKDbSsBUCcQsS
gj5+/gPFye8pykfnsjgTgofRYv9Pg7ab1ksSBvOY0mhbxXdal+TvlLP0tcza5JEONKFPQtBrYh+f
nqfSovCSDAn/y/Nuk3DSfuZFd0ouceDv/NcfxkEGXRbHbLRf+3/YQLbjKDz1uk9S7ZxUDIoweTYM
52IQ5q6C7nfft6J6scupumjbMXkyuOlHqODFrPk5Z/i1HbX62VSX2XlZKPXXj1/csYnjIQpAL2Bz
nTv0v8CCENin1GultYimIWLKTzP3ZOORZzz4JKEKILLD+MBvdLh7RrNGvy0arotaG7JVQ53noVBR
qSYypLJXptMpB+KxfYfa/3JBZapC8Fj28z9mai0H3DaauJ7UvrvgvqsHIkvN19Ye9duRcB7PJyUH
EPesEkBqJtq0g2003KP8p/P26Te8tFr5bFx1Yc0fdJgRr5Ms6rbXeaQQrZb0P1V9yk+cGY4+L/49
TnMkG3AHPHjertSNMIvFddFC1h5dsm9IpG23ffV/2DuT5biVLNv+StmdQ4a+GdQEQDSkSIoUSXUT
mBrK0TcOOLqvfwtU3ptiiCU+VU1zkpaWKQkRAcD9+Dl7r51ab7NFTmy9ad9RSGyUe7UE5NGuy5Du
ain1F0qlZzYLbytbUCqwK1in258cJK1lDYxtylmB+cXHdlUPk69/SRDpErpy6D3rpQ3qmacYIQzD
AV59RHSnbIeC1JPeadora7LJumol6Eco+hEipiEk8ebMrlua3Yt5MZfre21bJy11Q9rMjtbRJ7HV
HH9+zzngbe/8hh7/lQvF1IogzKsAq98Zj3cdB4vzZ4jpbWVB8GKz7zxWAL9AJTR8MCTudFfVbKb3
GZF7d0bauH/8TVA/wiuAucOZAZvx0xeJ8XAJlnu6qpQtv1qTW5yvKCZeuH+/VtdcxAeVZEKsg4Fz
Ul/UCNo1x52uBn0yb9thBVmxrrWI8tGpqhdex5M4gsefDb7UFjm98dB+0SYuhNiREiOvvDKrl9D2
bXGTzk72zurned1Nsz9HJmKTez2pgJhxcvm8GGZ6HljmpehLh8wsDxtTVA4z89YJqUOx662+neLf
P0K/dAv4uTEbY2KlP8IK/cu64TgJuZXmVUNSH+CQSRlrDEo0e42UJasjv3cycreCoMLtNxFVFbrD
shxJuHLKP3wGtk/COYE3DIUY4IWTxaWw5tJPu+UKN88aUYYy5EOB9MJ9OX0GthOpscFLNzwMHauT
88ji+0IbhLrCDFJEcsqnS1efwYvU+QscqRO7PFXydqXt3EsFA/DjlDWvZGVNAw8AowF5s2pu7kSb
4/s8wzq5z3rM3Priegc5pTeyHtPr2pm0hwE7wznWt/WF/feXmurk05yCCDImkq7ZDFe4CfpLNpH6
ujMnda3r02WngX3oxILZw4XjrhgDtAxw9os/G0fPFSZRpXC7X0K0nhazp5/opIDeACE5CbtX66Tp
Hc0h4xuJVyVhTG4fJoVHnBO8ol1RpBODre5PV7Xt6qaDkJ1Oo2HSo3i64Kg681Xm9FdeZUyR3w0m
llKnemHBOT0jPF6EpQZUCTBa2DxPL5KMWifLgkcAVu5bvG3JfuqWSxNNEo+3jJepnl8gQfyyQ2+X
3EDvGA22JoJ/UgaUWp0THdtd4TvTmeRNpnlR9ct6iyilQR9jDKqOTL0RlAd+9pbuf2bEHJqhT1lG
g9HvhdVl+xl/Lsm2jwNEb+NLoTj/BXdp5VhkjLLnxCKC1+tY0czLRtslaDjXPrC+GSHSQO8sqG09
mglLZ0Tk63sOBvV1U7Xd5xc+zvaD//pxePERcsKqOaVRD2PlN641XA3jommx2aT9RyProRSvVJV5
pOpgumy6pe92M62gLEy81n1oxTJ056QQBAxLbR8LlJYodcizxZpDrdSN8dyuuuLhhc+6Pf+nn5WF
mSWRxZAy52SlYtfQG9zBV6NXi3XHaNFNI4btPvdrYqCII2IgPlSKPu2ioNdxRhPa92CtEydf7mTl
vrBTnBY/263cjmU+d3MDr53snrJEoeWO7ZUBhTcj/lWfDi4Ji+P/5pGB+eRDOkCBxuL59KUpfQun
dLZ9b4txzpaDlZMSbZUUVUXtR0lRYa7sGmsNR1dhUSJdGSJU21nlVZYIIqWTekK59Pu78cy2sQGJ
KVFQgWxn0qcfyh+kMFc/uOwZOV8IRug3o5Gmn7K1nW5/f6VnfmbGd9BiaJpyWjpdqAFi20VSapfN
4s1nNkbP3Vx02gvLxDPvAV1GmCk2qx8ts5Nyy6MoRwviX6KcsY9JMqu4pl18A71FMjYe6/L4+y/1
TJUB9+ORUMmhfTMnPP39amx1pAWNl31m9h902Q52tNZT3YaTr+w67FPkTNCcAvKi4XGWJavRtHyr
x4TR4u8/CuvO6YtFTca8Cfn6xo5hRvL0s3B6Smel2ksrtTHWFdPYiZ3FnOEDOtXgAxPS6R5NLdOI
tKD6+so4ctKR/HRDfz3TuoI3I+zUuURPmPThxnNAK5GkgUK8KAj8M41m1d7rBEKu5wvhOeeasnot
DNTAb6uko1YgjJUY0bkM85WxtsVtlzvdV+YB9hARr1G1Ub8i8iO4qbarGDtQOu6cytO+KMIBbsZM
Fh3JSm33deh1cdVM8/LVgV5s75qu7I0tR9g7zgvj0jNRFXN/ObjjPO075VRfFzIptWigGQow0arU
2942ZBIFJSeM0FBmova6JxThwqZZfPPIxhLhNBra2w5Kdh2NCN3GUKd4OSvyZvrY1tZSxJmprQ0z
czLiYm/E8I4J1GwJ1SJBMhTr6r/JMqvpIi5uFlGDVEmdzzkhZJj2LXUcaqZV6Nfy1MM93LkILzk2
s6QdgjYwMFz5S4NScpCZn30dCh2/ey/YReJU2uwnJoKJem8VvrZEBC741aFCjBSQBTCmBMnxt7xS
YGDXXS3yNEv5R+STpnOZ+G66kro4Z/M+UVowXwf16B+spOePB7Yc1LG3EuN7nWf6luU5zSIc16LG
0pmIqQv1bXlGzTNVIkR3s15VFkFykcmIvkCoChMqlm45cwOLEmx6YrD63w/5RChtbtvFHcJZqeJg
7DMXu16Du4BYSczYHV6wbmcNgpziEZVWEq+BkDeEBbNtmm5p3rhTaRpXdk+2PZGqo1tFldMb5W7t
lZJHg5v7kZhJ4UeDSRYa3vWqTqLcxLLOdqXwlXlBZjyATRAcgLT5U6NQ95zXGLm1g7AT+RX8Gbn1
eOPrCs0mOsaoEENzO5Si6ePFhiMRDlZuGBFiFOcat3jxVqwdT5C+lB0JW10LWzEhvS9AORQ0ImYU
ylMdJG2vR1bvT8h6HSuf981SG4IurzWaYYowSEbjvKApUJOBYViAcZC7tNJs68IsVa7itsnFZ3tI
B30vrNq7bdxlvrMWqKx7O8vTcc/Aa8Y1nM/FnT73PvujXiB15tQ6Xo/JNN4YDYM5ZOhNWu2yOTC/
uViAIWeMgbmr1mx8jeKzPVglSl7iiPtjI6zUOksc/pmoCxI3nKY2v3e9xSB+Qcn0LkMdfUF2kfa6
c0Vah14PqiCsiBlxzxqtHu4GFWRv5iFBCY84p5vQBKvh3aD7tRWRTBuUO7VONmuIQNoRt/aIaPVx
yfuPfOEvAOo/rf6/yBduswcpP//XxUNTU309wCcZlrNv//3jr/2tXtBfUSrDX8XMypGA0du/1QvW
K6BOVF9kb1D5QKD8R70QvGI3IwWERit9oE2j8LfFyUW7YGwmJw4XHpWm/UfyhV/qjs0sRS0A65wx
JwXY070K40BdJat/Riy48XlhZVxgnqjhi2GnzQsNtV8KD0qurT8CYN20N77u00v11Fld181n8Fd6
envQI3Vn8F+o7p6/CL0kPBgYe09PRGZrIiLP5rPWcIEmmOh5tbz7s6QFTt7bN6FI5VeDEAl06ek3
QS7nr101nfHnhm+uU+rHxrSmm9nukhcO+adfx6E8J8iVgTD9X9p8J+MAt9anNJmas5z4rSbUBFyg
qC1YJH96aq9/FP0/28+evwz9GXBYVOCnRLPBnQIkxe1ZlgzWnUrZsNlDhxdqtNOyiN+Lvry+wf2o
cRHrPP3V8mBV8zLZR6fC44DF04I20YMniAs+1dlitd0Lc55fvxUGckZkjO8JXaPUfXpBsw+kVJ51
dF1iRAaOOxEtVX/3+5/uuW/Fq01XiUY9B76TYs8bmintK+s4ZnYR4TVKQn2Cv2JrOt4LWbx0p35/
OffUgbvxncZVM46knjt7PadLPrTV8AYJvb1nHelemMc9hkr+fEjkpm0xNygp+Qk5lpw0UVZmfKqZ
62NJL+FT0+nZl1atUFNsEmKGqMiMBdNL5RfXszu6IjYTGbihNitUT8IXK5u5gwxU1KX3sa2QYsde
k3TQs4oAwPpaNu59XwHlCNs+7Y+qKfTxM5o/AgDkbJpctu+7P+N78z4hrgAqALyPWREv8MlRYSDN
yM46dUyX3jl48H0uKwYwR5qU2R+egrYrbW57liLWI/p0Tx/AxPWlXi7kgopB32mW8CIll/GBatOJ
xmFt5xcWv9PF/PF6yCEROm0t7tMHvuwWo2+FPNaZ18ec05eD788TtCWqld8/9b++Wnwz/O6YN3Hg
O6cguDnvc1eo7sgcZEWm22g4V7PxhZPUMxfZVnA2P3YM9oOTG6XIZIZM2Ryt2dMOtge/KpsqY//7
b/LMbwZgDuGey8QJRN/JqmRamWYorzqOQ9NGlGpAf4SYwrxzuheGW89eadOo6GgSWY+2r/vTLM8R
dMe1uTnmvswucgOVObbpdldOqfUC8P25H45j6Tbf5kFnwX16pW5hNGeQ3rqYGuLnCoMVhCH1wnb+
3NehOUK5SmYOzZSTr4P/rNN7rzhOmP+ott3+gImeLaRW9vXvb9GzX4fShPBMlCiEGDz9Opx/FlSW
5RHryHJoJiuLJTDWFx6201Yq7w7fxETOyZax9cmfXsTV18a2hvzYeFga2nK5bD2O8BNRJW9xqSzf
jHZuP/3+ez17SXysFBDWRtU1n16S5E+Hs2V+LFYI8jm1/Z4pbnV05VIfSQ9vcQ1q1Ut4TUot/tmn
Szq1KM5v6lF2LCSCTy/reWoQtiwPPVZhfze6k/61bzIX9TUv2xQnBWelfODQRUuhHbC6yfxLoKUO
Rlur6eWOSla/apt6erNMxQpDym3kuTu78gO9vZyJDkuQDlGhBReKPSHZj8DV/F1a9MESFTIA7tS1
TLRu+tS08Vp6Ul3nYzNme6Osi/4tUyG/DIcO839crnJogE+ZFYYRpxjTzwBIa/2tmdmcxuHWuXaE
ISR5Y0oj/545QdefJws/N5YHrcHtq7XtnqaCXsUZrDV9HUwV4pXRL3VT6d4OzxCsN8+opnPo2F4X
Gr7aSE9VMu6MoJizsxG/6RXRD8lH11oIaaiM0TyrycH93tlObx/mYlg+lMr2hjgvC3/k4+TigS45
yDqshRw+ncwr9kJskgEyGXFhNhzeQ3KUR+Ye9YxtQVRz1x2DtsON03YygHSWepuN2Ct8IxLdwiKO
j2CZ4mL1QavRTFnyKPfczIzwLk0pMKXV/jDqqcEfAZ75Pe2X4grDCaC0xBqS267DeBgJmGF7mJJF
F2n1bHyzxYjBoezd8aMujHbdMdSa8c4MTJ/roF6+aUtL4ySp+hz/bFoliHnzsns9LIZeRHCVMJUk
XT24RwEYpI6bYABlV2vgF+O1rBdcma76GEzFQMqkji28sQW2hm6V412+eM3btAVDwEwQM5V17GZt
oQtjTkaKKSlz/IvRy7P8SG5tcbPaTWNdAtnTdm5qGM1B+nNpRCvarYNsuztXAyZ39Bf2vLYbWn3P
sNedwnbs1SFNZiRLjKOWtzR70SFaQ22d464t3i2Ov34qRWVc+vMs3lP1z8XO1vKi31HhO5iAYZDc
CXdgLunQgfhQLT5x6nTM6RsqAjX7qPWkhvk6ZzzDAzn0X5ZEeGM8p0aZxVbuZvg8cudbP2S4sgPs
cmsEjqCtXudVwSteOXi7Q0he5XfR9ixrfVmaXpwPVfp5xUVuYPVwkuy+1Xp+7RXLOuCCAcVjbJcy
v3WmyhrAbQUoBIrB8ppIsaT0WF6mWo/8VGjQJh19vcQSRNupqxbORqLu5lihS5xj+lDagXpIaLEa
U+2d5VXCiBPluTTS5q4kTlEOy7r3MTF/woqb8SLpajmkrGn9LiVPisAcYgkNwGaGpsep78r3ACGb
5ujODb2lZSn9dxBw5zbEwrPa+8BeQTW6YxG8W5Q+t7HVZeAtsAfZLd1JUQz41cvqvgVKih8lMOgw
5Z6y4d6lafUVMll2W2arg5904kW/aj2vKmNCiOzv2MSwU6193fKfVSsXXF9O1+BzNfjubuXj0xut
gqUkI7zuq9tnwo0Q+2W0HIemLPet29O8Kc0Sx43npuMQ2405f819a5j3bebBBJCLuWSRTITESps6
5fRuHltyT0BpIha2ohKIYnLByNtTwDBTk9Ak3AnppWv2/4rD+U/bhf4Jx6j/mSlz+1A/iM/l044L
f+PvjovxygIcANyZqCqOZNsw5QdURjO8V9TjbO9Ur1hGUGr803HBSgJIxSb+jG4MzopN7PK3X8R8
ZZET+TgvofUC4+3/5hjhUEDbAIMR8gD7ca7/Ux3YJHU2L1Vy41J5fnClVd5bgY65y5hVZkX24M9f
mtlLDj/9Qv8fR3xGMRzicBWgL2JQfMpU83yx0EkMbkakOCGm4Oy2W0T2Qol7Wqk9XoQh1jZWJNvq
tKJhI+58Mfg3hP7aHxZP9neF6ODd/v6rnBYw21U8ulb8LFwG6/rTAkZBSmOs5N9UCvYwDnNh39h+
NtLOnVDF1t4LZdppoft4OY6JPDKo2WknPL1ckRuTtyrvxiiM7rU+W7eYXZ2LXvnTC9/ruV+PBfPv
C50yXNw6oCaZPECz0oix77qhLrWXcr5Pi87Hb8NADj4+osJfbAauoDxIU/emSvzgLX9oBISA1+4c
57i2X4K8LCObPnP8+1v2jFqJe+ahv+KNhOh1Cg4sczCsaenf0Coh/YPgOLIGB9uOAZBa+7UJilsl
g2RXe6X33vF7d+9YlfjC+kzim5WQRT3nbJmeDLrzKS2NhPNmVWcv3IBnfxvGz/QoOXJyrnl6pxXt
oi7IwX+prmfgU6x2xCgCjivs0++mtQbXLdK9F9piz9x1CmbsaJtLgqYiK9LPx8JFpamdTubNnA/G
uSmnIF7xk//5i4l7hZd/IyRjBz5p40hNjim77U1QjXSpEoKiMqleaoWhceCz/ny0gN8FE4i+K28K
kLjTpa1NRS5lm13M6+hRgjvO9CEA49KcMzUDTpT5AXBqrNkQ0kfTUDnGWMZ+8JgtQx0XXe++0+dM
RLxib4NH7tkbpanmlhzkCpglziFmX7hAf4N4amYtjwBeum+LaSmXEI1Dcr2iB9HYlwfM9EGQtffU
Be09x0VqwXHu5Pd07AcVOsLXRyh9FtNMsc4F5bjWWu/BLAOGnc0hv6OE5ObDqj2jdW8NO6ErA3xI
lvVmTFsJfz2MFYyippovhDZZUGB9ED11kxWfHSPP5sj21hwMj+caB7+zrHuGbxAyFi2w3kqrs+Dh
1q0FK8KQ1U2u8QoeCv4HEyajZI7bT870yTVaZnSgd3Q9dLq24uAEcrCC7ZPxR7ohGR7stO40uESD
9lUoc/4u89w+8+vBy2NncsCP+FJLb/kdgzNzrqvgzFjBnkS8YuK1S5VWneF2GO50CybVXtRDclbr
3qRFbW9uXlcnZXadFPQ4D5ANxiYWbl989wXe4lBohil2Gf325sKcMgvwOUvYEsK9IaBe9FJ7kPPI
+FayJhwDt8i980TZk7+ffcf8VCdk7DLentcmxgNtUSiRHc8pb6iDW/K+u2tRie6qqbhClBdeeVfn
bgA0wdf8ezYVceBfx+nnt+700dcmdeH7aDvizirk9Tr2mO/1QHxOA6+igMzT2ji4ci4+1Flf5/us
cEY36u1ZXWSAGosdJheJ2hi9RXLQqULbuKI3WMRpMLX41XUSBVrXBbLr+bIzYscV9efMGNHjWlrG
+B2mTful6hNvDPvFaa449Q85hn3sE6EKUlBOa864O1zWQnx1Roz3IWpeD6N8LZev+tThVK56L9tZ
gK3ee0z3qnhN8zkPaYkka9R0IDNi2RjJVVMwT73spsnDwOJMnNnBVE63Q1YMEKYb67vOE7pcF44x
vTYF1KEmtzojrJVJmBW0l7ULyyVdpxC7XFmF9RrgZK+BUCHNwLSl7XNnJZEgsBkXR9MgZYbVYGnm
aB2U/rYjV4FXTJeTiowRxk08Bs24FbszHDChp973ya91wDij7+61Xue96TmCYLB2ObDHJciifJdY
av6azYZ9bxZl/2kauuzWmzw4CGPuLm5kImr4jJitvLe9yrkpILt8CebKH+PMDnoZ50FTnDUzT/NZ
AInoCiZ2kx2y2m7OVNVoaF+BlXzJzIkbxJm5+qLrifjIJ+jf16MHGs2tV+98NNFVxb7RBJ8CwsaJ
fBwJJYjaYKgwa65q+ZjUA7Qck98WlrkIigKYp65floUuP2X2OhlRPVf5A+gSMgsSox7vcHA0X4n3
Sj76QO3bEEqn+NT2hv1utuw2C4sgr9/ktRj1UMcjOkVO0zD7hbXH6aHnjl/7KLs1iFFe9hHvfnpp
9mZa4zNKHDf0pjV190mzymk/VR3EmKa22jrWhOfcQ7sa7/RyewYxDLyb+1yDC9Ajb8fu30KAG2Z6
g9BL7emdMbvJTbe0JeDrjMNpuEI/zw7YsCywIWi8LnUrQynpab6zxE0/2gzpk5qhP3IWIwefkhnf
J6kcMgdZlud4kb0IYjYw+O6paU7XQLJQWzbQJiIa+sYFvUr8S844WPpOOSZTOeDbIiB2oi4mfqax
vCl47v1w9tuy3kGSda77qdKsSAxivSe7q7bPx3wqzjCjeP4lQTiq/VQp2aCysc0s0fZBrWFsJPQD
K4wXbSa57AKhC1B//NtrPRAQ4lToY5QnJ+vWqQDYIRfpzasBpYdgcbbSKtZGWoTnUCzSnl5IkWvk
UtS8uU4LxSDy+O/JbnsrZmQOfssDEazdttkJybJJkyGGSJ6VuJc887VhZd73ulGBvSPgYj2s1tSK
iPFD04Ok6dpoQl8BGTwb9df0jMw5xPfmfpSbvcpudWxHkM5GoiUtV/s2Aud5V44Jk58edesjdCr7
pKqquNbrcnygR2c8UH/bazhDzmBSKNN0OlOJSPMYSFQ578g1tW9aM03rnQXATjfeAerR77qNYha3
0EuyY+fPYtitTlaAwbOApaDvkMuMfKJaSLuYS0fsvTK3vjlzbsCA9mgzHRkigXmavRyHyjpBjjha
ZVvQq/Gld1VCw/OOg1/mxm6xugYmVtBp2W5si9KKxsru3uf54M0xLIbqPaB58gBo/eB4SQIen1ij
cV6Etb09WbbbOTDSq9b1QttKEzduZvqVVl27n2c5FfUuMSevZT7Vj8gWxQS2RroDOQMOPKhxP9sV
iLR5IOg7tNyi1XZ6DlgJ2LkC6tfroGlAP5fJV2sGcztMpQ5JLZG8O4ZkI9pTepTJbjETLIJUMxLY
VpDVuN5JN0lCr4KuBD96qvqoGFeEMzB6RiPMOFYM6KaQ9URTxlO/8wr0cZgcSRjDt1+KLsq1lG3e
lUnf0Zycp2HfG5M/HpK+YadyCYPJj0DPXO1CL5sxPZ/ZCoJd4xT5fAacznrP/Mk/I8OoGuOBgIEP
OqXCFA76IpKILqufxnBR+iSqYWAGd5Vls/+8gdqPHKaqpHOzVob3yewm3J6ErCzUJyv2Gt8okoJN
yKpKKqapoCcDwYRvtlobbKonMPENoiEoYWSS5h03xaVwsKax4udMRhshjRqMiiQL6j0AY3XWhdKz
UTn1j4onLxc0LeUmhGKurtTRfNRHzcibDuaSaPM1MliUPBzZUVNpzdxqR3IRqlv3h9RqmTwt6n5o
sHqgjOO5ZKiU3idLgkbLdtagOsjAEGuk2ETqfTlIBZaMF8OOW7o+aL0edV/jDxFYOiWEn0+P6rBu
FB1SsaBDh4EzcGjnYq8QBBQw7YuLZi7q81E02ng2r7YEAh1UlYgmYVo1j4NoEUAl4O9sJ5UkFqva
aSLCYYn+QQxN69JSi3GhWjcfQ5dKRUXUwMqIBizMTEa1joPYMKzum9xgfw0RaZT3xRrksIrnVWNd
hj2QHgC3gKLyU+1uxr8MjcGFhHTW5kEx0oHN8g8Qcbzyx+TnP32nvzYj9f/cdtp16vPQyOxz+V8/
uCU/N6C2v/qj/2QYr2w0r07ACZ0DNErbv9tPziuG6PBS0arjIseNxDGsbuSQ/vdf1qvHP83/BZaE
SbvO//Wv7pPGv8dMhb+Gr0S3DJ78P2k/Peps/n1I4/MwbKIABA0R8NKgnH964ESUZrd9DWQOK6a/
s5NydA++tbYuC1FWf9CUln+ivEJP2S565UGH6ur5UNXGIC/LVnhTXG1z4dB0JjB/s+ek3g6RIJV1
7/VZ5Ew6Ieoq0NRXQkC1zw61X/kaJkffhqulo11ZwROpndRs/47Ex8SNaH/Zwz7PUvkGcXLAVmv6
KvSSGnKAVhKCtAcSiFiZ41F9odBYdpjjeOV+PNfAtcVD80yL7OnplR/Gdrlt6JB12n8Il0+kHMJe
Z6d1fLb1ZDrXs0Z9MAxVneG1Sy/KXDMOecAqzzikEe9/eo6eufLTHsCPK+MxBOVCk4Q7fDLhTA0F
vsqDNYWJJlJuOxD0YbQvYHMfzaI/33go9jx0CK+wi2z2hJPvB/dvkYq+fq9yIMGWxwkC62rh3OiA
TsmXcsheRZ+4RUDdaKM+ciyt0wzhrKYU5rBpdWUWzwr9URUuskVk2eMLvLA1OEthQTJ0j/yTo2Go
Sk5T+2qxBy80anr3YTr1aI9tp/PujWBsyFaRQ1eyzM2EodizM5axGjbO1yAsxivjYt8WbQOysi3p
3+s/0GAFMSNvUW7OHyU20Ktig4hJkKmQAh/ZYnRw9c90dSCOpT/oY6hTYmIu4UEsS9d+CdaeSBpS
jLB/ocXvziviBSmNFloJO1muen45g9xZ6fpX5Af1dAPEDjBAh9wVBSX6V18++O64DIQhrr65K9aE
7azJe68MPVEmA0dz5epHG530cpPwtF8Hgqz6qDSbMd/ZrWl8MPsxSaJEU6TPZGJsHjag5Hwcp26+
pUTV7UMFLKsDXpWnWsy4MwtioRMA9rrYTswRWEDO4ZxCDVCsxAuQcMSUcWbQ8cV2RAneMEj7fvf7
B/TE3kWTdeua82Ci9sDUpp/6E9BfZ5zTvjV+2pw7ndRuxnmgmk99g+QFKoMVPGKo+MIf8cvORNdZ
V1UNWHnqipaOTyp+dM3+swf9hdDvp3vzi+T08jOs0QFG5s+bz+Pf+bH7uNYr6htcjjRZgf8wYPhn
93Ff0T1jWcOWgeOWPeCf3Ucz9FcbToQdgR0Ls9oG0/l7+zF1ZibONjZxMcQ94rf+gJd1YiAj0ZEe
J8czjC4mF8K69XT7WfOO815BxGJdeMa51nnzPSNzmca1AsK4YhDd933nxnk3EAw1NGv+eaIr/r3r
0uWPFvzHjwIFZPtWBm1xkvaefhSaVb3mexmvTCP6I5DzldN9po5eSx5vVNnpcFP4IvnazRypfrpp
z6z4T2cYiHoBmtEiZa9HakIv6ESE4XY0DXuL1hfKinf+YKxhUs8P+ezvpej+zLr/eDE8VUx+WAEh
pwcnF2sX6Tpa4QMw0uwlXlL12Wq14vD7b/R0D/v7IiicEWzxjPknFyFSSwqIsW1sEql6pjU5FSgR
rLe/v8r2dPx7D+MqSHt97hSSS+I7/FPTawvyG0apGuJibG4cjQz4WXR35G09CANXwtqe+WN1Xcrg
hQXwEb90cmHycZkKYtOCbmWetOkbN5CaGFwF2r7Rgkh1+Of2xeR37xO/oHpJWMQRADTsQJi+L2et
Ce5Sm9hG+mBNgu8wr/KYRRrHitVN/v2ydYKjlv7n+8xiRwptU6ObqREiA5S4M7GfENU5cKqaoRLC
lL5LJVjRSY1YYWThFslZVy8rhYLjmWemWhmFmXSKmrABP+yFoxL0fGmV4eGwpK0cIMyZ9q7OrXeS
n0wcra0WCPFresbOoePHeZiyEIOMCw31haf9l2eDG21shS+nIyRHp1yDxmkbrRiFiqu6Ly41PaH8
y7AY/v7Z+OWdgjUFqAtmC+/zpnF6+joP2dxXxmBAugVxGQeD3LbGhE48feL9uILk/P31tnHQ00cC
UeyGFQBXg0jxdA7palDXEUsPMTZZ7pyqgd27hOCJNteh6jakxC3dSwL3Z74kxSlEIBP3PxPukyKO
IM5tBJMMsVeo6162xXFIwUNPVnBdL9mfWea3141thGG1zdjbYOs4KUwZexqjRBMVk1CoIhx2RqwC
Ykd//0OeVhe8yczcuXeswSQaGe7pnTNalPosXPHkFPWnRykgmQItB3gA9f6dP7YXmpLoi1dhFlW0
dF61rzNOAMioTO/OBeH/BmIvdpzHD/afKuMvj5/4NyfdISVFIvv8c42x/Y0fJYbtvSIEbjs+EqqC
vdHjIPVDX2GZ2FY2bwQGNwgmPKP/lBiG/QoJL+fNH7E89kY++leFgQuGLBj86yiXkS1zCPuT8y1K
wSfvJVYoXgzOUQgd4IogeTh5mvJymfXBxaYlCtxY5xhDnWuzdcAQ0JgW8lzmABpQLdWNu9GmrRSh
4Vis2sdeShJqZW6b8kOH+U9GdQCegCSLUZnydUbb86M1BTTf0tnaojZwt5P9XhLNuDOwl/lnoHXL
7FyqJgGJX+WGfchXL/noOW1yTVIxz65ZFAbsDbqRFM2mQQoHx/BPRQWEG7ZPL8UhRy55m3U0yONM
ck4B0F+0Y+zC9R6icp6yG8aHw3XCwYKkMaBgm9tfiibiH+F4unYTTel8aOVrMxiEc54vnJvCUujS
OXS10xr3HC2m9qzLtWxhEhTgqhyLWogz2QwB4xxbCrGfK4Zg55beBfqb2l40eYAa2Yk9M4B0xktG
QmgE3Z3hbGhosqIHO82WFbyBJLhyBJx8PWO+lnTL1IZu7ubTplqT/a51V5jmce2xouycRjK9C73a
2LJc55wThVoUQLtbD6x/fzduLPD1LGvoxftfTNjZs3pdk2+hq5sRhWSZRN2opXlwpSAh99NbU6u2
AFQAXs12ch9npyeGOlP459e3q5ubhUIBpncEQxd9LUnsHS14GRyJG2GEei0Db8/xtlc712gKjzCI
zmpft8QxDa8zVRafMKc3uaLrkXb+9bQgLAvXmdE6sxwgG7ei5H2BEkYSZEjoqVG/bToGkpfAsPri
4JUjJFSrJHMlJi5hTWOjUzSGfaQPbkiPki3DyljSztYBlaiLF31qgUVPXZAdF8dUZz1Fcs9ROQnW
MGfiNcYyd8xpZws5e3t3EYwpV0ZL1v9j78x2I0fSLP0qhbpngTRuxlv67pIrtIaWGyKkiCCNO407
n74/emZP5+RMz6DuO5HIAioWSe50s3855ztnMSdmhcl7JD+VZWP5HJQF2+7Jyrr7eBj4k5bNMweF
3Xe2Lakt4O7jRd7TO07WtiVXWoQef9Ut71D6DbV3WR8DwPQW2e9qevP9dCR6tpLj+tx6EepdOCeM
osl+jmBdeD1OaynbZtwRejOLw+R2LmP2VNnYJ3NJOuvo4vH4EISVsIJTZSvDyh765iaYxJCGs0R6
zdQ9imv9YIGIfsSqO6ojdzmE+uaPPNFBm9p6MXRqFgdxjR9V1yjS7BpLSkNORGkU5EPeE9a9Jpi6
s9+OaaiuMaemFVfQeexrFirYO5m8Ddek1PmamtpdE1S7heZbhe41YFV1geGrTfdH/ipAavviXnNZ
kwYkFWrea17rNbu1iRPv3oQTCbV9DXftB2Dp2GsLfWdlhL8ajTU6LFAt+dBc02Hza1KsU7XGDTtr
8mPHa5asytZc2WZaM2bdNW5WXJNnTSOZ3a2Ms8kI/Ws6rU/I9lO/RtYG1/Ta/ppkO+du8hBPdnbg
q5J0215Tb/trAq5zTcP1emdI9uYakus7a15ulkkyg9JxzdGFPFN/utd0XRWtabOLGQB3N1IjOMse
G/a25Bl58NaAXnSUibfjNMVvPFhtojdOlQ2wzX2WHLvimvPrVzJ+SSvCf1vTNrOdZGS+sBhprWnf
XLOCdabyX2RHkiCcrWHCExsKZ1uZRAyjwiVtuLEieWJZCv58XOOIo2sycXNNKR7mNbG4m6em30Rt
woSmuqYaQ6obl5DQW/PMxIrcYz4hxW/fKPMbzervBSABIcnmUkRJ9ZoFzfgE9JtzZGZY9QuHj++e
0TdYWRina+pyMjt3tbVGMXvXWGZ7tPplO61pzd4kuQzQcRFkTx3TykNyDXdWgwekRxdkBEliEnSo
7TUKmpuMWOiMM++edpiwaFYUfKBiMRAiDcDfeveMbuKccPr5Qbt1bOzQb0cOCQi16OW32eCTzDo/
B0wRCnQLMsSyFXQVO2xzcieqRJu3QAO7rHdmXoBGZys/Bq91GqPIjToOL1YJxlTSCTDbCdNZA1rf
NGNQ5CF4qYSwbsPzHlQaqM7eO17OQjAz3UWiG0/NV23kRnfGp6Oq0BOdkJsxkKiYAa5YPwX6tXLn
gmwrzzX7zyTEgMHtl5e6yXdMBwMUF4gWf5atuZAwoIPeDxGtd70O5wwz4h5kk/Y2hVFGN3W2AEIY
C9mTN5Vl9qURJYELIflx1cBi04Mu1Sht9y9j4PQg8FzfY7ecN/d8BPhZKUHZK9LFDacCSiJaB4A0
r4vg2SCsHWByaLUFc86VJNPfQP7IRMkqr3Gz30xBfXni2aBNK0jjhDU/5cP6Tc4aAgA1eVlucPfm
3/2snVt6r6SPn1nHGlDkVec0n2lrpry6AsFNtc0iNzWdXbdoGPWEfVDjbot8Sc19nXQx9FhZMwlp
0xo9dZtyTG8ILwIzmI9+igK/jjSrX8w2QBSwl91nvHikLFWGigHHdBbbvgEe/i4zCATg983f/aEL
HmeCMnhG8ml+Hs3BvyM/QhK2MzbNG0IRMm3KafLt8zIKWYXIC4LfBmla8TbL+vKOCb16Chjo3gtM
9hJifrC8Bl3kfPCtDu+poZcLEomKKBit6ofcS/Tz2tXGYYyepd8XDtdj2KtAd+sjRpZLKRRpZICq
8QtOkuo/TALgn2wFTY9SxoY6sXGDeN2TT0xidmMxLbdRO04IZcuC9rXtgFyyHM/2nmri4pAguDkD
wxzbjZ9l+tFwJxQqipHkbZAJTQY0FtrvsAH03RBHBJj1JIw/yrRuf45t6z5mWVQ4W8usrXg3yzRq
Qi9qqP26xIgOOQrvbjNAFDksBcKbE1N2t+cdqS3wjxOJBHsTT//LmnhyNnSs9Va0Y/0T8YgL0SyZ
9BsVGultJVKgLw7YiauYzWAWNquBhOz3SH9L/LpMNsS9N9OG5wRpjhVERr3haRqBWERw0kbiSW9n
uxYUnLI2v0iRIm52UKMOQu0GRoy0dzZxqTRe+cxc2C5vpiJOV/A5ooqwLKsOOIGncWsFiZwN0k8H
7x2JTlut7h6vvE34gJKQFeiUw56mC9RAZzn1biFuCfxfEMRy2/pdAb7AaYd38vbSt9S2mFn1RUKc
mlw8Ytkx2khMCEFfoPQzrLjb9P5i/NS9BLiWOoUizIc2NoeeMdPLMhaIndDrZvmyfv1x105Rwl46
t5vO3OR+GbFJqCNc8dwYTU+fHRMyzxlnNxYEBfwj+4ww828Q5hKBhWSyGU3DaNBhUhXGpfcrbR0M
qkF18EiEihmcO167jZPePJLHszpT2kLuqlxHcl8Uxvg4RgSrHGaXYtHgxHZ4xcJOsPPelGnv/qr4
kcyncWpBRuRoj75DZ1zIi4ocRwWHoUjpI5h+LuajhbXbf9atE6itR6LobVTlg7EBVFU/GB0YJX68
Ub8GTEVz+6DII2r382JoTmTlgxMMoOLVakLuJeocrEVJIth2zvjIExnV44PYZ7IJHiDLyG8x2ZbF
RiX99Bh5bc0oyK6tKSwZgSI2ooy0tiQMQq8lW9TREcd/QbXQOCgGHGKv+n081PN3Geeqvikzw0p2
RTISPOYVHnEoaVXHP9A6rAFqc17VoZJRfkCpkHmoytjuY4HQ8Z8ZzP/Tgv9znU/99y3446+6/8zV
1z+q3//okl//oHiMq7/24+sf/3PhLP/FAJn3kH/479XU8Ec/zioaALlPxjHk1rXJZn7zXwtn1pw4
HZBkM9nB3/C/+nHD/ZfpmGi14b36a2x48O/04/iP/7d+HJ4A8Efmfszb0R9jQvjbmF0Y+FRTXe89
YCpbO67m+BKI2bZv4fc35e2gDToJubRZvhuDJZnOk+C8TBySvjb4NFhEB70hATrNWJu2I2y0dBsv
YBdCQjA80sLSeaZLJhXxaS7AXITTnDbVjqtYfQfrQnuHw4vIhUqMyLvsLIl+l1TSej+zd31ufbPy
cbf5/aWz4eRwqdokjvWSyd/BB4gx7Jyp8/FE+ks8bieCaL43yg+KEyll1vwqfd3MZ2vuDM1RVxFd
1yjLOUJpyuPN4LKe3NQsjzMUJDr6cDqQXtsx6TEkoWjX7MQXXeWkfVYxqj23IAArKV11CYwZx6Un
yJxDmseJQFVhZJ8F864P0xsEODvb5aOYahl8h3So3jBFMJKOp6C7y2RZU2gGufW76jogeLOvq5FY
n8o7jUiL4rBSVX6fVJasdtwmldzYdSzUbnGMat5hcOjMUFWUSRsqPSpeOH6aH0khIPXsxpCh02XL
EwFsnrkpSzfaLyMyxt2o+WG2lpWDCLYn1cuDWfcaWabdfbRq4EYLvNK/9yJP35W9J9S2aRejQGKg
A9aE7Uh77pg1YUrKy9MfOCH1Y+XFjCla1VEWaJA589Znr3BLiN7SH8xliJ0NrU4pthYhW+DYYT+D
2zH9hpaw8SxSDqQHoX3SQ+c9LgVxl0fUdkN7mnvDr08swxvFrkdkCQaStY6fy9wyd0WAxysU9VBa
m7ZuM73xtOHCDxrEVB9Alzrzzo27xThAoTK72ywHwHVLFBZmwISuadqixzHllkFa2ZzbTBhvTe4b
6aecU4Fzju+j2UKFwiSLnR/IQWNhbz3GSHXTbQGvVW7KhgXRLu8aGOSFbZv97ZwmAQhoZTdMRqd8
rndNrScNDQKd5d4fUpTsQz0oizagY8X0XFWj5+5j8q5yAqIo6M46G41XVTQY2qhqXQd1XBqrW1WD
bXlUGB/6FzcXKcHPdTeP74UiU2GT4GpTz7mRjOklI/fgPI3+UNwo1YnhLp7yYPymu6AbTw1XotzX
CzmWPK+ZHb11gpSw33zfRnUIZgVdsOUBQsE4zxYTtEpU9YM7DhTQ7PCF2ie4XdUOUIjL1ZpgszxZ
qayLUFcJ703hQTy7c3Xhy290Ecx2EsZB9tle4irYopA1rUMCo/i375bdCBlLldnOdAsz35ggq2zW
DkVe7ZsBE+mOoL8iOU52Z6YH+H9JtZFLMelLHA1mucmjvi7uxES/uI9iqxM/q7SkjyjYXnT3gaVc
c9NP5JLtXRTN8a6LZhqOBnEeWZVtbnbQmTov2dXl+qsCJaU6orkjlFLkY5seRxNe+h0uiASYGodF
cmqJE6yPeVcqd0MuTRGddTJADCsRpVubtHUbZ+P3K7AL7kaBNoAIFIvKxWEgn1e5cp6cFGhCWCsU
FVskovK7E5B9BzGGwoaRWyvP0VQODS7NKn3PhK9/4wt2f88ZapNt2c7VK7ZRvnrRUoVtwcJhoZzM
yLT5iBUaQ4QT1SgqsHvW28EjG5NnqMt4J5wm2DWRxELpGFP3TbidNYTBUvt3ybCYP2vHrZpjMYP/
4/xOCb+tRl/9skTj32Uzryuey756TXCS/+5MljbH1nH0b3QZ7u+UKRryEsZuLpVM6/BhTfLqlcAX
KdBOt9XPqBI8PiCN+ZCWJViusI9qTSI0IlY3rJcZC7IJVg6qtDmDmENzQvJdjOJVuQvDANPupWSF
hgophD1C1KfGyN7v8eFM30dyNxsCdlX2XHdVkh0YW43GadBqqjZcGCw87cix31h6Z7ZxjAUmUJ+y
1sKdUqzJ0eTEESLdYfTG+JvysG0SsxheijVxWo1OZm69oJ8fGWcSSR1d46njNak6SVz35EUgZfaI
DImyhgMfXQZBvrXuc6KuZ4u2G/9IB/iru4aSRU5frUXfmlV2jS1DDE1nwuy0YkC6Bpu57mw/V/Ea
dzb8EX0m1hg0pyxIRLuGo/VYOx40hATn0F3j0/xrlFpJeKy/tRjxljfNNW4tn0zx3PDlM+rDNZAN
uby4ia4xbSVGDfzR1/g20yiW5xoK6oPMJ++VobNIQnvNfIvpaLowWpPgqB8JhWvYTH4IznLe72ts
XD02hGr51zg5XDg5LY3Obj2zkQRN61S/d2sG3XiNo7PXZDqEzOVrvabVlbkh3gxzjbCL1jS73luD
7bwqgKvGeCjyd0MUD81OrDl41jUSj2kS8XhYlaCnZGtqHmaaigQ9pt8meXrOkGJ2Fn4DKmGoxRzv
6qVwrW3GWNnDXm77P8nwrcz9NHoD4+myfa5TFwQlBRDuAS+pcRWncpTfKAI6fTTbZBDYP8DghbVc
mKuAesWlb4nevyOUwqH1mpR+7ERUfWY92NJtwniJi9kGBLgJhgZXfl1UETSe1J8meMbKenUAT3/l
NIvk3GlH3eOlZNUPXa8tNkOlpkf2J+anwA36kqtArdndqmERPal62BGXK+yDHVjVXZXbvLJtk7Rb
uk2kXVHj6g/at+Bz6d38WcSVewPo0v5eBXmfQZHMq5+soglSLXJFinBdTej0BH9xs/eCvAI0APnr
teEcbrayjNc32bNo35jhGpteirbYivXi2KB4bb+Uz3x/I4iuUhuzrAM0RSm0hyOgc9IXO8+hGfLN
bnoyVF4LhuoFggPDSYf7dXdO5CIFzS969Hg+5/OQvJdIwYvQYAU1wJY1MgrBeZZq63bYwMPelMkX
zkhSBRKEifcgCcwASReUC7JvmyzbL/YkWXUMDtgjM2b2BTZ1WZiUcBmdq9owUJWPNXnGxHrRnDd1
BPg0D9L7qgZpsM+JTOMOWq9T1gxujZnGK8d35ebeTZ9CDwt1YKDu0sucQjQYG8zwhg8zfZ8Vw7R6
IGMQ1a7ORba14ZNcjLissj2ZJeOjE2Cb3AFwj+7JLE7aHWFstNOQiNuGKkRBc+Cujd8MI7Z/azMB
GWma0Px5MFO+nSk2SIJ0jPFbSVmAfYmBxCVANIL+fbYJVBaRjdVyThq7YN2yEM3e1gqzTEIMjRHW
esQJlfdNcXJ6e2SXBDEDCCFCo486mpzvKQsTAw1fSieZ8or220nacsfQrMq3BUizccN2JJAcZdP8
K+16KP1p34Om99T8CAa+/bJzUqNDLEjDm18xWQ7RuBRiMwegNdaimTpVeWJqwqnuU8Rx6NPvdWuo
L6LQ3HdLphNuQmoG7E8csNTZsZnWOzRzsCp5/B1xA0ZSP8RYKZhGkxEH7oLFOGHzduM9xGTpviMo
HCi6TC/5aSY4LLcAOTClmEn1srQxYvJIu+uAM2lNNzQjXf/MlN/nO4ooLiE0j1nO3iOWNvOvHvSZ
ktn8kRZ+jr9AYlviblNetHNdolBjgn0rrFTmQB4x0/27CTN7yhdPGkKHvCRfVgc3BX0EKfarnlwE
lbFbDW9dA1E0nFOr/sKhEukQ+R1LFN2JatlpLjhrnemQwNs2UiabeaqLchPpmRNNuqbxWjld5D22
bpt8aqyiH/MyxveSbIDlAcBPMeAVG0d0wlHFO0pIfU+5jl/vgSCOqCLEvqwtbjcNCcM1nehWK8xJ
oUAReW5dOWSEcE6a4Bx7AUyKVC1+wKNPbu8YV3m6scYx/VL1ZP5CvZm3jFUnNv5EnE+3ndFzrrQZ
JNoQtMJ46aAF5XvPzton7GLqS5XM/0NyesfvHszhV2bxzacYJsMgwNThjOo1kkqz77KnFlDIwnya
qwIlzpC9pqgumZymPDqbnkL1wcGIfTejjHgvMm9qN8gwLPcgOjm8++Box3CCg4sWwYgRfw4NhUvT
YCLd+LWdfGJBqIcQFRlurngmCjccXKf7UbRKfRqJnX62jOff4kwjXcoNS2ZMxtz01kI8xbA00+Uj
NLX6g/YmHzalHPtvrnZabLRpLogXC/hovPWDYs4C8pY6P8LFtEauF9lLBuD8xQTG9WkGg10jHVLu
2yIIJKABFjz2Mw49XJ5O0j8ygh0VYU7KvcxjUfxexml6nYZ4+fQngoV3dPTtrz5xm3HPg1Wc/ZJk
s7DJh5R1ZRoxFozblWg+tubwljdB9YHH2fWJnu9Y/Ckr6eVeWsVAbpKbE5pLKncUk2BUei+dsPV4
h6kXp11a54E890WnGGqNlKKjMeHGMUEj/IQtB75mWSW6D8miDB+Z3uCuBxg+nqRcqAcL5fF/lKOM
aT1Fbt1NSTkXFAxd9eq4PdV6jUkGng+uqq82Gyx9cNok+0ZRLMQda1Re46hXpo3HFaXhkzPSTYVB
jDaZ06cjf8UWM45fwbFdklG/8MFNvBosc135Vn/DpertIvzISHn7yq+3sqFQ3BViqaJLsJQtK4mM
xeKjtZar/CbIQ++rv5haymh7wxrwtuUkX4+a9HiWP+zVXxVhSvdxLWfB4sbNuuIPKt3/TNT+iRDr
/zVSu/zI1V8naNff/qek5V/QAKFxcKa7f1gz/lPSgon5XxjhxBrNaNlEDEjULn/O0ASDsnXmhmwf
zgg6mP8ybSCoZfLG5AulDNwQRFT/zgwNmczfZ2jgP0kRBdzB/1Ki/U2IJa01VCRr9047me6xSpHq
b6nAVfdmj3xnOiSqiHwyVQSL3KhgwlMFfrlhm44RI2Be0dTDoz3Vwr8UeO3SkxlH3fA7aUTV3vgj
uKugwHx5aikw2pNIe7vcxw146ZMj4zrB3mwm0b5287JnyWWQwTTZuF+PsJwqi76ALOu3xlcVHuJo
VuX4JBvLzX7KcULqGtroJRDKlEXR/kwT0hoLG+naNqnyUf2cWj4QG+1pHZzSGdPxt0RpRlEJC4dN
jz3Pf1Dg25ENlEuebvGkW9EzJvVgzYXqp62ajeduDL4qshUGH6mlrbOHyDFuta3sCN9sntZcb4BV
DkXfkYGzMRm+txdZBfK7iY+3D9j5EJGDXp8FPXX4YvovjkpenaYLzksTtOWudqeFlzRdwH8ThSjZ
vdX2YO3K2Mf1wBKTXrtquXEjGH/OPq/rLr4Zg6w5+1Il7XeYUsZy8KBcbsDTDuN3wtwWTnx+Al2e
sqmyv1WGH932yLPbfZUZ04mSOV7Lgro4tTjs2k1Ct/XcskkglQ+5bbaRfSSj04IetdpEjWM92gB8
yaSkNZXcp1UyfaZyxY9XIPjNwzQ7dnyPtSwCUxQH7adocZPbERKlB42vOC42sQaNX2SzeBdNP//I
MDw8oCChX86TC+ezt23pciXVS+M9BsZAgngnTrOy7F+Q4ZPlQJY9ww32o16S7MtJ2M4XHnsXz2tC
ctnBdeapv9TY2qnFu2B4U56UdWjC+DpkSa7zD9AJzXwgd5K1UNrp2tnN3dhEj6ipJJRry0ztrTXE
mf+LKza3fmEK8aanjASN8YQFOSCgDOkSdt2hzm0S4NltdUV3sJkZsqOqgGdn9rGlsmaX64s0M0+1
OSnxBWgEeROh7eaY7igUioQ+0l38d9+cTXWPhizqfynDSDvwOXaiIaNriPXDAWluVFUewDrpEFy/
tk39IiJf703Nh3I3086mO5i9bfWJsaiPT7j/G/+JQHmtXuy4bU1sOKlCgcAQvGqxbIo1CgDbtsrv
cM3CwdpiDc2tY2Rpae0oTNgpuqpHnICNEAOlNDZDYjMaPnnVWN1kqScP8A3YqI9tecd6iLq9tS+J
S/EeZozLn1C1UJ1nTXwTpZbYI9EYPribW0yMPkPmEb+vatC+hyit6o21LOOG7yzY06WWRyPLCrxQ
UUlDA+eoZVcP/Q0DK33YKhK5EQOtfujPZfaMVpzpOiUvj2/W9yC/en3DGZcePcyN5zKtsm0UjL/B
VsR3Ux09w76Rj1W2xGcz93ndK6jlfM+BxztKnUj5G3jfihpRtISTVoSq1M7B5CQ8jxKREqOfdNwj
i2ASjsX9BWXc8kAz057RKXS3ekbzNbca5l4gjUOX28m0Qbc4vDqFQwM8NHZAbR5wmO7HRZuHBrJF
2CEtvTFlvw41m7k8pJkcjkyOqncBaoyJknJ2cnDqvZ9IBFgOeQVhbUf0glT/m6426flEa5xErlhG
Du291WHoT/sWc2yJ0WhpFoCwUeaxCtee3AjhTM9oBqH30w7dTHoKdvlI4blYhbnBf3RhMjZ9uoMx
Hl3cOI9dO6kjxGG5gfkD5pgZ114Q87ExHMO6ccDSnedkTN7iOfM3BrO3bWR6eu9PfXRiFvyU+Tpi
PZNm6Pa8+LC4VEExQPw7hWznlu2+flTk05wG5c3vhTYjIrNtw3hukvoTrb7eK3btb7H0+4emwxjf
x5UdWtAbeEXGg0D5dGPibmd5i5wxMorh5KX5j3gZUI1Y/Ob1kbcu8VLwWyRSBJoNnGZTL/ZF3c4M
MmipkcsHR3hqGNonX1ymxHDeBJOXGwd58DqPq8/UczeD0DgMPXIbuLLcXcVS5Oi0Qbtt3GG89F5s
n6fBjS5xlUQHG9LCcaor/WOOBr2zGE2fvDqNtq0o+mOwdJ8+b+HOVUI8YoxmNZwnt1mclkdmb/aN
g+TqPTc9cHMmOR17JzPYvzoR8pvACsz7uszT59ETzrtQClNkLpuYqZpbniq/s+8t9uUbI46keYKo
0rOlicfyu5O7DxWN+Ya1mHjEJGlTKibMUMwaK7woSIbxzadBu/7RLlLvQ5vkJBQIKPbKbKEyZrY8
j05pvwaz725TwQgXiegXwQwcLcrWgr+PcWG08YIVupLPDgORKLWfzMwzQyGnWfNfs3+kafR3CTSa
kKOLoANWvMx4caobjDsuXYxFs9HmQlwJutG7xFpvcdLakTAYaZTrfbnY/kMTe82tyKb0N4nsdnvb
MwdATMhDYPfgU0K/6hWfxz0yUSvp+sOYpLldowWQXDvxWy9jbcX3CtjIAG+vbSPP2AE1xETkhwGM
AhLWNgPTbdpE1vS+H0F3sGWa2Ob6huvEfGLRKfD1n8beixB/ZmbS30nPaItf4LG86Ifw1gltKGO3
++haqzqxlISXASttz0gLxnXRfUAiXMeQY3pkCq/uZWskG48+/Dlzy1weDBoDk1wTgAK7YNDxvizH
tGCmVVSPHQ5t9EqRdUkDr9tpRFweU7tp3rtdu8B+7fPtaA8Yx/163sw+YwIHaCW6E2nrk6X64WTA
xbxFSFJ8R/1ZZGFe+9UX4BUKK7dKks2kqmoblaW/t5v8pXQBGYBH9c+2qooNHUR6Mfw4/VE3hf1i
9DUIza5z+z2boO6cj0uGkILBFR/9YH6lO62ORZUVTDEX9xebVQCrQpHbsfg/xqimiot960EOOQLA
wuseUbpybPAX8tikvd+fAmSABnmEfkl5JhhgZN5TTVIGVsaUCYo7G/KLKHr6+270Xxq3eIuiuXsq
qWuIi01SuLBisPdY+ruzacAjCOs+yvHtj253U1etDrbsZMTT6ETFSk3IyxSsRmlf+mZJPqYpeLKK
RN7XVL97L4GqY0F4vEfsPLrhNLQRYJ8IzUZol6yRUcIUH9PgFBeVeuKIAJfYnjnu6WMbdcgTPz9W
TGkFsibZP0vy7G9VjAw7MTAxI3x2hxObgmpbuI3HhbF8GgFks26w8DCXTvnW+cAiIb2y3bSzagLg
KSpmUSWxJvOxaxU9YZMH9oO3SPOtZxwBFsGq+4ETdPBecRc5X0thti/cjFBAumnJeQH77C4pE87w
ybZOSKut52SW4uIaY/x9HQd/ZhoYz5Yp0vTCorg5+oBzuMoLQLHlbIjLzPzywizZvBQWWyYG2Faw
cYzavF2KxXvG6d3cOIz+8jBoMyBtFnoUKmAC/CCLxRenVdPCQNTongaUY4fOBX4SZss0SSJMiqj9
iL2B7WYmKmf8RWqofOQ7RSoYoS+sojGzN0DCLPEpyTxyL7pp9fwNPi0A1gbVifiW9tYg4cB4cplC
fNNj/2wxmq0vhoG4OHRQO7TbJO5bprMI5SsSsfMqS4dzUDTc571mb3SxBoizu7iwQdUWeT1ZZyeG
mMSWNMhkOAiZxUeJ8XjnRS1gCQvewtSq6Kit4iTthguZvoCtW/PKz1WzEx9avm0+UYnBBRhSr9Wn
gnnnrTEa883Yu5+AMqbLTFDyQ9s46U2RgfAtisACI7KK4HsXPbnvTJvcQtrUWQRJu3V6k7ggQ/yE
zR+mjOLk+bF3ct3ifcjyh16wrMsdLn1/Ht4jQYVe86neTgicD7h9g5PXi+QnH1CohBzdG4fkpXeG
18mL1QTZmcVIdFBsLC4cppgdDNda9oZtqh+t1+Q3UzTYP1i3+93dSNjQ19R6/nKECDsntErTCHt2
ph3cWrmn0zuqeO/DtSxzOY8D+0e2Duymv+EgS/PXQs0TFjyHq09NpsyPheUNzQmFPt8ZnCtxbIbR
/+hjVYCecaIg2qMC680Tsjn0rTMxJyfQOLwehqpoYYGR1HpnjvOw5kynhklh57FDxHhY2zvpV6qn
90p4hH3ofP2JGXrmnMXkju23Wc7N9MOJ0RPvEgbJXwrKJlmFTTUiJLC5eoCG+YW8RS/hJz8QsznG
JUqkXzyQicpLJ2MEa0HW2xznLuK98xKQ7BqivZmSDb6ZyGfdUbPdcO0+9h/yKLLyTTrC3n8gGN2P
Ls6gazawQ5QsaDfV6O4MfqhfA6ri6o5VD5pWmRlot3DztdExS3NG04th8G4bfuLcolpDV4ijzqdZ
bUWjjw3ai1XwNfdHI+2/u6rNz4jNgp0999Eeda75rU4qtUcYj/YkSvUXErzkox+Q2/tL7r0aXbqw
sLLKQwTK95CWJRcmop08bITPkiwppvxzZkgH+tm286Nj5uJGkim+Y+b9xupm4Mk3/eKcMFg/x6OY
dm6GChCVKbTikj/GJqv6hKhVoEemLPgq0DyzABJ5sCtmtu5hhr7uiIai+znnS3U2Rzf6rJmgcAa6
tR1sEbU5aHJqVmZMVpp5s7K3ll3s0ASmJqlJhrnMe3IHkDyacWUdRCw6QJZWdEMy93DwjUDcz2ZJ
+m21WHs/7r778IOgFXnWzowyfTNU7Hq6pRS3cs7IwQVJl4ZtreUbYGOQz8LsPlnp9je5qZP9JMCz
FZkUP4260zegjc3HeMZ0FJqNHPfs+1lcW9w2Ye/2DLAZPsIdc2z6dz7we7dgZh8vJolbInqwZ01n
PdnRzeigoqG9zk5+goqV0aMT3HYd0qbIjdwn5FHZSxfH2WlVRTtg6KL+5GKkgSEjrBMgg3RLVGJ0
k6zkNzRXOAAtNg+IUeod2o/uYuZSRqTuNfV7yno+S2kIyj74ZkLa6s6dYbguhaQbT2fDtWv/W90k
gXvILO3gKvFzKN5/5BH8z8Txn8JkGvjfi/iefs1fya88/9X+de54/UN/zB1d719wKSVjR0+wiWV5
+Z9zR4dfMVe7McQXZojOajj+c+xoAIux4MEwUWcmSSCCYBr4p5dudfKvCfWr2dtmUsif/ncGj6s0
768WV4u1j8VwGjsdQ1Ccmfz6X1jF5czeJApEBNLDAQ9bSfrCaLS3WCyCzV9emf+LI/7vHuHrl/I9
F1ks/2LK/9uXclhDOEIiW4vmBB8+JRMI8P+fR/j//Co+BBDIwbxqPgPbv9lnm/9g70x25EayrP0q
jdozwdnIxb9od/oU86SQQhtCoVBwnoxmnJ7+/6jM6pZC2QrkvlBAooBMD3enk2bX7j3nO003U5qU
jIUCp6L8691dbSTBP/TCA/DxCGdm7YKbwK+wdnN/uGxMk8FPlTLZcp2WYxU7aMio9va/v2JvcKuB
zdsI2tY0l0OXkJS3wGC61iB4Sg5cgZhfOn3R1ZImqbshyY44PqI/QBy2pAc2c3nh6ThiiBZ5SYOb
RrKE4RRrbuyWHXRJ73//yX52YK4fDFHpijZAWrpG33Dv/vj9cSR7FQxgks8r7Aidqu4bjlebMEjH
iDtpJhoB/uXv3/P7DfLzvUquaUgFinGDt3wbSDKk9bieaxNme3lwmhqjOSnaLkw58bZ5QYXs0seO
FsByOQ3hYG6l5V/VlMEH36nTU+pDL0sgw75DDvhOkXjzuejYw02x8QTwvL655eRoMx7ta5KvawOa
XRPOe1dathGBuKNvSK1LiymxZutuKad7f8LCvxAF/DHIibgwXWe8WAduh0Wkaw6kIFwiSxKiMZwk
sze6bZLPevGMc6gJy93AzBMYZMxhGaGNu4t7OgZbGuH2e/nzvz5IIY53ujH8yKiH34acjr5QI7MI
hshiQXXJYeHQJe576fHr+vLLtWOC4pOYg3DYevMg0audfQ/L4NYgw2BHXNSEBZzk4bZxOqy0+Xsp
ML+udwAEGPbw+PK/XygPqPe7VkweT1Raiu2IuZTODqlVM/2Jd+7Xv7uAATAukrXW5GNMzz89I7Kk
69B2FuZin64s0AkOfbldv3f3vRkcrY8iqUZENdnC5Kdy31xBS7cqpXhKSZYO66tsNKdrESi5K7IA
hVcr6FtYmbPXmlqnLANx/b0hvPjkcjBOiXfpIMYTEbIqRauczqq6SWFWEGZueMfOzj/jYMuiJjH0
3rXiZYcKvD/36sncgYgcNhD0yBQtA/9El7x8Z/1jq317c/g0z9a+iskN4r7ZMcyBE7VOKclp4xZE
HOFItpeCLIiwtCFmBj56IH1ZFEjRfr/U/M1P5wOz8MH4EyOG9P7nn86WDmm4IKi26eykGCjwFhqr
7uT37/I3iyjbLugdhot44t8S+8dJlLIGNLkd0BCzX83TYaF+jOoh5PiA93gfs6C986Z/d00FRYeJ
jYCjnLV+qB92rtZT5sD2mCKydKHxTIAOwW8W9+Vgd0dUjdlH7dDWpbuTnX7/df/morIvU2LgV+Bx
8NZP9sM7Fzwjyzhn2XbmkEM+jYFZVXT6nefhbx7wkG0R1wObBEXUm50pUJgqHQGMuGRqui1sezqK
zpwjJPrJO7fnG+Y9qxbFF7dIyLiWeyR4G/+GA5sCRNHMLKT1uc3KKGVaCUI6PyBWQNvf9Pf0kvq9
EbTZzSzrB0CgtALIKjvUWVAeiBzXp4nzEyE/df4PL/efHw7JE8A75tr2mx86jN0uQOTrblDzpbe0
rqrLuAcO/Psf1X77q759mze/auMzPF+U6RL+Es47a4ZwmRJoszWWeXkuzBjVsxf3FyaW4AdENSTL
a4+IGSxvt6RkeBEqpq8TTGIs265zAuSp98ZcPXHxg50IxuR2CEEL2CKvds5YZPsqr6qdpcNv73yP
txsRNTV1sL2u1Tz6RN/9fHeyMM+l7BYkcUGATDLrXia/DB95cDMzyoR+VsR6UO/YhYkCV+Qeyhhr
pmuxch4INyyfWmUkFiJSsirZ7UWyY4omVlaxY92XdU+HY248q9vqUNEjKrJx5Wu7KH02yZCVnBiJ
0tqgZ6RV3C0QWX//Bb9vNz/utHxBGz5euFZrrNlifXB+ePzoG1SjgFy+6TTNS+whiBNX/dqElvOM
qgNSlUO6FRIFueOAM95lXsagrEb/Qiuo6j33nZXob644rCDThiXynTr3Zn+k65HgHJgFNU8zPZae
82p0HojEbkl2qD/nd97uVy4Zp6aVHOKaAQGo7Mo/X4BKFW5f8zBvRpyn02BdMI7TKPwLxKm6koeC
gpJsIXCVMuiKHS1yFxnz9M5j+R0y+fPvwCPBok/9yuprvn0u56CQ64kiQHlUAaI1i4SAZx/TK7f+
hUb2hM988fAQ9M25sZCcPYadhBrbBLsW/tGGFpr1pWVMdGjbqjjLZKfQmbkhLA26S8pzvzl2+E7O
5dtFlWMoaCzYPSsg0CRa5OdLZ3n4DJeY4AWi6/wVwv21BOq7KVCovvMr/e07eW7AwdZEUR++qWZU
h99l6Ebo6Eb9WtFqOrRejbEpNY133unt7st38tejos12wY3xlg03t+5seTJMthlCluPnE9o6bw8W
EgdYZtXvPH2/3OsWuBq4ZgGYLLbe8M3DR6C37sKxoZLpF/sAnAEbcOkemnYXlKDZf/+o//rNAA8I
Ahs511u+9Tb/j5i5KUD8l2xjf8EzHwwNk09SWTdm6UmAd+WCrpum0e/f9fvJ+qcbmxWGR4zzMIRT
6t43NwkIPWQ3BqqVqe4j5osPQzVdNihccxme59l4BogE+ch4QV33zkP1y13D4wQVzKcYpstAvtPP
92c5e3oOEbhA4hicnYOHhb4+ykvhj+/9kr9cXN7KpzD0XN6S1gmKsB+XUfAQqhNMexHYYEkbZFhs
gA+IXd32RlTk3rQZWzDi71zbtWr5+doKyIykV61p4lD+3qxdzLwr5CmKIphD2aGjGRkRk5icQXhN
Ds3KZAdDInKnvW7Bw190MlbXVqLDk6TX+M5nWb/hL5/F9vn29IvIS3pzLxPEhBiW33A7qcmIbNHj
xwk7Ddpcjy2uKtEeGGbRrvb3BEnQ365xLpj6Hdjtr/tZAAyO5ci1AIpZ/CI//xB4eVz6nXjXDKrr
G5aSlgi2ttlLjluREyYvhSfjQ0pcQWTnk3Xtxy0EnBGiPZ0D7+tUOYfvF+Y/TdB/WWux8H83Qa+y
5BvQ7B87oN9f8Zd52f1jrfgJXWILYeBg8kT9aV62+RcckKGMfYeDeRZ3/V8dUMv5IwjIkVpVFKzS
wQ9Zbe4fHHRpmwZrJ2jlaNv/pP/JbfvT7cwO4KC28VxkaB7wQpCdP99HouwhHOh4g/IZbfphBnIE
wdFuzPC0lOYckD+Y4I6YhqxIL7USSkUYlWR/ArDCEgM9qfa3k+3LBwH7HjNNMSbjdQjRCs05eBGb
3o/uzOCsVVYN3Z1GsF02vAIwWWT17cJ0pDKNbL/a9fKjmEka2LZm3viXbt2P5nbGHYYsilRG9NDK
mK1N42vFqXFahxuTYTUcNbB/c5xiSKo2GgXfJegJ4/NiIJ+m3huxNXmemBnshsnnAkQTwTUVhodt
TXoSf69yYxLNKa+hZgWJaI+uofApu8VYLds8tvNs64x5KKPZn1QHeUGMaqMyDCN7Z/Abf+eDxUDq
ghlhPpLiUX5CZWZfuanbWDuF8P1aLir8krJ4f2rIj3tpY5sQVKpR0huYNwEKQTdm+Z9im7f8mFiM
jaFIjFN1OXM8qphHFjCI6wbZXaSxHgAIIn60uXeW3FfR0i4jrGaxhKBBWhEsO3NIEarmng4emwav
4z06Cr1cernUF6EfB9jUlVG2IBh6TTRaF3f9NdoTs1yVsQExIr5dnNu+gyQeWdz0qUbEo/dYXuBc
b+jAxY9Nmg/ufoTuWh37OJWoZKDcOjuyVrpnAn5JgF26QHxNfcK+tiZpNY9j5aknFL2Gt7NKEnkA
w7TdNm3r4GuPwpDMmzFjdZcQu0dkjRWopjrw8EUEiGTOc4/5/8by9eztZe4LonZdhoRIK/1BkP1T
OWKLzTRFg9n7E7L8TvdH1RjGSzoYGZ4GzNznFtCkOwMx/itkvQ8qS1A2pb1l2ttSBWBBsGBl93ps
apJNVdHtyxJHIGc5iavDxzr2EXUDFuTCpWmG/s/z7oBL5Sj3cpJwAVOsiRFDifBoQ0pHjytyqqZP
U43oeYsnr/5qKyOTW9I2MektvrfcdqXv8dksKyNi1eEYvCnrYSmwZJgSm0gVf43Hqr7mBG49Z+aS
Y01KVoGFFl0NMm+IvYJ/ZuNn/CJ2tzG1actDjIMXesUcOs1GIyr+4hpeez04HK42HR5EhppDE6jI
lDEwgSDtGmzGWACaM1tJh5gr026ybeL1zojTZ+SUZ2eLtXwqC1jB1Ygu/IAtz67PvUAnwDI0IrZ7
DG8uY40Yy91mUHZxYwFuu4vntriA+KriKJWF+dJ1g73sE3Qm1aYf8uBTztD9Vvkq/NSI1Ss0tJbI
TpjzVHNKx7K67soGekJV2jFn00zk7TZUQfLN5iyPPEh2+AXpKiy4xjs8Q0ysm5HKb5rKD2OaYNNz
7HTRILnK5Ik5Pr9PWOaZu5mVFeBMnUeWvikrsY6W5LmWm9RBTrpxraS7DIO8+mDavBvxw/n8CJ7B
Sa+HCnUl96Gvizs5QRmJIKj4iDyDJTm6Nr73A6Mwj0Q16U8l5NlRztB0SQaOUGrjB206fPMoZFxE
EmFcJav6k4HRxgi100ZubVVV1A4kcu0zBAAYnxCL8u3CzGjo9zXQsEgqyS5pfDvupgHlC+QWhkEc
BYSM+PtZGMOTAST+idwZwqDH0Wjx63Q2bAc1ZQ5cG9TdpK7pBAyuj5XsukRn8tzTND1vpwQFThJi
Lt8Uc0t4bQ+Z444bdiLaJsZ9t0lc0vx22Yx2HnsxJ+6o5YGrN44D2nqLQ5d0kNkP8nEnRNum13Fq
YjQtNMazxRbJXUZKDVqFeNH72u5YkzuXnyCYSzAJ5KH1tGlwDjbnqlpDars5T/TOZQ/SCHDAFO6D
uFIhmpaq/oxIm5tCZ8mEdKgLxV3P6B9xZesjxi8V+x239ZQ9ZZmZ6a3k9BtEZFBkD67rq37D4aA5
iyvb6ndFEhDvwyAe4SerKTk17Bkr/6qj1bZRRoWBaoL6gFglaZB2NbldPWZ9GteRUKZnYV3zwFUh
020f7awJja3UBTffkJlMr4hy9J5SlRbJtmxi0t39nMytjtyHdsPByX2ZwszsNuz1+RPxgL5Zn9yx
98bxMfYrHmistdJ6GVVVX+llAS1kWwuEph7n5CEmW/g1p4l2BYnD+2Aj1XsqtS2/pgZr4XZGuf1i
4cTBNdeY5uPU5CGpwb1sXt3ESw/TIppzeJzLZ/RK+jKMSTZe7W8O/lag5U3UdWVG2d011t2sFuuj
7xHkjsynKcINUmjxKe4cghKgWS93RWYsr4WhhjOL0CBChDNXHUaiMTU9MRFeY1PGCpwzCvE2A341
3IRdClJLpYN18jTExZ0GtsPSyEOTbWI9Dg4PyuCTsgpCZVvINfmrjF3V7dcAGo1KRY4VBrTCvEzR
l3/tJzDgCGFahwjAspyD28RZ0K70me84VxC1CKdiGjrOuCpz0gIt9vghc74UoalSXrgoTE/kmVXT
DQ1DD38VelwdXCShNeDLToyBNBsW0Lh+8EukB9FIfib3QCGm+IhsQyJ1D5PKRMZgwG+5lfCRra0g
jR5LqvDDGjO10+LM6ILyvFYpnLw1RfEr6bXj+GKBvususO+VnCuaDJQe5AlocMTQx876SqK1CbZz
npPSyOFsmiRSEK3tI8iNOp3FcbRMyoxBfhC6+ZG2pOHueoM0wAc1DzX+xTg382OcjYmfbXxWeXS1
+OWdq1DZkK3SBUHPZ+26YCTAJITusdENSqTNAGHShV6Jkq+r99LzBvNbV7CMbQywPOZhBgoyLtHA
yF6RDhVUbnABTS+eX1U44e7Eb4kYWzlVIL9D1ORljEk6PKVhQatnR1IrWqxoMWuz3Kdjq8U5whUH
SwXQi+QCt3OZPAP9RhhJ7iVyEziqldpmbswHtVMdj8eJ3EVnQn6SOO6LnpQuz5KCaMYbppYmmdaU
08ah7jtlnsXtTHCWydxaHMsOrN6+gzWFHS5fGmfrLH5mPaJLsbMDExBKYW5kb/oQDDnhlrXnQTXZ
5HbXCZgLlvVpIsDJPsDsi19NHOz+ocacMLNKYDEh0wgbMlgcbuZIDXhz9kE3CHWsS1nMJ645NJjZ
HFYKkCQN4Dpn4SnP09zW3wzK6MtgisVnUc+m2FvoebK9JfvePtCmpNUMx6Lm3CsYSm2blZIbLYtY
BfIEjl61KHidHc1os90CSkiSC4MvVm6JliFVI6DUnjayFd0za0Km994Ako9VxczcbUK0VXCthOYx
t4LSaXYuZUdHtaYTh/3dZmRBh8987RAeUsGTDkb9XSyds0Or19FahVoYR74lEIRn86DKAwWCK9FA
TTxvhLux6rXsmx/cMFs1EI7bPeDLzdK9noXytnIcSZ1H9TT5u1Zk+V0r5/S1tlHvEz7uY3IPJ3c+
Vy3y2E1PSa2ICBQuKgAJ5XbTd/4IKy6s/OCMWA4usRRm+tGwWlLTkMeT+qYciXq59sgD3Awdgukb
R8tEn0iwyibK21k35+5YdtjK0xgJ+zIaKOLpX8GqLeqcJvmg4ZBcdpgZaOijerfPoTPNJRePNNLd
oMWQbfPGGo3IMPkVkD/6sC9dNHLptuCPlZGpuzTeKlcWPZykudbbZOxnEY10iCB29OH4dTCWkioa
1O+3hOnKCiCpu/y5LWndyQj6DYeLuSf3EDuABXx52zViCMjZSpRPLlczKI1jHExkaw17jh2hx+jQ
S2wvBoVI2iKkTUfZ26KAVXwdsObHZ7idcnklZDXlH4U3Yp/Y1tLBbr2VFP/uA6VnDl0NZEyllj8b
aP/pHyCicn/XP7gbv9QvP7UPvr/gz/aBY4IVp/HFwCKgNvkO+/6rfRD8QVGPtgpZJm19gCX/0z4g
UYszILNwBke8wuP//a+Ayv7j+/gDzRV9PLZaRoT/IO7E/a71+d9+mLfO/VzmjauQioYgqRU/NxCI
6kPeHop7VaQeZ4ewDBAvxuGpa0f5aNuKPSj0y6vUD5rbepmDy9HypmcTlDBRqOxrIq0KtNxOfyXV
MD3ZUzzez7QBH9au+17zVJzYynPKb+sB0iJMgjHBE5D2yW1c6uXcpQDbpbPBmQ+bAfpJarFdnRfq
5GiyrQUr0IWTpcFZpWjLbVSZOckey4+mcuVZ2BGmPHyCMTjTqU3TVkRZLbzPXmVNOiIyC/RJ6Tv9
tS2b4DzvPIr/OO6rM7p9IXjHzofcOK3+gn3lOwLHWElqIs0E2qHQI7IjPU0OmbDWmnnjKbe9rZza
T1HuYBbrma5R46KXvK3GQhz4KP1lFbsej3Js3bjtLFgisLo2s9ee/CkzPIYOymIxxdO3qfMkUq11
xrKH6tXJrlwAwOe5a0WV2U43o/gUOvpGZaxjOdNmv+tYtD/TGRlvKTfOWPSf2YgunLpnxnVOAhJ9
BvUBvTFxilruGNBvsI/eY4x9gc8znHVy/NSS9XHS7WBfS5fNRuAm5cgo6DH6z7Y5BRe96s64VNcw
Je+nsGt37qCBXo0z54c0ec5zVqG0Db56di63qSemL2alXnxil7ctBdnT5PVPWReeRts4A7fI+TyJ
yzv6lhzsu6l5qU3/3q/lq7tYHwLLvQeJdZwxqhZS7nuiSrY1bq59Z/dupDPnu1uNP73EjdznbdAe
5wrVNAiUO7+tHmRldRe5PX7xgKXgzohRcc9cU62jURYLoEsw4eeOxgEyNdlDn49o2WkJJ5wAR9Pe
xaM0X5uR3wtHHAHxKzoawQZk8RJOMxEZB89g2jvoU+eo/BFLx3w2CX9bpBCthk9DWfr6BZbCvUTw
lNRPnacIMlFDj62kmtlb5qC3d12bBtvJIFSeOPk178SjtRtsPDZzOjjxrM/q0OCoNzmcrS6sLu+/
cACsb/oh8XcBEu6TlyKjZccnBo2eBO28LK8jbLvVo4GHemMjp/JSzqZdoq/mDEo9kr8bkXMSHuf+
yH78kSbiTjrVnUP+a5XY9/kCAgVvFTDS9lZD1Nx7U0+Kd1j059qhaVK62ZM553uEbGQRNLTTUHye
9bQbd7rVF3WfpsdWZxeOJjI9UMsMoy5gJmkHNAZGCvzaBOzk9VdVIaFaO6CEC5g8EYIV0iYHxsmT
WPiHuxCUWrTiUNn9NYw5ui5TF1+AyXK3fVVeGGpBV15LgMP48nYwsSkj0Znj1EjuqzQLTqCf7Aej
8pJbuugxMDEuJXKHeR+KsQSjrPRLmSU4AOTJKF+BhVgPZbB0Oxi05M34bn/Ci3BM2+5jW7v2vqx8
lifHOjL+jrQf4PmauB5mjkq+zwHjDL4cEQgSJt3TPSMRyuwpZALtw4KA/zOBaLXq0To4ACie4cOL
vU7HgU7rYj8hS71LivoYG+S24q44Isl+TqritiHvc4OMKCIKFxKzuu8HmJFzBfx5NjHHwJDJD9pN
gGbkX2MuXQQvhm5t7H1NmUfNMOrLNH1M2v6riwHnuaj7Yy5dskxHe+1dbYEHZ5y3aE3ZZJG4+qq2
vDvD6NutaQwOsnB9hN30yZQ8jiYeq6zQG+xRHL3GiTAjrDG1LI9kC3tXuSjbG76O3E7Nkl1VuAx2
uZXHR+RM464JnLNEQZ/yKewFSoKjm2aPJlONRtn2U0jmNb+4SOMHBQbojEicdF9l0JYgUXJWUXHy
gRPUx7xD/mWmTuT4T8j8SGywArc+tlhJiDdmFvcxZf+8cZzW+dDinWMMnzxbGVYoH479jChuQwXY
bZpFDAc3S4DGcQr6OjJkZunB12Qrzzi1IR53B68mnt/B1F/oa1bnLvlNz+T2jdNmsj3va20btUvp
7CIsBqvneFTgZheRUy4OKI6GqyaTRXAJPNv6oAsBesDNDeNQmd4VgCV9VRE9lTJ7jp2bCR7ZVklp
Razc4T4xZnkaAfOccw7QCPGdVWES9uUV0JB0P9Lf3hoFIb8brzcjJEBrIz/E2OVl2ZE+63yYAld8
bBOSC6rqioPkUeqE7t4RFFF5JOq7Pjrk8Wk6nGDQ+mQ4Dc1I9rH/iie/O3cm04ySqfShKk10iEEN
GcdAjfmepl28F3yXPhyWc1l11k1Pannij1wCvsMw+Y9qGlGGAua6W3rP3MT9l2HJsz3iToGPb473
k6j6SDFWRYDXj8cchcguxpn/mJhF88UgoPcBTy40xXioLmGG5Y90etPTXNS4h5wsORvzJj0r7NC4
Mko53xpZ0D5lM+d4sIrLzO45wxco3ArP1Qg9U4Fzv6jo2TwqpgrPqeUTVLJK0kwwOVHtxuY+qIL4
BhxGScDFetSGXPr1e/H3nzr4Xy6j1P97jLZNv7z8OENb/+s/a2DbIXUHxkiAvBhhOwqMf4/QmJNB
0WYUy8CdVuP6kn+jS/g3KNx4mcu/pdBl7vWXhUD8sZrEETmhvUEHAyX4HxXAbwb/WIj4WJTF/FHG
dUzg30zfm8XXbmf5Z0DXOgMSh4XS6MQ5MCSrLU4tnFB2xXZVBqoqHpywSW+zGDgSSdspzpoY1F0K
ai18wHrouUcqISbHGUHbxfmiEZqeN3Xe3dliZRT4SR6G+9ztOMOVy2KsZPWiytp9j5JSfkgRhqkt
VadlT6iqGHSR1ZV47O6q9Odi3vo6a86ZAo19fyLr2qy2OawqI5p8cziyyEES3JYQfSpO6DyaYDTr
mzRr5aGuTM7Wk2segLM66WE0EPjZiYO8263nyF9js5nYmDAOeIbMKxQ+FjM1PpV5QaR38YmuRFgd
i1Ix5QrqMv2Cm2eJYGniCDW72r5h0g3YbZZhIxk5eksky/iDrtO5DWikCEkoCoYyy/jI8AQetzBm
527U1SKvuoJsgE9SQt0FSRUmd7CM4Hps+aAt+1WtdFciwBMVsucYv+Q1q2mQ3pnGjLcQfJZVty9T
5uXfus4wGT4C8iKtB0Sqm9wzQVDenWdIt35q8YHPsMtTaILORLvORPS8RIVsntNO0OyiHOrW9jpa
+Z1sS//anUuT6ViLe8l34irbw+HXlwERPvk1qliEA0Zv29cdtkzjuPipkUZ5Ulvzh6Axx285NRtR
AzHdX4I51CiCnZ0k7UOXhZBTDZoFjGd9DhhDxsFqLI7jjMbaUzNwiz7vp10W26lzD/6qN3GcCbea
9ln2fZpbtkgASWepZBVehtijAMLVYxVSwU21TarRJoUyojjpp6iuz2kH40+nS5WRwjQr2vbWJnAC
yWABBmpIXpJpONRZESD7luubVB4JyZ5bit3kNnZwrpIRkiuxb9N8ShA0EJMEuNc415mPkGuK/eDG
jgkfPEOQm6dnaBW6eNPFSg9Rn2ol9/gCdHkUsujqU0/B/eiPwEzoN09R00z9YVAM0kkFaMWwM1u/
vZirKr0y4PHsFcNv5mChrK60k8xgDONltUMaEEyG0pnvZznnkqD5Wa6c2uE2Sdv5mgmjF9kFHIqr
oO/0LTNBcktA+dTFyvRLHi0UWkc7bTyuFYbCdNfPFbvOoJGcurEs7+2G3u2Gtn93ajvbvcVt135J
6sR/irm1mAIKY8m3PRELRBOYy+IxJ2A/3ywl596T59QciwOG7gajlRAzY9YXhXEBAFd99AH7PUxz
514FBVdaol2Oe3WabSr67oPSI5CZF0YfebwUQPDdVFTGpkOclILr4Lns1PCVVYFM5l0808ukdsod
vHoJhPtJc38y/igQmR8ItZgCKlGzUxOsBE7ey+cVNzDa52nvmuo+7HMYLQoqI6Bs0ltye9nFk1ya
6lSAFdLNK/hEZwBQZBQxQTFUnTpDAjXVOaUnlLFgkPWuxiqPcXEqTSeszmkHdxYUNr+b6PCN1qTc
vaylCQ5gckZ334Y0pzEzCy7+huq5eIgTTp7WpfPn0ISQm2B2tm4gBUpPr01LE0L3ahRBPOjCd/AH
iI+Ir2u8sLBiVdNuaC+O6Rcc+n39SMFf+09LSbrPQwDLeNprSzfyMixUJi9XN3W2CznBEY3VjLrW
NzKd9IjMK2/kRjHAj2ppUaMCTPS/aAAACYt0J45VmFGSOgkt0sasPqf8uJyXJoM5Csyf1CvbM2co
jftgxmZZp2VFk77Kif+YWBeApdUMfvhDlwtElLOg8IO7tO6SaB4WH+yzg/2SbB5tHEJt1ljix/7J
cSjeK4nWYGM4C0kVDFT3EBdgUZp9bR2mKiwfyVkS1xTceM1NVB87u6FUdFSCmTsV7qlWpXGt/XaE
4WYXxxi5x2Fuk+BkklbFPJl8zs/DrGlUAJuOKs0gwAz76gjamWASlnOD89gyPxSSlBpUf0xGq9xz
Iko2xODo0+2DTbA6LZPZDvcurdkDAF3rA+bbOxR1y6ZJKn3WavPVh/XyAINQrGYB4LG1lM4pRD/w
WM65X53PXGvaIOJZWUUnP6cAXpwznQ9D9xKXTt9ctlnDGBNTDT+4D4bqkSAuZmQFiRHzU0bDmJwa
EkSYunJccuNLEL0uOqqsz794aHiNT/5EdtuFrIs62Md5bsQRD4gdOSO3zKZPbIF+OMlG+iJZX99O
Ym4PJNyVq7PVr69okk8mA14XZjsOHeDSjDCyYWORanRZZgvEM6tgLYXFoQ45A+5tJxUxKkmYGyt3
YL6B1+QuO8AOJowIcFPY4ztaCMWOtpqzNypyywm18LZLOHQHMCPBZ08vgEJG185pyhn5bdV34iLO
i7XWXYS37YswkRvH5RRZGjixMqdov4yTscD+Zr61j40RCPvizcX9BDCU8PY4VV8Gn7ic5FinbDOb
nInk8rVPvTS9igsQBPu5Ul3AZDKbzzkp2ICXUd+ARs1SOP1G+jovbjIf+qUmIYoFEvXxzX9KaDWf
Xv7fv7zfKtG232olv5T/9d+vMvv6pf6vf2ds/FhWr3/hr7KaQpjblgRt9IMMd0I6t3/Farh/uPhu
GdpSweCScXjNv5VptJbx5VLuImIQLrkX/1NXwxG0kdjjCUUbiuX3n9XVNjSan6VpMLjJI0b4SaC2
j1vNp7r/UWuq+1x0SpYHMC9Vwph4RJFiHMmT7HeGsaKSJZlpPb55sw31Z/S3QJBGX123Ae5CSwzT
tUQtTgSmARYjia3wEcnQs9M1iDaWduhX5Yx/EGiJQaaMWb3lYfW+CSefz2j/+pzz+YtTl02RoWEH
FLYVzT0+sY0UATB3CqTsNLt1ezJ1Oz0mXqsuOsKz7qBsehc+vTYSAhuCEkDj5dulk/k1AVv+hzhN
58dpwNundP+CDJu/2Hv26hTJxbFVg3M5+hSZmcVrGVTWO6xl9SUeiqiPSwU9sCoILNQvOaDDK1FW
mG5AwZ3y1jQ5mvcvRPURgVBX6rpRRJXllmg+GhPQ7dRLgNaka0LYnMHghhL4mhnZ81ABA19faYz8
RcZ63oOhxxdktPP5QIvjIgn4yOPIm0+gR147IxPHLCvEEd7qs0i4gODnimsZLIuz/f410lr4R/qW
zcfvnzJghn1t2uDwWU9exoxXFaQSJa1jRWjQyCeaPP+IPcGKEkN5r25uNh9D7cplm9qjugbPbx7B
9hbXtOjSkw2YO1KCvzAJ75VflUGXxZHrZNKRWum/lnWgGi8+OCaXOa8Q0/hqGDlW8bWT9YMrm887
x5Lgwm4urkfXB6nXcMddLWjfrqXBx2dyZp5r3SM9mMmFg1ZKKXEcKI13tcULgCiJETp+ar8QrCaO
gF+oK4gih9z6/cfrZmVuZCOKw3pxcwALx2WqwHO0ayoBbbDnri55R2d8qWT+LKlRtnbnNaf1spIp
Io6hy1eG4kHx3FXPRDXW28HgTUWb+K9BMMtXz02yk9PwgyANEMfc6V8cCmpOYMV8Rayp+9lubK5i
MFwVyhsJUTbH7UASw4b/9JHsgxurjBuCQrvGPsFyJGJLj115LzsldgwjxbUBKe/cUnF2EMMIzIJc
RLiS4BSAyEvzmgMH1gwIchcVtrtd4odIOkJEIXtczAxAeWyvUHhq6nKgDqvlkIiNsIqEreVTVkyc
at0pO4VOkRIA6QxRKsif5GQkkpcFLOGxFvUUR57dxEfBjP2FxDN2fzU3rb2RWjUICCS5os3SA+1q
wQKjbftGt5Vx9xCu3I4pJJmAID+oG0F/PXLDBziYNjMUUcC9i+MdhFv4t505Oh9bjfUnd0WzkwTj
QvpwZs6qAw/CsvjyPCg965j8f/bOY7lxJs2irzIvkB3wZksA9BTlTW0QUqkEm7AJ+/RzWD0zEd0R
s5j9LP+qXyqKItLc795ztWV6XBI3v+NTP7x1qYCTOVvtGBRDO4Z1yzWY0U5zdNdJ21KtMCGdYcMk
FuW0ES09xp1YQD76tZvy0VL+/aBlBcDtwg5g/xsXpL31Lmlm+NYxODM8KgozjYYXlmUjDTrAjHB1
/XEPNnFqN3FFwB9nVx65U+7ccY8yr1rFGE0DV7ptvUELmAInx7LBU4VnY3YuE90lX5J/drvMpX0Y
ZP17gHT4qLNUTptlnO1jKW0b0rp/52SmCHGAQu5v+2e94neLgFp1kanFf9MGKKL8580Kiw2M8Edo
ZIZ1EAYD7qGSDJqE9VqDUL5PB12/y506eyEZ1x2NSlhffc+ZfFNAJtkIR0t1LnGqOEqIoE1EF5t5
0Bv9pdec7M0vXfttaBzKUGxifWpKn92sqiNHKI8PHOYs8IHLPiNlmdMjlqojBuL41TYw4Wcw3/dw
69T9ADNr30kPb2QsbWjoZqGCKW+KE5QRcXE6N37UkGMCLW4winTaYG1sZ+LM1kM43TbDirOp8bLy
u2niP52ikCIV895MdRd78Ip9tM/8/SAasoYezz5GOnBxW23GcWaknfPW55Vx0FVF2V03F/tuTt2o
HzTG7k4/IKf05CGB/V9TMLNbr/Xal2RCVqBRzz6mKCz3STKLII2VF3a2NX/QW5GdaGBlnNoPftQX
CWrv3HKTL4wySm+AsaHDYazVRudSVpp8rgPsBLtjJJMZLTbQVbwXawzobu5qwaMy18VxpSqGmwYY
cKMzjANClBN2GcJQV1Fxz61sxI8g4TbSEL/HOMfjDW/390gguYPJuqGWCfS8sE8lbSQhivR40JzF
3zdxScOhV9vYzqSkr2ZYugvlJ/w6QPjP2qYZTf2U0vB64jorAdV1Bh8o3W4fU61J9xxKpkBqMyg5
YKOHThudt27UZCQmb/otFtr72ql57kfyu13dyJe+8ddX7pXeaYGKf3skzDtIAySOsVEYR0zprb0B
HkUMyZmE/ZBl/bK3V2EfZlqXzvg/1r1pIysYRozoe6uOxU3nRga+sruYpkYMtH2LWD86IBw91lat
5oHAGHXoRvfYY4w54tP1rwYNi9GMbWPT3HYq9rv8YKSwv0WSPJbDsNwl9uSfMrUW38Okk7KM7QXu
V/WM75L1WTcmdCdDQqFaqotDSH3TL2gHcW6R+hhgXciyf5IUX/g45GN3K4t4+mN2icTjS2NYj9bX
93ssp3CP0OQeNPg9gE9E496G2YQ2+7G9+g0uXYoo3FNPX/Cr4cwfYumtk7bgsqNpZKi2YAnlQ9k7
9XlJWNSgVtFBFUMP7uysfjSJmyWgJyj3MiBJXVXdPqAbAjNq0ovmWO0DtX/MRmP44JtOGXub779l
THo/0NLKrLQan6qJrgygWNMuTiXcJ/u1WNz5XmgxfdBqLOnqSMaAFmGUFnNjraa88KwuQdLyIe49
6zihFwaSgODV7dr73mQDyKTxTEVD6Mj1ixMsiA6Sn9vat39heuRjqjwzajpN8NBmDEioDQ/AszyZ
mUvbFjk5BKJZO0p8fRuOaSLQfNW/xlPqnlhpqkifTH1bDxZT+aYYv9ZxrkkaTPRtxF7WXVEu54Ng
tH/tK2HiCGSOlzW+v0PMGm4Fq+sPBQ3HbtLGJ93u4yu5CXFnVx7lbFh3t2NiMndt2eecyTN3eUuv
GeEKOstq0HWjKE1IluayzRfH3DLOsn6bGbhsAH9LGy0mYL5S9S8Omxt4bPyRQKx1cbCMYUH7qIUx
8dQYSJ/0gcOCqLQXb5bO70Wfy23FwTewKSuJ8HE04RIP/W4AR7zNPHfemvWMrW303ACBWIZjMR+B
LaEcDjzSR9NWF4DJJqy50ol6yhCOOb7LHTWxl5Lupk3bOWrnj1B8BVhp9K7eeTGVfMs7Sr9X3Wgj
5Vri4EhFJxmF4wAUF0lo0LECOJpdIEGdbhwMDcDP8i2oBnR1FsVAT9wiFC1LXFLb676GTLJdLakH
46KoeaIH/ZSlY3YaW/hhrTUNe5Ls3q5Z8mwnrFb7XtLC2eU9ZlmtN5eInykOkwy7iW2U6/3MoaAq
2vY30DkZaFn3q/fNbGNZS/6wcl7ZEZy1zjU86qAfidDY6ZUrNR26c4pQhBH5adH0K+1ZqBgGilQ9
LN6OjUFhOXYNML2+6H/782p9lOxuv+N08Q9VM/LpqrVVP4Df9PSthrmedbwQ5kVR55Mx1bM91Ihx
mE6+V3fUXZfmPU9sc9BXy754TYehH2kte9dcalZtuj3u4jFWcbAs9vw8KtF+YicT+GJqsA+0v9wP
PfBVRNH8cjPZn5ijrjE+ggxCSdbTDjOMevtoW131IH0hPnTA0Vqg2U68m8x+rCN2FbgbFunye1AZ
4nHgEaUAEK/Zl10X8Z4zYf9qYwelP6hfl4PIeuuFVg1GzNBEEVnsFrb7zYepgPHNWOU8737yG23v
Cg39qKtU+zCmFMQwso9nYGcVZosV1PuX6Uj3m41iPdjZONKa6iTpPdLfulM1n7xUZzJftpP7ivw2
RagX2Ji1sQbT65fyUMV+fp+ZVUM9zAheNcg8M7+kBdxFgQ/Dcfv1mEJjTLnuIEi5uXFrlPPLR6Er
sMgcrJgKeZu0kZ9F3iSh7PvxhpvLIjdVDL4df7rl3rFlJ/Y7XMYlmIT+goWIWjx3/O74I9iOGmfG
emGRZp8+D4DUollwO5Fr00et632qBuhd243DPkFvO1uJVp7HRH0Wg8STrg9iO4+cxhPBYT3mQ/s9
KqsIEjk+umuz81DTN7zW14X6xMCYimMyOBP2RenDh2nF1pe3oc9oX+a8zy7wd6avAmvhXUlB+I8O
Vf5hSujW8wlIhQMezM26ZEk0m5rcc/x5QOL6teg5+lI2JpeZ5zVccyb8FGE4R1e3k2OFKB0VpmVA
RGjPMyn7jcalNOwSq941Il3vKDsp9os76q8xUxhku8WBiYrl1DbUeSyWb9bOYrNWqbeHPbmtO4qh
NV9uS+G/xp18LublSSpbbqlBKoI8W54R+Ei+MOmoxullpjQHi0JufTRTup5qmbv35hJXLwITycZw
zdd1GD9iuVb3gw0QZXHgPaEJr5emoSGpHb6zxqaKU+pfM43Gm3nwx3DwkGq1jnT9JEns3EZsL5qo
5TnnZzvUnHfBGOZPSAwQ8obiljMr3ssM0G8+r1cUBDOcs+5rybQvSE+QyoX53M3skn5chAUn22Mu
C1wCdvFL4EcNlG4/xZP4oasvnNf6WmvzB5z0EeV4ugdwTfU15INzDFv46CiPMkvHDEvgGOGKVB70
VbxAaRJvf0FNnADP00AVVDEWLstNm0dAUo2LmYMPBxBRH4uE06TSGvuI2R7BwmrKnZfk9CQKHXe/
VW3yfI4jLdWWqHGS5kAHeRag851Ne6x/z7W7FJti0EYCavoa+mxyIUbx+Vkkrnfy1tH/xVi3D0fP
TqKxJOWrGdz2ffO3xs51nDAYGjaT+LK+FLa0r5jSx13OWThABvpZsC4fpgV4pRI5bTr1amzj2Odz
PFSn3PF/1db4tHYWhG/fuGSZf6Jh/oc2xt9m4myrtjgaro0oy5kiU7Z/rqlmz2r2TZScOwZlO7JC
oTBzvIAMFwmCyYhKyHqbqeWVTraT8PMXTLnTBfeeeAQ87VF4Vv84Rb6FNfdti/UAmj0NC5iGgbKL
uwFiMeSUpoPbno6R0vW3VvPfiG/hDwZKM1Y23fBsc94AQLj2IL3HqM0ltqlsEs4Twx80bbDJHC0/
Co/MAqFsa5fM0zutgKGkgwf3hnOH9YIxQI6jTgz1LrZcChnA2hpeam/MnB7rUpFS8AzoEK2XKa70
6w8fcNA/+QIiv9Z2sZxfGSfLByATw0741dGDWokAUL5oerKTpBIimYHTNdpXyg/OzVDOR0Mb/qDP
QYBqlg+KFHu8F735bIj4TZpifWhy7QPoMcvV1L/ron0AEvJHWvKt9f2vaUl+cmxho+TmYtJHbvo/
SakfvBv1zSgx6yRMKfHLpI/roD7Tup1OoF74tDXmsKVT4nDzQr/TXqY2pKiLqwJ4xFlRi8+urPMI
Cx2gsYTWw5hKy7BArd6IDjcXOx5JMTx4O6tMb2QQhtRMQEtb7MZGHufe3HW1dZQV8S1DOPs2Wb8r
AMH0XtPsVLTriYJ1KC7Tk6rSPWXnd5WXzhE9o9vBLNlWh0NGQAwKkUARKHBGlSsM9LKqnWs13PqM
3GSTT/oTJMEEnWnckjCtKO7Qmm2d+QEh1Ue6mz4SRt5onlybSvdelfGOKfvRG50D1VSYEAfOloxl
aKXtjjMuqlv+DfhtD2g1+XRucU0Ai5z6ph1iU/ziKjrcLNsGvMSwbBxJwnKOfxDMS3kednyXR4fR
NZWCsERXG79QflBEcILFw3CV9I8j9rYsxmKgcZAmFB/W+frSrMmCkz4TYVKgZvRW+iDZtzZZsbwa
c0oPQny1AILHiantyiJliFIQDknA+3vZgCGiSZ5pvaWWzhk+GL+duA/TS1VJyN21jouQpWw3G0kM
h8bl05umSMJ1A8N4XUv3s+sM7uAMSwLlChBaojCax74ZXxAJ9V1PR9WRURGpACCWO2xvbRnFVd6/
rgLrO73JNQIGyA8uPx7x5YasDxd+tV5qUtuHodbUdswGqCpViwsWFXnemEhDkW/Y+tEplP+npC7i
EOO8D2Xaz1+qpu5TZbI+Wn4/XjipVt9LYZVvK6MYDEVrdlQuyjAaAQge0kayenK7NP2N61j/QGKz
9pTUGPeG4/UvXZ8PTB5XgR0tJ7WGTHcs3WI5JjX+V/9mzJ2y+pWTCU5oekhDnRH5kfLRJVxq9WfV
RXnisbW31DnyBi/4p2PPme+9wa1u60T/iEfxJhoph6tcqndbj0riSHe79VqsTUw+mS5CMsrp/S1G
urca3X8vBryMGSXOBODS9hXkcPUMIaj4TJaixXFWq21asiuZkzKOGm2jD2MmePWpGLKdodN2vDGb
vP/Iu5QgiSJmvukMr+YoTSeab3EN0wY17crOHc/c1hEceththJg/Kp8yDa8ZKbLIKkX5YWbHT67R
+KE/tQSx5NzuqZktt2PqgnfLpfXgLeufJcnjCz9SfMjrftzGteSkoSVcePVEyw5VBkieHaU/AcNv
d7U7GMXG7Uz93cmn8cKlo4rSW1HuYiERYI1BJjGT4hEi1PKU1nVywAhXfg+Dch9Tu38Ho2j0oTuI
C4AIM6wyjvH0DqzHpjIesPmlQTUsNRGahIe7RdHoeEGfceYtT2QttS39nze3zTLvOMYMHyu6wcmp
qeypDNntrfZWN6lwPBqu3p+6RJQvLc0CgdRZsRvM5+CXS+08sP+de0dYIeEDLJdEknI/R7kZ7P5A
v/ZwwFLtBaA5xTXV8l8TmZ3N4mRPK7W8G9m0V1VqybnRSMUor3om7Gc8Qqsy0JqrGmeTkgxSSy4M
W1g3KiQRjQ3VyqtDySQcTsBanDunLljmFNYOHIIhMC+C0TKtRkprmvr3WozDiWj4wo1hEBFsKH6x
XZV3x6TDGiJgYd0+mVESOzpdng21d9b0hMVHRUOutezmNEvmdKYfKlfmYebndZT0SxkOSZdA64Th
k8mhwtY6JscsL/XPWeeOqIwuj5LbqmIop7nQ08FA2EKoBpwN6YQ3YxtXg9plvsEg3mS7SWbbvlLD
+Tw0y/KoiBswtqaToV6qkdNynQduGT+oxfa22EyALtM4eGx7VYe5X8sIOgy30JpxMVUtU5SjtgVN
KmEa5mn2yCdXfdPZjTP11jUFd5B5lYCPnxk0gbvl8ETce3xS9W0QzPAmKNOpeitwjhLUml1G4Pw2
kKxrXFOUUnWw2MPRNNodWgtjE0fYdzrFd0EX5+2DKIRziWcaz3k9lxrPCTqiY17yypRnwyt+WR3G
UrVY5WGImTI3mouAwp0Ly0/B6uhbR55f437UafYbiRYFBsSYTYrbDIxzWm7tZPjATtAHJD29c0yJ
wM0qXOzgq3+NgOfJOoAFRJlck5MSs3anADt9J3lPy6eUq35cxqnapZbWHcG8thdGUfmWA+oWjSti
1q+2WJF1ztuQpIyyortLKm8rEqgDFVabwIljmqJQIU6Illqkp1a2ze3iz4jl7qTydD7QIjZFFGjq
X9hUvKizzRkYf2+RGNO7oAOLBp8ipf5vbefj2ED8cSZ6URVrw3amGnzTiZZ1PR28CxqM+zKaVknn
dmOEU9rjfGIWhA+2f8QiVgSt7PrnYspV5KtWBBWmF9LFXncknOWT0pZDeSAy8XlzY+3aUoNZyf9N
9rMUUS7AzveFZj9nKy45ivbiLWm/cyotjvYrs/8gKdoCSCVwDKLEPOmu6PkhRwqv/G6maqdQzgO4
NKKcZdPTNN+oJXsCNtHvamlPm5Ic7y51pE5aum6qB7cgXGJCInrRSVde9d5f92L11W9NDc1da6/T
HzEwydQFeV/8PAzFYiaGl6VZ210/4z5RaCr3a0YEgeSzQPmF9g/Kx6TZaTXfdaLf4dCX8tWDx47u
apWvDjefsNTQn3mZ/v2S3frEMcocJYCUEKvD+DK243eWyeRO9pxl0PWd6bUZxXzXZPkaaGv/7ad/
p7h8E5wYpGsHEIlh7YzW+8ojfq8tLj7gTu/eSeVjChdYgoNYgym8iVllOJqbhfbWTonBPNgZPyQ5
kDbAw2bbwWABHLgBS/yNces6T1LvZ+ZQhN5K80uIm2oOe71RRzrg59e8U32YcyD8Nae5eGtGRR7U
S9RxcLzxQ5t9+aArCjNvOXvnDgvHz1TZmPgFs/gPScvixfVH6+o2unbUC+oGUJN5M6F8sb65yBwd
U8hLl1AQOWq8ewznfvyOiW+3LDHXTQac1sw7kKh0ZQQmmOqs06x/W7jkGM3Mf0Hr+Vfr+dNDa1YT
6YgF+Uvg/GyNhYmyqfUh1lr/nmqa+ICngzg80YjhJ0lVn4dyGZ2wnX2OV65BIS5MYIr8VhSNlI+O
4TF1t7HyEbPQuVh3C38QEE6ewzkFEK/Jnq+Gtr8vUtXep/AFrqNvxQfSpDXlCqV5MLXOem+NrqB4
vuCdXTF5cvXh5/VH5tyrPnTvVcxQFKT37bXVJUms2ZuZEE8IwpfVkFyTF3uVJSH08mvErR4yE4pv
mQLqJ8rx+xYDDX1Z8vIBZTQHxuzNsZ6EFuTWkOwTFw8pi6p/X9m8Fo1KvjEwOmygpLRM9T04+BDF
A/+MOhk2DrogyTTvVTf59NUMrUmX0Namdrd3peJnvScLMkPolPx9NpoouzhJ13tr8pjJmV/AEDEI
1KQEhx1I3R7yop5Ze7Q+cyNNskGkvmlNq2+zcsomvoAX3myp7c2iGiPtgouGFYOW4+vVB2P2zn7M
tCaZL11ZEYnNYutnkXSBBEyr0/ZcKJURTyEMQtefvkzdnT83+R+SodhH7bxvyisYNRFOXu3qp3zJ
Viuioc9OH43SNa5NrJm9txGarocYFeox6qvS7tlNgD+Tjhpdi2qVdZhf6bJd4yf6jcYhFB6u3cwz
XPbNVnPom5kEO5KxdN+GrjdMZHmCSFP89fvSYQuDxej77l0jitTelO/ydeXWw27ar+JNJuvkvpHM
ARdR4EuYOOuOxamsDU4bi2wcPoi+orygcXP/fbILo7swpnkZDP6GsG/cfILlqNY7a9RtbzfX3nD0
spoi+EbFmv5K/aDQKaKqtPZg4NpeQiAHXWDza3mhYYcrsw6xOnIp3H3X7N7+HO1R3YlpFOZeZonR
MI4tWove6QT+ezbWKTpEWz1Qy6EFzJpuzmmyg4OxBzHTnBJsOqHO/TQJQcgqAH1oelu/VPu+FadV
c+INCY+126YD9yJGkNSmp2AqdkspvXvEbdYIewGdOKQTCLWFc4Z3tKxmLt+mPp6LHeQjnOB+n+Z5
NDH+KIcd0kfFQLRWlFuBjEGszJ2yzYJiNvqOyZ1ukeL7azD3cC1Mm1qm2BW7ahgvKS9Dcf61qviM
VuKpwE4d509MbTby/UT7AtfoGhaG5vrlV0mN0BLUhtF+EwZ0zKtR1EkVOEba/Nhrol9FS9PyxuUf
e/TpcW635l8nfHMzxWt//fH5X68801N883HcZNfGohslGiZBZrHiVXPdurnsKxgPN7833nvr5sK3
RsMNU5LnRPpqN/ECmUBoiXqDhZky5o6W59FdXew9yVROB4kFD3t/RaMV36sRGPH7mVHHz1z7OTFp
5tUueICQ5y/wqXyCUk7TjrkuausLzbmiiPQ7UavqrNdDvlWYcQLEgd2aNuqZU7LJm6byP1xPqn4z
9/FAR/EScbRzUs4W5StntMuKbtCZBbIxRXUHS5+7UJAbDsggjEHdztUD7ybArX55F2QHyRwtD24N
Cj4rkdA5gqhADOZv5pEcf2v11rITn6lL3qdLam1zR/wa6vVmqtUfFALGdzewWDQsncq35E6feowL
cKAd1OvTjAiCo9SJz41jPsmOhF12A1MlsREWNjcku6rQJWpjUwBrSldUj5Rmnxr0J0fjMG1VsCCl
dQWXbBrI6YZut2sz+B+LW8HR02nSW7EYU5Tlm8+rzSaLQ/OZ4vcWrwqKep1Q0ylYxphPRe48qkhL
Ku8NBGVVBa3OjTCfNT3IgR419WJEPYkp3KSSFbEiGnDp6hVeOE2sb1BfeD+Mpi/PTVu1z/Zoy0u6
JC+y5XCIi/PVR6Gd4sC3J1qarYL3d9Pkiy3vvNj1yAgatkPJZxtTDc28utkUgMaCtahvmX99vkc0
GI9rzSiS40+2U4rAchLPG1svT+4wPdg35E9u31trs0cxPghNqyMqlkjPaeIecawLpprzhZTdQxyb
rAOFS+eir2baiAY83WXnP9LFFzP8nABtwFRjYHqmIyIjj6pf6WvIN6Bsm20BUyOoVnBHrVV8rXnv
bqt5rp7gGbabppmNYIoXY8e4TwtQgk8D/I5dlWOiszQu/htHcXRs+wRAd7pyIucKRABsIfE6JEl+
3/pInmmndonWYDYtnVNyI8Anxs32X0YCdfBQZ/mbZclwUm2yRwZE0aKvrDz6uYfCh9P6lVnp9AlG
BxFNNR0KZfYmmrQ4VWbxC1Ze+jiXxsdcV2Bhe1tEgBkYm01av3O6JKLfctu0K6Wtnu1sjJrdSYsf
MWTPkdYW0763xnXX5Obwx3fjbwy3KFKVXMJWMhjEM/taMEA+4CT37nAlIsKtaXkuKyi5t+K+EJP8
AafsvIUFSm82qdmNrxvrNysTOTQ8S58OrJyztDttWyK/0DnTb5I2gxGXzu8xG9Uwp/XZEiVKR/LJ
Peod6z7F7NS4BrY1vdg2jORUEStcF+j8veZ6Vytj4Kys5dObuTSTH+cCkN9At9IgfVhXV09fGVx7
ab3l1wqxuMdYMs4z9Agv/3QlFBLGscy8jAGHjk3REoDBKQCe/cTY6LsUHYcKWsAQGXNCHMt6SY3K
OxA/fxGWO7PhYyPEg8MoQqM1HuCmu7NI0beLvUf9EEE9W7/ysU+xOwuuDz8FDURd5f8G7CJYy1ei
rqzS8J2q7jkfGCpBYdr7uoiohd8OmkL1FsdFOveGz2+9p7XpsNQmJfVp/CCNkdT4U+3k10JwOGp9
K0RmO8FWubNMNYaE2++NpBF7qRYMNKb8crsyxKN+odcxfm/G+o1EU7RkHQfFiXF7q7lh38Xxb7Bt
22wsl+fONphHLo+d5yFree5R77q7lJbzqBrKQLjFLy7CodekP5rK9Y0PRwXVxI+mDvmNpqttFk/H
pTRtDlumv6O4hhO6U1/z2c63uFOWoy6JzngkrMgAe++z1bznHTFI/NYWdUu5RTzams9zp/EaR39L
dlQFvWskcqMM+2JzKZFAcq6Gk10du3zxMOCnOYlcQXvyiiDFNWTkrjV++Tlt1r5M/YiSzTu7xKFt
uN1LrdKj6sCU4e82OfwVreg3tHb87m19NxKC2JQJBIUaXtU1hgpSGvlr4rY7M2lwEaoHX6tPvQ6J
Lpv2JNdC1JK9mam7vG6cU08xJ0i1nJ45nSYmLnQlafbsaEmMenXF+B+zbOh2SBhVXb+kHn3FpCkf
unKSUb2I7dpbRzUUf/LRuCvIlXLFgbIHFJ7MKtlSreJTX8JCK70bfTyfv/SZNFuNnB0B8bJ/mQXO
oTFNMwBkpLdxINFXltcu12v4DczrjG0nZvCBiTs9+oBsDuOko43rMMtR1yWmodG1q5Cczhm4pH7X
E1vCrmWsMRw8QFRLoCvbTjOwAIuSVG/heWeg0+p1fTIkD5qfgk1CZfFpys2qg57G1w6TzXUq6Zez
MYj4t1h5OTHXathi1tF+LO3ilRRVHaR4dfcghDbEhNnKuc7R0fpgre25a60ASxWvsTNKEeiUhwZk
rNBQU3A14zRerc606Eh2xf0wwO2E5MZkr2gCd7DbcyU971zm7a2beHogbbBbGYVzlyi6UCsGi6bv
0TtSM1jspn4+KbO7o7jxla2NOlss+0bHWSkrNQsTq+7si1rxIZgs+aDMybxvR2kHvP0jCcf4nCd6
BIRqz+WE0STKUEELG43e0A2bL8RpZg250gONplVr9QTsuO6g3Il8focKlFxoVDvUqnxlJ8KvBqBS
1i9NOeHwhceI0M85e7PEsfdtea1Nb7qjjCHCKmP/mYj6Uj5a5Wemk/4lYRx6TLPWzDcjZ0KCJrb1
7Zic40DP/RQ+2yXOExlKePZL6PYenXYLctQCtQhfrk8rd+PdTYzMztKjDvH/own/jCZ4QJn/93Tv
c/rnP3af8utfObm3r/lnGEEQ5SWtazE6xCEGXkHnr/6ZRhC6848byZs/t3z+zrqhtf87jgAo1wCX
rhELBupv3TIC/xXz5RuCVNMM372VjMCct/8vMV/935oeMHGQdDQ0CzFcp4Cckop/TSM0/azjlS0f
IApOtyla7v2qZGc/mNKF5NjaeVw1V0vPlP+M77iPCQu2/rPW2dP32pQLpwBOYUeEOhSqvvTKNxMw
A+GAhhgPsHvzbYTlp+1M7jshctX6WDtrgbmIJG4KekW44tzetnJinkP2Miit/cWpxht3qzFPagsS
pG8vmcASzFC0xFTU2R4o10obH5wiHm7KVev98jMyvXAJmaEFmYtcwVi5HpnbkyKj2jkjLBo4XKgm
bC9TjzE3ja3IAfKFaRMEm0l7yXgDynh+GVO3WHXcbjLQl5umNUFSwOO0CD1o8e+e2RswcKNACFxz
K00ikq11HHLy8jf+4vE43zhesMMWqCXb3qHcmhHgRGbSLnAiBpjSkCfUCHktEsU8Pjeasu7U4MLf
alsMzUwqRut2SfBTtels7kUbcC4oKTpKan4wrXSJhOZx2jGVL98KZJw5nKTVvk1NUZo0DpBjiByO
vxREd3mmR2uDYoy+OSKzu8QH7wiYgrsy4sbjeD/R4IoVJccOt0zpjRfpdcW8F2WdLgEVuAZL9cqE
H0k5YUzF/RrHWEcYtzVrMDmoUzkObuqJ+wit3Jg2ntRcyi6KgeoUj8wVmL4cX9grN9CMSxE+Qr4K
qUDt9Q7zzaZzRg4fE/LZuZxyfHcoT9yjB81tZFTKdn6EN5kcpa2x/zKbYT/nHLB6UQ85A/BYjibN
QXDi0Pj/i9o/FzXd4jH/31e1c/b159/R37ev+K81zf2HSY7Q9lk5uIV7fxeu/17T9H8QryIyx7+A
hEWX3P+sad4/INzf+N50FOnuv8G/mQ1qjqYzMQM6oNMP8X9gd5nWvyas0FPQWPh++F0tOnKQkP91
TYO6yqwEklvXm269dYUDQbqgzUoEMbEnGNe4N+qNMVUglgXsP/KeNMDc+7bf2BuLK7yz9cypA30V
x3JLNzmmHlUlPIloe8RIGRET1HHXAgoAUXIQIgxPH+EaOwhxIIB4ToaEq4sws24HIwZHbo+5ELiB
KGofB9B4w20lnvgzx7HL3GVI5KlOOy58Q7lOR23igroxWxdtbih15Bm3H3HSSEP4p8k2zDdAwgiC
qk11ZtNJ/uzFpfwDX9Y9eKJyhw1khkhOgHRmenoX8g5QrRyl1owLRJw/dVpTPU8Z5QZwHbzpQxWl
cRwLjM0bJx8aEsCxO/5K4OGAq5yXYiD26FgaseqKIVbT1/4PlMrxZXaFbZ+wp1jbgSMkOgQ8Robk
NXIaa9eCXA0GyHty+5pQLVAfRBQhze4Rxdf8rHpYErhvc+1oL0v9iQqHT19SknyuyFMNm5RZ7ttc
Dlm1g4nNkXLJdA/fnZtYLq1r5sg9nFaXUA3G8JGDAj6RkIXbTlrUW2FTus39OjXgl2u5UsvDhSLf
5Y1LkrXpGfjk9vQYr8o7JejWH63+n+ydyXLcWP6dX6WiN94YFcDFHOG/F0Bmcp4HidwgSIrEPF3g
Ynodr7zwzm/QL+YPqepqkVJJrn33oqIVVSKYSAz3nt853zHhdmeDRwC681JK+iKv9/CAp0xvmNzb
4szOY+O89VPXDO3Zx2MMCUFeOAgT9gaCYH9i5kb+mQEBGzW76N36eODD3fQWvfEE1c21cpYNHFPu
pMC+JCzevmhNHVtRfoQTeHZnvTqT/1TN0AmRjrK+Cl0HkSgAruhcjI1fppsIXubt5PnLl4EY3RWA
HGxLZW2TMYf8jaNYjCWYIY93pdnIFBhsmRbmdWSn1WvVzfUXfB7MOEi7OmulQ1LiIZ2zC82pYRLL
WUjMn5k1icOC18lhhABDFzEFOmcmOlZ1NDeaBHZV4NFBnrDnT346gNaiDGuuQt0oq0+zF4s6FC2O
gR2bjfhuTRfKXWwI97bE91DvGnvindtM2vxgLDUDPT3OGy3IddmcA+lHumSUxPet8269gPEEao6a
Yqp+7WTxHme9Q0XjOs/HbW7bznAGIcIs0L9ciWKTG6xKhla13gZXZ5HsyCtVxxVb5GHnrTOqrdv6
S4GZysko/oV9AgmYyLTPVo8a5kBXLm+uNidyEujU+N6uzs83Q88EXHzXnFsyx0r73PP21dAXaiYu
zLxd+sIVaa7drI1Qv8XaM5QAwHQC3RgNrsO2u67lbJwhILh0gvfDFFQ+EchQzyU1fEi805uMW+ZQ
5VIA97JFiUjWAjJlYFEohBLQ5WFTVXhBqA4gyNlDL4/ZwWnaU5awX6paAataz3WfIm67cM6I2VDS
jbRmk1ABswDCmn5EugOgWi3JuJToOE7d7MDc1rfI0Ka9na2u6Y5NaWRvDmLCRQao0QrLFuWXEilQ
Bte+iJMnLxI8fQJ7sTuCQphnXHwdhlsEzUCw/Hroefvv+tpr1GWfCOu8nXlOX3lODifeZzw2r1kB
AnaD1UW7ng0OxkxXku7BUJOhc3pMQUjHymOnG+e1basaLwjC6+cpyAS59bSEIMbie+kzSnL/MEw+
KnyEEzHgW6NfGROZzc3mjPqLN8yaC/Vv9ttrOFjsEYGQL/dFMeifUSV5uA6R8usbIGtt2nOj5U12
MY69OV+UGiOrXUFuMN0Qg8dM2GcuVexdsZSg6+BDXMhIW1vDzBrEGM3mXpVemVod16wFu5QZVofJ
Oyy6IZtPFzvCITph6jlrusrxAHNP4pFFTM6kqM/s+hjzd3PfzPAPyHzYzbAzNbPjzNSth5HMHPp1
s7hIowwFyRIN9zVKeGB0k6sfuawxV6NwQZzWnfv8qPHz+kH6iQ5PEs/tSZVO2AaSLkVC9iJP3M4M
zMvDjOfW2Tx38XJZLd4oD8g55tgsEZ2xpaNNcg/kyFmyzqdrVpXQXVh7i2l9nI+Rd8IOR9BN2TNC
OtLdKfWHkJ039sllkSOGqMrScQ7n3aXGF1kAqeCRNjdZBjmfhCx+S2z4h/9Zt/2xblubVP963Rb+
8//2r799+W/QylL5+m08nqXYn8s3wRLN8tiVQlgFSuOb/Ks/lm/e7yzCLDoyfR4Jxp4h9eeWVP/d
tXRBSt4SrrAYhf+5JbVYDwr2kfxVAx4Na7u/s3yz971jdUHhSbVnAUC+wimGKYr4GiEIYcPF+jYg
jyA9RQW5J1VGcX87RbHfpyFJMEfd8pzVmcjNjaPJB0fPqvRRkRsX112sGKsy02oxxmxGP+4z78vU
gmeJdkmDmf3LWJq+UmdwCKvPSyQzCocTBtqnWBvlTdtLXKGkI6rLAV/jM6GxAphrlHzyEpdn9GBZ
nn8E42WmcyVbO6nWnmjGJcYyvfmYz/2AXzmpgg4eAHUHGJbT09wqYeV5laFuB7VkNByQXQBoPZYT
RpWxzq8oeJVHUEfMVzLQA4YEaVjmhpOCp3dm1mDe1obGkkIYMlXnMWrRoWtbJbBTKI1RsL6CoI32
4/yWVIa4ghzHunbhYfFotahuTDfi4dTTxggyiN/z+0Y5O7R1++vYw+m4ZHa7MRywfXA3Uno75rIm
JdZ3OFpDtycRfS9UmjanaWPCfcZMIyACGTCnvB13valCq4jHT4qgQX4y54nVbPXetO6L1qVGoTZi
XFuyqXlJjWAERgIsORw7+Ataf2Z6Wts/Y8HJ3M+mmWLFadpEa8JmlomzsWvF7hdPyuwHdI7Pasv8
y152TizzLjQaM4d0SdSiBGmoexXGLwMcCnUK6WpEbhhUQD4Il86Iz30SElT+FSYGJ+Sa/lbDBVyu
SHSGp02v18u5ZmXzLS+kqCROMunWi8vzDf0xGWoiuIURxyeJn+BrtkuaajeKXXUbuJD+u4NslRmD
xaow5WNvzTjnTDrykKGsuuBLX5VgxtARI2aA6Wj0ihAZ7jDDgQ2pqgfpFYI1HvqJwyJL4Hcil+/f
A5QkuWkYUXQ0xj4+2Fhj0UuEXXkUcwu+s0AWhF6YtnBRMIruUHwdjMBfxsLnoit8bKRhWiVq5h3P
giYokj5yTywizfHOchf/ElFieWrg6eBU0SOfHXidABmo09RxaYuwpkdPE9O1IXX3qWOptqKL4rUF
JWfAvxuVzht4Nk3C3QNB8qfM8BfspSrx71OWum3oiamyQyvmZ7TN0H3OtLK6GtwiXme0HaJ4K4p2
U5dj+hxPqQXQyxvHYBzkdFgMnYY4262+Tc+2TOhsbrwccnaatzGTuO/ATfp3WpKV9/yX7mVDVi3Z
uoPqb3JEBiL7GXnvjNwW5AGCySs7oSgrHPVWrJhJ+sNDZjoJVCoGqhOntaBZZkwa8Wa0or6uzLUE
XnYWagah6dYJ5nzsP8U0Aiyh3fVMPwojL/g+5rY418gXExnL+u4lX1yd3pHYITTdWiIPh2Jxzkli
xeNOgmTXj7qyQw1XmuzDiEz2UwkaTNsyb5Gscqw+OxFGWdB+xqS8CGaZAlzCHU9mQsTwOxyyRw/6
2PXPJu3o+IkNZZ0vVj9IOoUWCiV1aNUjJnK9vFuMDANuZ2PuPYpj2Z/mmqY/F35F+8SksO5uGMeW
VxzUypi0VrRR2bXhXggYzJ9E5NlcdEhOJ13jOs/1jH0pUC1/DxYU1Awy2cl510bNTQs0qg1qxtt3
8aD31wBBzZOJVgUyByInPeqmYITcMlGf03IED1tBK2tx7KZttyM/Zj8USFjZUdRqEZ4iLSqvYOcC
1WRKRH2DSVQcC3yrt1jEnKbeUKegnbfk7+pNTJLrpjRTahbYNMgbMoGScJoNrJTPTfUSuuHCZq8C
3018xIBX4mWtLM9st8wflPSq+1YrJX0R3TDqmKkdnZxYTHxuaxtZetr0PLFwE/IswtpYo5mZIK66
gPKx+BlOZ5UEVpe4LoYETb7ksmSV5yoX44gvs+J1KhOKA2lrjM5LveVZulAcwGRbjZfMnyirUDW/
NV0cxAmCKcELT4EBTRwjYARJxm7F5zsMY5pgIcHGWNZvXBdOUuQdALOTPduvjF4TSFj5m2gc9WCC
QsUPYXdULWG68UlgOrZ5a6GgONSRxPj5ac0RZx0GK1IfHv6BIGMpcEfQ0rzmSolSmpES84sf1ePa
F1sln2PcabflpJNAiKy6uy/SOT/K2Q+qQDCeSoMsb6PncmzxB4jOLB/Gwp7dA8OqwRUou+GymlJH
3VNmj3CXLS5FKP3sJlQykLN66bsE26vpsMwlduGBi87zZtqV1P9hAjA6drJZI4H68f9t4NAeiBC2
pxK+YtUBYWDM5icHmYY31/actN1Elkb2dUVJXlQmTq2wI82obSSfeUXm6ONhX+UmznmTR3qgSlww
UMTwhYNU422IkYztaM9TlNkJJBK220hBJ43TI854izfZHHfh9+kwwi1Bz47IDXA8A4BdqMj67HZS
HhcKDooBV5AcLBiS7LCxIv5j04rqdusZPRzoUh/LgW1Kv0wHgCN746D3XKs7U0BAKDLwG/POyFrt
Fb9Wdjs6mGPY7hR8sl5Mq9JuiTVOYEW0qBq9WZknBtka0ki+L5IDWAbabVkO3AwTNnFOVVUU5mZs
EmRbRd78EWqcoHnNFPZTlC/EZ8qeH4BJORfPcSOBEYh0ZFjPORdXERzQt8rNsmtCtu6rbKqpZ+8R
5W+kSKDCM5Fk/NYUy3SC/VG+ob+rF/aEBBxG9tiX7M5wZrCoIWS7LMQ6OO09jklsw8tp3In8xbMW
LQ4Hs6NDTQnuuQh3qr/zY4YCoekY2Xlfk43gbHpcPkPkFS94fvGU423rx62YLIAUnpE0T103suUd
kcZfCL/lp31bmPe8+9zshOsfB1pcLoS39zpJsddM/L1+IvNquhpXUcVf5RXwQCgt6Sq6mKJhxYQt
o6vCWHYtpvdVpml89s6BNJPpwtjrODZPP9zKe33HIQ2ekMWdRyKIewlIeezvVGI0/kGt9f0J2BO6
TexVPyqkREpKuYZMnjUoTFnFPdrsZScFzZp1o2MsmMz20tScEBPCd4RiJSIYlLLOhrt0L2oBOclA
mq5SF91sOYvRVQGTOQuIDY89hDH+PJ50q1qm8aRseWqimVFfhZzWOhU8PWckYh3idM+qA5A34hOW
YG4N5SsYjXt5zlqVOrkX7WRlNEfTquS5vZTX8V7eI4qL1Mfo3Ltp9wJgshcDa0tLHO6rVSSMp4aO
vb10yHc93jEG8N/8vbTo72VGcy85WpaiNLtalUh7L0rS/INAia1JHLurahnPMwV27apl4urPbuy9
wOmtWifWSWRPIJTZYYEUCh4dUXR2NOdI70Xxaq6aqSJdrh/mq5I6rZpq1Ar/xNkLrf1edOWNToxV
j1ERcKGjy8ZQYfGsrmqtMWUIt5Quaa9Z47BCaNoCBHvuSSKNRBGSZBdbqL80pMza2p27isKjQfbG
XrViMiTIxpXmLKfsuWNUwL2wTPsgDjN/LzgXe/EZ8iUImr0kjdSCPN2sSrUUCtHa2AvYtkhZ9Pt7
YTsfYkTusvV4c/z9PfVF81rd9PL1tT97av7HSn5+qVmOp1ig/+f7P3Zf/xy/1pun/undH7YElPr5
Sr3K+fq1UwV/lR/0x3/5//svf4MIx0+5nZvX//rHS60gCPDTYhL03256hcnO8a93yzf//F/1b7d1
+c///RtNJb9dyn/+n+olbd7tm/c/4uvYY8XKCYM1xjpdcNfZxr+2zQ7/hjkDu2a2zGId5v459DB+
d5j8MtBwMMfY7J75V38McjX9d9zC7LP5n7dvGxHW35vlsgP/psLXNdkv457niYxmLyy88e/3zYUl
JlZW8OlTK/THHodntXRTiJHgUC9SeDQRPWrh2Gc878nX4JsvWV0HyNfm8QA+rdiUuVve6VPcXtps
pogMxfPyOLcDxnqeC7eWE/ci+OacX37d1v9GT+VlzTC1+689Lfv9bw2nzzN0B1Ie/zTsDyXIOQsF
9ioPaMg5Et5gGKCZ45n4d95l9JxBmwPyVV1ZZoTlrpRRfMEkp33zhDDP2NVZx2YnpntNh0NXTI7L
Sq31jJMpHzF5UBo4PgwlDwi+aN3alvoyb6EYOKcGJ5HhR1poL9RFjq96OjTXI6bBna1MnFnQh8+0
GCDOkAzrc5541ulcU4MwrPVK2JIRUxkAYQ3y4qV7s/OIdWZa2xh6NMITTFbqr3fg14v/Byfq/VDL
011i+Vx3UAgZbHkM/t9/u73wvcJdz5NLVa3unydqNS4T190KF2C2gZfm61fzH2T7PzBVfHOVrs+o
P54o508lT5TbJ9pDq/eejv1f+foksHRQ67bJhBGpzBXOesl+FdCE/7sJON3wPYHuyRPh308Cbnef
TqO9tua5rmVgU/33s8AwfncdzBmMLLluHX7I35HQ1m6ifwtomEpcAJguTyTcxPAv7Q8PAjqNRUwR
LuvvOMqmbRZBGcSJP8UH35yVH1yS6yX3/jighrka10mw7+Dgf39Jzv5qcogUftmsoUghM0f1YsFX
+SRc1sM/P9b3nwmDCicbddCxGD5/EAUJM9DMUI8AXyeCfqpUHpgHLAM/P8r6sPn4ieihtrHX2NxE
tFC/kx6J8PslSH4+0ayJK7trK+x0Ik0ucg9De+B1evmLz/XdOWTtC2DfWy8Wy7DXF8S3YmcOH95r
JQMuaiCQvIqUkE6CDXYts4mnr8r4Xz5DfnWwDyex1WcocmYHVMHwyNkWojbvcvLp6ablob/7+bn8
7hvzV3AqYDybgRNWpfV19fJ0Tb0rrwHjvye9rlfKxvfGXFW7Yu5abeLRlr84yg8+kjDJWwA5xEpl
f3wskhfGMpewTvOgHJ3kqdkfSDqjQ9Cj1i+ewD/6QPTwsMfAQowIu/4q33wggymqmqcRw3Hf0OzJ
h8FyZ4+/uKl+dBSLll4eFiZPGPfDzUs00i4Ip629RpZxkCs8n0ZkZ8c//3LWpdD7K51vhzcJDjIa
1x3H/fDtCM0tUfRzsmAk+4jPdqTyPU5ik/QHpY2SRoUnmzSoEnb7FEsNaSNXVWscACtJyKzCsJS3
YuJuD5njU6AZUatHdGGoirOZfRqskT6iIxAJNSYRMvWOfeA4+aQAKBAZCCJXh6EtRyN+A5JOGQn+
/roI7SHzn5zCbdHm2L8vpFPL7ton9twepelCIBX6uvsQo7Kqr6+7v7w51k/87t7njHCh6nzB62rO
+eAa4WlAXkOzWH/PuYfUMMOf8N26uKpln187g6sFRa8M4jEkKANbS/2Ln38nP/jmmaKYhqWzWFwv
sPfXV98N+AfJbQWTruEOgKOI0jRqv7iKf3DDmC5OG4NPaxpg7d8fJaZfY4B/jLOkVXMoBmGfmL0+
bIgROC8//0DfPU15pOnYslaTIaUk1noNfnPDZPRFp9iLC1BAsvpCmIUe+8rGRhA4yEE3lR0J+/zn
h/zBObR07k7TXL0/pMreH1JrprROPQ5pGLyRFBF4yiG8+ReviY9HEbprWczBsGiauDv1D0cBoAWZ
3ojWe5TxzEbZaUfzqDsO3ubvfZw11QgFUl9fSGK9LN5/HJlDWE2I6qJlO8mxAW8vQCWabv7+Ub4u
GDyTTYi1fo/ffE/1VK0aGV0nnj/h0FNNtjE9uj7/9lGEp/t8MRzF5Ap8f5RyNKy+EqpEtgRrT4Mz
WZCh0C5/fpT11H97FwtjpV7aYEjwgfKPD2cs80FuxSlSGJnJ5ipda8eJHM5fjPKLUCTQqkRsf35E
Kkw+HpM1G5Y3XnXrYelye//JgIjG9ugg1Iyl1Jyw0ytkggQKhtp6DbjNIxhHzidrGOgyFhHm/ZAn
DXNwxwZXsJSNsgJDL0RxyOyiV9tBNzqs+w7iQpDJVpXb1DJH/I7k6eEZqHJ+7nyqGCg6EcTT8lrm
b0s7FtZmcHopNh6hWRrqIOdOAGT7Tm7o3o6LYzu3EqI+TTYQGTAXDwh/JrQLyH8k06rFtYiu0a1w
Q3uD9Rh3fEE7RQYKWnAMcyyYfHM8lAJpCQyqLMeQSsJIIrK03etMmnUJmaw5eEbHfXKpcbHkUDBN
TnPipamHEy3cI/JNkXyGKeAsW1BrWUahRYuqXxBtU9vOS0poeIkBG2NmUEnkQ5oG2FYVj+BjK95j
j8VkOHlYD16j78phsim+WFBbKIqW+pm3WO7ziqhq73xdeW6Q9aMVm/CyKreuQ2lUGRHPuHLUcqz7
1IjjcKZD55NIkrXejo6Pifce6JIwnQ0bp3/Vws+Li2kkq1d2WIkJ4ae4GIC9YRMbK6/bCOVh/I+g
bGab2h8msvKdmVShj3vixeQiKAgCD85zD/pivAeYFj0RXsTh02vc2gSXvPnaB4j4ZcoNvMWqLFvm
xZmlPTeOvqDemyIN+671qC9zDEAgQATiowYKJ/G1LCkXeh/x/N6h+qBOe1pqfO6dLnnU5kavw8YX
zUNLbCWizKx3KUPJxtHNd0ynmiRsQajh+hblaIWtMcXMdbNVvMK9pSC85sM8ZDtLacNjXw168+jm
5Mm22oCevcsKtgYHamkAdGpOQSam7QZT22lURlRB2S14U7RszMQBlspBBL6uuY8YlzoVEPVaBkYe
Mde5n5vmdaEn+AarzGn7L1aqifmkKyNTO/LsliqJVi9iIp6+3hc7yA/LJefdyD4htxj6C4VKRX83
yxoKLMOSIgtFo+F0maPZ/RxPVeRs4qHJbkptTk1y/w0nlqKVdqXFgx4MsnKI9Z2tAxggK56j2xJm
bNw3p8T4wjkzreylcwsac4Ya7HpAgs9Mjz2/7bPTVilUEitxhua507oyi4OK+QEFk4OTLIc2d3zz
BYEyBewXj9LZzGqZcJVTkNpczf6YVECZShiXozPT/zjYia1AqBWI3JWyoIclLeTkTTuX7Z0hyIhi
K2zK6sSfBg8l1F/ceGub5FMDOcSsgWurScszUiGiO0sg2ZcEdCx3jK0DJjOjY286NrSM1uq0BrwV
+sOqkqJaUPbOmc7zY9/yIcrEbPWAefRL/TgPsTgCHzipSx45SbcTgzQYnFZJY2MA87LIlg+da6q+
x1Ks2MiQYbcxM9GR5AC6zg8TQA5Lfp95uRGH0zilF8NQZGTlmsxaah2AWRbHPuCtnBRbMGA/NPoT
XPsxwfhiKZ7gQ2Ve4DZSTdumEf6tH/PWDKCWUuQ6Qmy9n7zV2Y6rIibjy5Su2tVjgfl/tPD/hbK0
NBlabBP8gNkQ3aLWvmeUgT6do53BSIikD9uFQ6LMttyofXvpuEjcSljmFWSRnOoWxj4pIK8Zpk50
hhVvyLZNns52yGgSC2W6QM0MvCGDYzU5mp5u9aHLmA3DfQtsc7Th3/SYII5Sj4YeinBhvYViNP1L
yliWZtPi7bJ5yxs8sxtShTf9ZINs152YbQy1ue104NgR1j8lrJ7ndJO3U+g0jX6lEZKPGKeuJg8u
tfiSSHt5wY4chcomfHHDzyDiuFqK11Yv+pZO6Pbm2YxNsga/Z4LehRTuJcbR0oGG2RnUF91wpmCl
mdpYfq5hwkeQ8pzitW9brAQVTF12qktEDpeHDok4s/aiZ81zZ4br7CRMyHsuQjSwkuaZCleo9CBo
aIkzsl7tpnRo9aPeMJhdQr8czvCnVOKg79J4YDfiRevNQoXPatyG9OH2erPRMyluiTSwh6T2OxkC
2cZsJbrSscg3zIvz1PDqZIyli1QPE03Uj2VN0D9YMIYcIY7XlNN07ISQBBVPa/Td5V5zWY3vBPH5
MUyZI51wc9B7lelVc2ZlLl4HqXRgOouIwFMkeks/bt14Zh5OsiQWZ/Z2fKeyDlpKWY2yDfWJ6d0r
7udB3vFr0nggSxwPXECwyD4vyew0Jz3pCHWSdn3ZgK4CoLVVUhHtVhVg+UeLv6Y2RteS6zI6g3Q4
sKplBE2iqE8eqN2yw6zVRXyjJstOtmaJ5TDE9kqYzI6KXD/rqAXpAG44IFdrT4ND0rS5qI89IHwu
sZtW5bD6W03RguXX+m5JqO07mingG06rvIYA6fHgIfQrrDnb1pE/24+MGHJLhxpi5wADJO/kneu3
c3qvdKulahqeI+WjLaabc3AfzFdDpk9SP/U7t514h1egJK/suG3kc5TUjsTEEQGawlxol1DWkxUO
xIOZ7s7OmD3m343APMCzxTj0qXG7Y4QVMfPSHAKLS0en+xasKA4RO/K1IkQtZuJE0RWRGLAExApb
i/61QEul3R1nmJYqrDmCZHCiSKoS4HcqXqisncxbgr+Kltep0rnBaRsxDivL8nGtawOVHyUlvxSQ
jDozMVvLx2HTJuN44NUmz9C0ZTe4rRyC1Rs2yTVrmLSOh2PbRwkP0olF2ZxoNh0VlT/iuUX/O4fB
HWXbgWWLDKaF99aByussDbPJrd9mHrMeYdokvnOh8XJN8qSITjzTlc6Oex8lHH8o+QHedOQBB0eQ
skEoaiGngODeGNhT7hLcxuZmYZJKDhaYZrpt8M1yfotWuwc0xT3iFYXBS84u4P7zbqCvtqCB+8CS
UDHM1X+x9ZN5MLf1uDq8Btuc71U3aBcdQSsHE4KkooMvDRx/S6nbtnecSN8OkYgYzkWIBhOjb2E/
MFxzhtspmSbtQCcKSeCYArMZbJONg5fJXPbJzOnpTW0GeKc5VBEPq0vl8VgzGQAemyM4wNACUXjA
dL0m04CBvQNWsPq17QKfyyqz+3eZLPDdgepLiZVPqf45w4Hhhy6vUtafkxTlTquUi+IQ1eaNBZ1f
HsWWyTywkwZdxgwf2NS7ZWEytiSXtPrfXKrEapASHKhO7NvCyepny43G7KCNSQwcSJ6okATypScW
ZmsO3HzfmzzQwOg6mNSGzoVynvEONPKp2JqKwruwKkR7vKQTaSUg4sYtloIGF+2SV09D71acn37y
9y9iSHe5aFcz82Qh1klJIAubL+Zilgit+UW10iVznBZAaY2kNKDDq7r5LEdMZuAxFxySaUUkFLoz
rV6w0BYbM5me8Cpi+58De3O97kqZXOQbMai10qFKjGxTdITHAiYcpIRtp7PuQYnFPsPkrDgZ2NuA
eesaHWi1NUzsXup0vvr5Vsr8qBiwkTIYxTAIWsdstvdhj6jjrRyNBdCg1rPoOcYXniZ46XCfn9ax
jGgQTXrNPyDEYi0bQtstJpp8mS8XqJKs5RmH5LuZMeG8SapisQ/gvVPDYTlNX18Wum1U19bQDV6Y
sGNbdt7a7HdEo6h46GutGrYLNNHoiq12nAKzq7CDm7XjYDTFBXprUItyROYZc5enmvie9jHAV4tJ
CcJcpIZ+kOGTdg60KNJ8oI8WYaBSEjp4+Pk5+v4UYY51GBvi3HVRVz6IKkmbNFFcYb7DWGrcMUGO
DoF6r2CSMtPvCryStz8/4EfBCJ2Q3isyWy5NaML8OKAb5szV85kMDF6X4mXRZLlh08E6uQao8guN
4AfHstCMTLwuLgdcQ2ffKhEg+Ya+sIC82pJxXdvSSEchbHy0OHn1i23795t2nMdMCW3HZgCpiw8a
jl9FaUeJIZ0BXvPZh9p6NlNp8Itz9/1BiOpa+zkRn4kP9P7zUDWPUXeYWJgkKnsrwalfyhIn7M+/
oR8dhfEgAynuGfJuH/Sb0pNsbdjkBIlfDIdGmqehodNH8POjGN9/OevPR1JxPTCvpJDffxjbwZlq
d8QH1i+p3nYIyFBhyTkTZO+kDapD6V17GaW4Ve7ySdOGm4yt3LJly96Tt5tnS5zyZmqdo1kZs3uU
4BB2wwh+qb/5+e/6ozNC1tpDA2SkZpgfzrvpNxpG7PW8u/212VAKwUDW/cU05YcHgTZKnxtzPTTB
9+fDGPxB9A3eHadbiyOmFE8N+brGm3+hTH934kEP8l7jQJik6KL7oC+BmxzoTIxbqoT6nrROQi4w
bT2NkPDY/mrO/P3BGG6uo7Z1BIHh/8MtmCwK4cpevbwA3rdLoXVhobx7KWr9F1/Sd1Idzy8Lf79B
pIDp+8cHi7CkmzKSUgEXrwqsuR4BTFARlCZ1fBY5K+BK+frfve3Xh6bAaIAyzQjH/nAuCTcr0XkM
D9KyiTYWDsGdsLia99fff0bn/7C4C/7aU7N5LesX+dSnL3+2NP5Wv/3Wg0kIaRitv7XnrD/p60Dd
NH5ndMcMigU2iB7eMv8aqBvid8wzZFVsk5wjQ1JGzH8wEuzfTZ5DNnNnAr8Ghi++yX9Za4AkWLaP
EOx4TMN10xZ/Z5zOLfZxNsSYzGTYb6z/49G3xpq/fS8NXjXQ5IJhFJ7rSD8qyOeSRVdKU9FbrXeQ
dLt5HzQ1y6Klgm00oo0uhXggqMIKznBolAjKws/I9eksezeRdJKjofeBopUwGemxKAG8H/g8gS+h
PLZPDtLSTbJ6treYP9cEGwO2BT0Y/GMg4fWZwWA2+pFt0/zKQs9BGyAJXzshoopHQzo6Jc0ZGSLN
4GOkw6s+iU8aBjYT7ElR3AF1qqn/MSExQI+NqW42h2nRyC8uMjlS49D3oPUIPGB9XpyXJImmB046
cdk6d3Lqb6u6+IKHPYcUXsP6U3rGNqzPHcBhCFNwbM3VaCRpDytC6Y31vK3mjiQ1O+XoLjXT6oUh
2KIOB9tb0QspQYZA7/rilvKgSAs0K1UIE51WPSprmR0iKoY4wL5Hee40N9VOTj39uqDqxhtACs28
xmFY5lfu2H5qTV82uM3YK7NwZhXFNNKs4m0fGewhfZyJMyjYRS9C0U8YHNvRp1egEozFrDzDqOwt
afHoWXVpbJCkOI5bDBAlSQNclAJGYtDkVgyxS1uswz71mzeyF+D1yjwdpqOWtpnqEAZYuuz8GfE1
XBCj+4CZUo283Utb7NJOKzgjIlM3iC40meuoRrfYKOxHgKcFmLe89+7tIemGA1Fn5n0ddQQMLM/p
A3J2+skii+yVHqzhfmC75HFlRAuUcPZeV0ltWV9cNbRGkKaxrpDuEYoJZA+0uCj02mxLcb3MAqGU
5wQGpivninxIS2qbIl8tOsKojx8rzNMx7c/yrtDXFHHs+psSkCWxzcijerLUG/MAWo722PbTfK5T
Lr5EB0ZTJdWhIxviRkXUZ8fSjH2HwbA+6/0ZS25Wd51aYnQ4PGgo9CImvjC4Y0rVc7SXCqKvusFa
v6eftl8VhWkvL8i91DDsZQckWCQIOo+QI4q9NOF81SmavWgx7wUMfy9m1HthY9mLHCjNCB7RXvxo
9kKIsRdF/L1A0u7FkmYvnJCPRERBvEFQcfbiilbNtvgM5MmK4YVXKaCgvTDT7UUaSoQL/W5AP1zC
YS/nFMJPy3vVOmI81/fyj9pLQRVlB8VJNU45vt5GtY1PCSYemutibe/eTT5PoGu9FBOqx9hE7YHO
CGU8bxrlDrRmVAKjeq4ATQYoIBRvDsobze3YgYu7sVoowqReMkIFVRbJCzDcKYcxSL9T29WbBC4I
/MZbRRyt2yBrOs8UUwBc1c2FhvC4SOHeZdlY3MN8d0Z0dzkBX9RsGS6ynL3TmVBukLm9rYflWBj9
kVF1/as15KV3xmgB+AmscstazWmTdgElkkkTPDyr3wGBN9XTnFjLTZSlePV47lKyMxV+k54BrLKi
rTOQ877W0VXg/9WedeWOgJ12VJQAfJkE3X+eD8AqxLGLGSjqbdqdI2cc32KxEDePBu5msJDEf1KT
rxSa4KodoDOKG95PCKt2lqbXaS7FFObVEsOd0SnOChHQB2QRuqgBuzOSvcq7uXtZUk99tvKkeUnd
TFe70Z4oC4o9KG0BZuayQdhMk+mhFSbZqXhCqz40cwcOPhFLIFHKSflN4r5wCfmMadFd+dUawIXw
metBgbGVNpQ55WRpSicWQJ0vm1+raucLroHOOkiVxRQsby3QjcInjqAxWHDDKhZIob4q6oves/08
p/ev9WdiIEmZE0rzkFH+H3tn1hwns2XtX0QHkIy3RY1SSdZkW/INYVkyMyQJyfTrvwe9p+Oz9bqt
6PuOc27OWCUqydy591rPotc1BdEQlFW5h78QyMMwmOUF9mbykXieTnxd1H3x2YMOo+jW22y6YWx6
N2Xh+Q3tsEnQ3w0NYUYJw4THvh3EU+nPNv+ZZ8knx2PAvxvnmi4GzeGuvaMTLs/u4pFdYlmVN/ED
2rid6M+m4bbkdYb2Gep5RwcX4bbGYvBUJ7l/D+xeYQeAeTBfWTIprjNZxT8bLIk+vqZkeWiSvhsP
rcXCO3JFJMcgDtI1ENLS1UOM8UFvs0nTVFOcOfj4fWsCaGkNEsuAGJqDaHWIoCVfvyoU8DW3J++z
ee+4ic/ioEGXb5Dv4sRLgTYOO+wwZUmfLphv06qcn9qOjXqXFjTNtmHfCBaXY8CkCUjJRRxadRLH
NnF0EMlS7X+eRKplZM/+gEfDEH0asXLFsTGAXUTEqfT1JhYaa2Cag10DQ92YpImbPcF/AL9ouNgE
xkW9vSjoZOMk220mzYHQGyi+jJuGjsA6Utz9w+SaWGb6XAYPQID5/fQ4h3clfFFYI3mWP5eczHWE
0ZM+cBWTfNbZeAqjGWvc50EuItgUY9l9Yk2Y3/LW7QB7w3FgLMLTeKaicQ2E+v1Ews1YPSPCIitq
7OyRRyzacF3GwnhIiT55ZHoTvpQ2MU5rCVAQASMSvoTbkscR+YjqODbT4JR7iu+Dda51z2Du+Qm1
pZmy+aZHQ4GcyYV1PzED7rgG1cTuWIZ7H/DOjFtYEHhoDNwp6bab2q46+2WNAVRVlvEKu9QDKwH0
2tkjfSScKQlGko8da2V6jlb4OJCS8ElPdJzXaU8Gxjxs1Cc7KYsgyjmuM1wkub6J/bjtD5MkehiD
P8UVZN2kDnd2VlZmVCTsTYSjxu1OkN0gMBRZVbvVGO6ynSMF//U4A9kc1bBw1zuapE4ppimN90kB
cBN3RSBh25P3ux09HvRhSZa4vl4ySBiDEtVwYGa4/BQKSQ3esiyYdm47xtW5m8gvWdfeckY7I1/c
KTO+IuhOHpIZL9km6MfwWdYNA032yPmVKUOswQ/I9imeDJLDxsUQZ0XKISib2VHOhn8zg6bZLd+F
wp2ygcSHAEAxdWWNBlirKWnBEWgLyivDeDqaaJ+ljrKJzSQCHewCaFEqvxQTA4Bdm7XxhekOLUQ8
NfS3NeXsy5hUElpn1lX3nSrbb+Ew5S8Jbc5iaw5+xQh4ENm3doREvNLW6886redXTAfyJh+zGDjX
YoYPyg+LixVx+Z3yNeb3s0bcdoavbqE0Tioi3c7HWqZk/iVzM+unjcnkHrXochyNquEbQyL5NphG
dacNC2WG1dAlI7qnzH44WLeoy7okfCYrIvk6+6X73dcJk60JZ++zXJQqI13M4bkXHvVVnMYp441Q
BU8VK+VqonkM3RCCYb7qX/sqqrGK0N037RLp6CKD8+jP1QL5moDKbdgYI/CzypfPXtuOEPgLdBKb
Xmn5kIByPFb0yzGGJFNwo1AgaVBjSreEgS7h/QxyPIuI6JtPFlt+smGmOn5lTzOxak4lDlJ6k00S
QfcinXASHUmFyB1ctUMVZXy1iyFgRu9lZbHzK4X/sMOtgjF1lv2rhNjzzTEIcYxotjOkGAm+wZNn
446JcZz98BrPfKDbGUgM5xhxYOQu/ueZnifmWvLvmj3s8eW4QHymWCgbSMEi6Yw4isn7mXeuC45n
g+Qgo+EWm6o5SndxyBYgCyvB3If/akervw+Pfa4EBXObY3ZbfOrpSOUFUjyX4XYexbNDBAz1sfEQ
dzG4E8tw5AX/k/hLy0wIqhl1lrFlKol31CqCROwSWskOOX1M2o8qXDxmMUY54hH0Bu8rfYLOQoMx
yIzpLRV7NDCZA+4c1BzuQ5U3r9M0eOEuRrRkQvpXDiXrHHKyGJ7Iv/eskmojBdEIG9kP5rfJGLkB
DqnsPHaHNfoPmHKPOcDkQ3cZM5VHfmd5YxWZi/vbEJDOtBoJCg1h5va2thGghH2w69eg2rTCzQDA
Bh/rZQM7stpyA3NQRa4huIuZM/bByGDmkezaPiG7w9THuAm1u4vtEvPZUrtk6dqJaXecjUyPILI5
XCAlIbx1VEEhYnTSll66JwimmrdDDAaJzbfqWEZ9actjYFYAgRq3J8maJiwiSAcnHpBwGKzMVN/C
jd00MdItGeKVPHTzhG7BInZ0n+cOfkOXqCNuHckcotF1jNbelPai1bXhomk54LOsrlbXq73Pk8Bq
onYyYjyt2HcLuE4zgphyILJ4r2t07kSfW2W3KzzmSRgOYU3dlyIvSQc1Eq6kPp6P5MhwhWOKsHhm
XSNhGPmhWgqcrVPTkA04iMqrT31QMjdN6oKrUD7MHOgmxBxqcYbaeutysgim9lNdHyhmugfDKwiP
jpkDYAEuJTJGp7Ckty0Jy9ZbJlrudbhUAnFqMhp3U0Vpe+gUYQp4znQRXpF7NK/prYwuOXDD8CVX
GHGj1l/vw5Zpy3iPKsuDScTYZb4oUEplxxJf9+e2LLRxkJ4MAZwCubEv7NQMk8+Ye3tzJ7NihI0/
lyUFLOw+gNGllXX4Sk1wRks34/HzJ0U4ZphwDOGCz8KGvBWW1l55xFPxcHFE7xPsclz9SECytl1p
lcaWK2Ebb4mhpTug9DAQMZvSBjwAbCjji1R0DKK7qizkEdhDnp7IOEhW4ROBtdfxWKr8uAQJuRR2
FWcwkSuTBM2aOi/doYOf+xNjpKaOOjQ6OJOBHHE1Z7yf7gOLeeCKt+n6G8pskJS2F7b2SwzpVO4R
RNXVdZI4C6gpvM7t9ZQKTkqLPCbQXi6hcEeJ9Mba8QWLZs9ARokdyi0u+tCZerUrui6WuJlm92du
jot18Nfjfcv4JxRE/NKt3iB7cYNPmrs63n7M68t2WloCU3vshtkpdGdHb5N2nrKdscx2tndGIlCi
wWb133aDjZi+KBls7mWQ+2QqhmbcHBwT0JsmFJJikBCgllHaIHQ3nuBH+aCN5GySqITJFWche0R5
GzZSZQ8x+gBgkWi3sDG5iJkYLFvL4t8NC5fNcyhK/FvzWHTTfpjZ4mc5qPxiZFWX0WhLIu/IDo7j
By0HyGnU0hqs2KJbgjNoHw+Kazqdkx0LCskSISnAHquZDjBxGS0Y56pFk0333iFFgDs8stC28vr0
aOfoFIhH6yX89TXhb9ul+LPJZarD/LmQjfEY+MjYLmTTodim59dMhFWsZQgU4b4/K0HHnBMVl8Wh
nxOSiJdWj/LgCQjjEW5gcieEHGorWh15CdU2ftndiK2XgeVi54Q29xD1Iq+dPCQ1RaW7Ewc8nF4U
PMq7a6Fk5neEvVkte/siq4NfiNbaE2SgJzLHs9reWssA46MRPMo111icjWCCloHvkHmGBHXBqNoW
6g45Tf59rBN4CJKYEA0qVFH6KiI5Kryg9By2niy7ayLU/Ru8cxUC16HU34LeUodlYtoIpKM0vN2k
FgW+gG/c7IgCpiRMG9b6SLbBPeNDxPMxik1nO9slCdjeEsgHz2xCkv9Gqzc3tB/rmXCkVVuEw6EO
wOxZgMOdbClvaA/0xJBhgDvRemuILmxyLyF6M6+egmlC5wOVrL/OlqZCrMdF9zFTQfglHJBdbEhZ
sM0oRlf/jayP4nm2ZogjbR5geY+NmVFjOWTDBfQfaAWFzXNeDXDEwhay4i7LQBunuKPKWW7tKgy/
lUZvwUSxPKoVi2KLoyRf1bHKb7oXXn5DbUNftfPFMKD3+Koy7genOUymL1pXyI6lpxS3xgR4qBcV
w8hse0PAp86veJlWAOE8TP14XUqd6fKQNaqjkGpMbs4CGU2aeFsPJH85ATvwuLcdsCFM6tizSsZr
ult58lDFE6XFjWJ0Ja47wwoHI8FT5BRECYSV7Pemp116tSSJdvKesdcC9oeGkrdDv1GMP3Sw2BaO
cyAFidqmyjQo3OOs5RpZ68msHyxyprD6i8nTCHkLiOZAfpCV7puZMLB50zm6BSXUpbZ0jL3jAfGL
UnRN2X5QmaE5AVCEHktfkLw3tI0nL7gLDsvOKbjApRuh6YofoMi4gTpAz1is7/Dew+GuTMwqOIIQ
cB1+bC/x7+oCSOBrh2KTClWVmlvl5Zj5bnOgMWByhanaxOXk4YKcsl0Ucgz0D9AIw3hlSsXNTjFQ
QUznN4xxVtwr2TRiM46Q1PCXtdXcPse5muNvvQ0o46GISfTCzW7G3BIAXHiol6CjkwUAH6dmVvdI
QZ12D24Cwz9abHJaX+yMkZaLgC+dvHuf+PgsCgERgaF0+jDD+J45Q/4pYWk0dxxIMRqtSuUSBrbV
9jtnKduLXCTzZ5SDU34YAtH0Ofxf/9pUa4M396EPOIazHLn6twQx2YZ2I3646kSMrtdeaEP3hJGk
E1AJ6AHlqznH7atsMutLb+V0etAZmPVOtA7lYdZ6qWRznXJ5SPoiT7cEEC2EzhdZXW+V0ftnX/bK
uihliCRhlEEMScJy4CpNAnXLIRCZ5WySRFInW9zD2cUMOd93RpBVm7Frx/5CLLqENsHzpoZtC9RH
TMItUmxDcOtcy6zORtdLN4n2kNk+hpZMX4y8dMkCnQvjXqZN2DAMkJW9m+kwkR9Y8GKf6qlJbwab
/yc02iCYaBMBvxjbEWDJ2PTZjobm5N7UdoO5nPZ/kGxUIgj0KNKxfGmQF3/plnAEcl4GkvRdI500
+woBhbzacfbTogvKn+CnpIpWyp1oAthTRwg27CLUSE0w/GgFGMMN3TIMb0GMBnCXk8X0CExf8geX
g31HbOI0bK1+tn5wTUv2mV8Wd8AZ0hEeR2oQ4uK1n4OG7A6QYK5PxnJvd9wd7HW2gto8D7amDAAU
dX2cbljN3MYnRIBTtMjF/9ZMo4v7ObHV6+Brr9+25lDczr7ZJ7tg8Vlmg0lcCXGtsEFXmcxupsV+
53BBIdENFOZrT4l4RzuEpwOmhSTccMYByaaGHWQwOvfGgMKJnm+B7Yr+mTc5onrIsz3TYT1v0J6R
7F0azfgVorHHHUM6y1XIJLQiFHWhwDSQyNtYI3JujWNK629bcfwVu6woaXcUuQq+4z2Cx9KYsvrZ
EHLwOogEUAlNIrBDbBRnI3bXFAaFOXOToivkKIPOaWyqKiieHKphgkGahG7/aMzjQ8zoJT2FpZGQ
kFVlU7C1rTaHJ2/449UUAgaly+nkr9yjMpen2wTnqshHY1eTJbeFmOrZkSI6aDrZSJHbCPhU9tOt
TQ9hW18zrnGlS3/FAbjqXuejhQ41J2CRPaUsHPLdHK9FU06XxNopdr/0QumkoUSGKbhpChKhViYW
CtyWvdHcLK1hPUClGUwiEzKSdMIq6OINqmDhbCSebXIG6NcVa4eGcZBH8pMkTc6g8cGl1yNSXJhf
gj4Ol31F5uetUGbLKsoX8qWgI2UvWD3RYttj0OOKaAau47QxHPNCSdn+CKd2+mzxJjlgSKzuWurK
biPfa4zbclnxWLnfMNFOup6ply7t+EE5VgyQIxHWHAlInxBlQ4Yg15SEwa2cGu2QHoTtk152h/oq
oe/rH9E/e3ATQco9hlgzYToMwjtCJx3lPsCK0kWm3ba0crwZWkpP4gd5Gaa277m5+RdxQom865zc
nbZmLEmZVqRdcjcGtL1EuVcvXiRaofKnbmn6n3k7kLNtVmTEEWNW4XXruz7c2ubaAKYNwyAoCBp9
18slNC5hUIlrlNKor1dg1SNSS/N25P7VHxzpqOzc8f3OLanCyLN1vHxxGDvJiKNOmPR7avnTAQmn
I3O0qTI6jPuISHwrvRuqrvkOg7QttrPZdl/asEEDbsqy+fF/w/n/8CFXU9X/PJ0/QEp+/f7rDN5a
/wf/DOEN/78YZzkmWEikGOgVA5Rl/431dt9CBwRCF1xv5qoJ+e+kAvu/UFF4WC380ERSscqo/jOF
9/8Z3UOMxDpJv9gX/7shPCP2/2/sAgoY8n/EDRuBYIgo3Vx1K7+Y1PJ+SgjBSa9QxqrvUznUtI3Y
3F/zfuEmbmaVc+NyMBIHS4WFlajyh+YyI+Tp2Q2wTJ0KRgj1BwqWVSzy/jvhFcWz7/NPNIu/f6eq
qtFiTwSYzbO8JyjefZIQIsOt58TFtxB80ecQktSj62rrI6Xc7zLAfx4HxnG8bkhnLPe9GZnsFyMe
/PyqlrmxT8LaPY9ctbHyZOYNh2f6/MtCufnnb/oV0/Gnj7PZedBmoJjzxTurv6gm9G1lfhU4JR4Y
UhSrH3mb1d/ioGm3FIX+y98/73cV0j9/3q+f906FBMnMU5rPI4Qq3QWFKU9s6uYhILfqfyUI+s8n
2TxA6inbRXr6+2+YMo5r5qW4MsqaksgoqlOO/PkDa++fFooNEAKzNXwI7Le/f4jR5aH2uox0dd0c
8FRZP1WbqTPZQuXJjvv2mRnxuFWl95E58Xfhyn/+OugyJioZbgPBu+fYFUiqYdRfcToGELdrB4Z1
MSZ3weIGd/Wkh0uGrwPQdc+4i/Om9Td//x1XYcz7NwSE9rpEnZVt8e4N4Z43F67J5xcN7SqVjYdk
hFP49w/5w+K0EK0hU4V+urJRfn+6hRv0eb/GTQaZ+0ObNBWoMfLbqSjSK1uq/ubvH2eti/3dH2U5
vjC5wTp8qPXu82yi23GCJlc55MdLNUnjscns7KYxRXwb2Mb0FM5Vd4CnDa1CF2a3hydQYr4Y6bv8
/av84TVZBaz8g9dS/OvnHeqBXTNOrnpiAqJeYgFlwgOoEYjzB8/4D58kVvABqip8ruw5vz9jrYyi
rmL/jOQxeRRTlp/WXvp+bPP8+Pe/6e1lePd4cVWvRnzhoHl8L3esWnYyPxfnzMwswkOq7psvi+AZ
oPWiL0Y/8b74cZrLCHVS8T02NC2SOZfjt79/jT+8OQ7nDX9p4JDfI969OZObubX0rLMt9Qr97fw5
kql2ruRSyB0goeVqtpLqyzKX1akqne7y7x//hzWNrxydIucKUrb3zu9qSXN/EALZexEc7Tns96Ds
/W1ezGofW3XygYT4Tw8dRSw6U1gkVAXr4f/r8apDJ12lp2fH8tqASnkdlKIwoc4tWl8/joiMzioN
9NfMCCy0TbX4qnBzfbBd/Omh//ot3q0yNnrapNI+o+2SnxAMg+/NY0H/yPZuTbczb+HsDoe5CeWh
F2H6wcr7w2a1kjdcT7DoiEJ6t0t7NfBYesLnfqqWi6K33aOF/TH74G/8w5vkcLTRuPTRuLMz/v6k
kY0ghpEWlzQSAmN3wPqWMlvurLr/APLxTrH9tvs7iB/Bc1OhuWuuym8/KtDcwaD6PodQJKH/pfMq
ZEtTNMRiwBwdp4m6Ik1hPGX2bG9rzCZnNyeadlPTvnpAedNcu+iJrieCedY4UPWhtHndKt+96zDL
cH0g5gTB9d7NEADGA/U5nS2p5vOoOmdnYc69QRriHeYkne5oZyavcYMf7u/vl7Uu6N8/GZeJA2uJ
myZn49t//ks9SbqSMbSGd4ktuPgUYygj1sjR6I+87mC6JW4xfybCIfeJyKxxuvAdqlPtkfDge6rG
fWsG4wdVwh9eQrBQoOWAJDC2oPn1++8l1lA4qAaXA93VPWkB+iqpsvAeqbK99Ziw3Cnf1yRMzsN2
sUZrn2l3+PLBc/n34YYdAgyETz0Lp4Gq/bc1k6ftEuKWvyS8prtqML2c7QSCLcJ/KKquX98xcHUO
U57bF5MzEEpTi/rGawje+uCL/Ps9eXsSaHh5GEAX3r2NuZ7EAN/4Mq66/CX2XMY27nSyipq0+2Fm
LjKjDKQHp9qjYIL0U4pYPDoq1AQKiuWU4jHa1IOjroNxdj56s/6wepDGv92UbMrG928WhMyKBygu
sUZyOw81CTAaf8PJ1pO+aqvvsbmgVFsIXwRBEu9mdtwI/mhzGRNZ2WIAG+bvHzyv9UB6t6BBhMD+
4tBEEu2/e16J009GMZuXuM0IXRR+RfpNBvxBoj6LEinLuznsFNPm7ntq05rkTh+e4qFB46SSVHxQ
mfxpLfN1kNqz1SFbfk9ikWOHMs4Xl0ilkwP9Qc/aqInOJzKtnmj1Xj44SP7vpoFxgCPra0Nw1vz9
kfx7c7HY9tzAQiXODui8e5107zp+N9qXJv46MDA0khD+m8yVWwH+efbUabS6pwLWy/HvH/ynzQWP
AepFn9p3va/+/hJltaPN0idIvu7aI7j7jDDSxt/7Lr0SUo2tb9YUqFfyTNmQCzOLT1NYnvw8QL3D
49lWVdh/sLf8+1m4FBEhPhJXULa+31rK2phiteSXWdMs301lsVQXIhmY6SdOFwkaSaT8UOIdvVjp
7d8fx7/PVZeoiXU34VGgoH9nlDHS0QG5jLMYz/9dj1H3gBeyeP77h1h//BTCyBD8w9MEe/f7M3ez
Hjnvkl4u/txco1EdcF8bINgVIyXR+86eYal/yIFcExc7OWgMJLl/fiqmbanF8tT0DtHPddAmu79/
sz88eo4aM1xZaBz679F1JZJCT/HFeDr2cWqs6rpywgxgFgbeoEbhMDdxDRc8/mAr/91fs57+uJKo
X1mJJng58e6xF70IUugSF8TuBCVNxgDovFyH1buUkVq2LUdk/zQ6E1p5f/+L3651v+9F3HXXCoca
ngP2/Z/cr7FxmCkvFYOms2hXZTxK8sjNrS9dUwxR71ntDvb9bTK03uU4KnfvGnO3N7hO0MRVzOba
KotKN+7vfaf9tM5YbhfLVVdVOyCcGJIfytQPmtStizlHrlQjf42U6oydx7/8oFb4dy3ur9wizkOq
BQq2deX9Uir4KiODTPsXdru+H/CaYQ+msTgolx7lTthLcvv35/fvpbx+YMCS4QISQLX5/QNZLvgu
HO9iYvi9S3TQ7ouirT84YP/wV/FWAjsEL7XecN59CKHY2BRy96IyrPhm8J0q3rTIcaPZssqZpLvU
uP/7X/XvA92n0AvhdeMsYz9+94LWxYh4CmNIP7fZNuymYVemlrc33Nr+4E+jVOEJ/boA6VFR8tIu
5HfjD3zD3/3yk7V1qScANTvyOtCdM+IkkaxLzPorynKUT0E2MAbyMN18tSU7F4EXa6qZP4qhPnlr
2Jk9WpS86FCA547I9I/dWzLaMrWp3uk1MM2CW1dt8zrwDqUfTpgmOsLVdLNUr8aEEfIeu2OxRI6W
Me3vlUM+qrI4DwI2edd2cwqFAmK59QYvZ3oKyBxdDqAQYpXKHwqtP8KyONUjSjUI6JKfS3PnZUqw
RyVG219NlbsL39DpTVeWP3ok8GeyQkkXrgMBZj1rOjPmwF3x6+TgFTf+G5Tdk/DZefnVz3Zlthdv
+PbsDeWuS13+7N4A76mYvddmpb5zQzV/dvVk34o3KHz6BohPbMt6rt+w8cYbQp54cu973niA5YeV
Me9UFvKv5g09H49mflkXTnELXqUD5+I7xgNNAGD1cYmKapPj7Z8uSVRFu6De4PZQfQHdJ+ixNkjC
ch4eU5JNL3VzynVYM9cFj4+TRnzu35j5DI9DVrAkC26Hmx6iPjrS3NuXqfqKz6UeGNSu5P08Tdp2
174R+W2Ro6uaSfXKsCKsvP5qRfeL1FQX5orzxz7fj1vBQQna/Y34j6IF+r+ZzbOLpwg1MqAKAgIa
5svZliARcgN6sxyWqERLtwVhgh/Bdut0JC9rxkDGZIr0gU4E47F7yyQgxJF8AphCZBW4a2xBpQak
j95bmkGxBhs4cWWkBwW26wJxJENqa8ZUFKE8IQamkGs6Qmt2ZbKLcbWTu/2WoIBQAWl4JtZkBf0W
srDGLbg5I7qornvWVveWyIBHAgfRPzkNpktmAwqart8J5cwn0ZHnQFllyw37T/ys3ZTUga5OUIBU
aw6Etn31ha1xIrhjnsRDhUb7Me3aaRVaTeLFe4uUcNPWuVPQNfxt3DeZRsc+T/OGxbms/aoa1bSe
Zvd+NB3jKUBb1u80mSKIGr1yvIQVVrqHIePWvFH90BZH/EJhdpGlgDY2aPKhyxgYihYGaL7hY44q
5h+kayA4aauyxviSNNYhG4mV3Eh/qZIN4S5ZuE2aRZrIR9Pa3aACdvSlk8MOPGBIoEAP7aatD2Mz
CTR8qGQJ8VVk3XOMhUyepR8gmSirSiPvmHuINYiecOPUSTE8e/ngmxucr+k3f3EFU+lZlOY+xGFy
dkZzOYQTTuoNksr4KQ6rApYRdIxPkpIwRdNTWd4mCVIHknQ4ttuxBpxyshpXHCe8dCsyx8yC3TIb
CI1wjqnLRhJREzX8yMMuC8z4GUx3LnENmkGxTVTXEE7ZEmV3tBvZP8VBkPfktSXjnbvaaaI2zgY4
BzzIhLZAEH+p4RqN5Pc2rYPHhWE61g0yttAMaEZzqhUUUOUC7mKTSdShKKYgRlBrmQ1GpM7zqx0H
ZvgDSZvl7KAEBf6O4JIqOBezxKs0Q/ElvKm0KPnxJQzkfkgCt1onpRCiNf4DZY59QWBK8AAGtwg3
FiuSWS/5hdXBihdb7RSeehJdC0wwkaVld+95ma8gedAm2PRWkAuaZWQf7coWPdDGl2uZnWW2/pzp
wi0ia2zqnJ53Tl2irXq+Xipj+SwCjIdRMtgwafKG3JhQj8ZPP3PcGYa6R5Cm506AbFfQKZpLCu0I
IbCzIInqBiSeBpwZUHbNrSc6BXt8CsevJoqEJ9dW9hVPyrU3Xhrkn/kBhjvY4uY9rgJDREFVD3NU
JbWJMKxqnHwXeDmj4FhMHbK80ErrvQ3T8D7kTkseEPpeIIMit89MS5enkKRkrNIkV2uc+aFFzIlr
LeYmUNIk0gPxircZBqQZ29nhZInGMRYvwKWyK5HXZBdiP3Ll0TWW9N52hPza4RZ7Hsxm+jEReejt
vNSoPvs6ZiPKVfjF8JzxGllIILB5kWCwqzvUUuCLE4DrWTXgaCrn1pX7PhvNW6Aj6HhISuSXCf3J
9SIlHYImsqSzSEThjb1pAhurad+X4zELRf7VdgbrlYZsfIOCmUrEMyfvronZ0KIW7SPTNSrtc5nz
y20dtWT+geJ+1aOMC2cl4PQ42ZKZ1P4c0f/oI3vvgA7HtjTErqBEkJX1He7dgUXZbKVG2HGB3WV8
DMcOPxNKN788wcvPH9s8LIYt75XuT7NreepyRoHyQJykuzNaLdJDSdLqSsIKc5TshKx8LqwB6U3a
xt4n02hLJADVmveaTyaoDK/yAx1VQZWz6PVsnSldaNvnxkS27zgb7N3QUhUAGiNWGFGnEfE5gxs4
XgDNUPMtjtKRr9xwOMmpqC+WnHLCYsP7lI2MVl5db9BHixMHwt4KX76YekEIVZqJpsUO1QSflNNk
5cYUCVs6Wi+B5L8q2i0lERzfthZzsS1yb3gqsAecRoQ1wPeEQN46DZZxV5PGTQIl0q8XcFL9HEH3
CfU+KB0fAh0amTiqRaXvuHMv+ZYPL2GAabf60cHAGIkdUwCFx9mdxSkpQ+9YtxBnNsxXHUS6c+n+
SJc4ue4XT/7ADVogo691cetUvvHciDAZaKjUTrXtCC9RKxuAHpDlIJMm1rRt2XDC/F6gNr+GTpIw
06Jq51DQvcL6GuNFQDpSmhcmd5LlAjnuSIJy404FdKI01Kd4lDXu4ZrA+c3oxoZzZbH/UBnOXCtu
HMcazEiQir6mwoZxOm4nVtRAFhHcqF1BkJy9sRuW5maCbge5T9M936Xhor94TUxlMbSZpJXGUGpX
eq567FqLEMzE95N8r3wv/ZqZynvxyK2rIwJgJoCbU2a/ONofb6EgrsFWNlF0K73Oux3ildBXVEmx
OqwrM9iImicYxQHVNLGsI7FLwTJLE8FeYlEWBcJ9TI0sPc+JF9yDVJnvZxqvINlSxz0ZtQw5RVnw
Pgi1WGa7ABWWi+9vgFgGfC3b+oQMfXXmYn51FdkS234Q7sPUpdNDiMkiw3UUsP+BSsOK45sy/pQy
vRkR5+g+vmtdhdKMrF6CHO2VYxeNYiG/LOkCZPBEC4XWfi2vrwxqBRlNeb2ePY0abv1xTr9VRAVu
+3BxrgLb7XbSKvv0QEXPnjKOXYBNhVyOayMch2UftyGs0YJ/55vdNAqY+mTiosrZfq9chOxwPM2q
PeWm08ljO87Vbek2/oFNhpTpHDrksktij0ZAbKfglZzGiV/j1KzuZOmnO4k1U296uIYY0nAbjJFg
+xyjLjMqLyJGsMWib6Bh3C8VeM+9U45o3GyzKBYKXR3+BO0miY4FaljgpSZyezOHZC9dhYVjJ3sZ
OvjV6qB3UDToBXbTvMTufV0O5Wcix+NuX3DkOxE6M0Jv09xAtI9XuroMYpI6IoWn0YpojrovOQJg
MA1YEWgc85tsPSvonil3QzMKuzGp9/3c0/gZpOA3KWf0PbjLHP+xQb6GOcxbqgcTyzVlGoZmgpcH
2tE7E1DAV5mN1hXj4+XbFEzFF6C+ArqcTlUkcfPcEUmJ5K4ZOn3wpsIHNSuXlvJnHuaDR9s0Poqh
exiaPDwIWEJWlBUUWwehbARllF7iChct9wQf/+JRZm5w5rx1QP5lpk+JTUahphbKhwqyHMON5g6P
1vBQO4npbbhOL1gYx4JkSacZnuaynu8qFlW5rcMeS5sx6QbfbFv33pHtNab0my2ziJa8bC8Zw2Ch
DGk38+vPEhsLcuzpRRG0SAiJ001XS8Ifs5NdNzzB20nA81qJ/TLNScGKngQGhXaOecCij+8RTsMz
T7q5uGYiXf70FwwHCJ8Xh3RofP07QK05JGALLfhFlqPg3qIDxQIGUiGwosRuOxBLLfb2KADhN2yM
cmppJoZT7wHxxdWBZ9iFFJqm5nx2TEezoobYLfZxHcMYXUriLN02T15pafmIIF0PuWPZG9OjR96g
c/BHM/5ZWoN9csUc0/liP3pahxLXKVaH7MSvMO7Y38EmpDYRK6Hi1e7K/8femSxHjmzb9V80xzX0
zTQCQPRsg8lmAiOZSfSdwwEH8PVake/a1X2SSWZPM5lpUoOqzCIZjID72WfvtYf63k8riuHFamfq
TI9n9ZykTMB7r7/VTVvB5F7W/yihTvxBbSfiVwwlY/qViUGnUL5rTTcMMgwd+KBvpdbBrd/aV00x
btxb6zWMy5X2z5SpJmTIUT/r34pssRjg/jCEqBmlIvDeG/7NZYE//ERdq/FQJbw0m+Zv9Tb1qMHb
MPKQiLtB4jWc/hZ1d25GaTd1etobfqWl56hm4R1jCax/8NRrV1zvQFzXvxXgC21q9qZ3Kkg0WHHA
zgUOKb6tRc9qtfWKW5V4TSxxirXaaY7O37Jx4YzcmLEvU0JODgiIm5vZXLOHJnOmi+ggnEVuO694
denK/LBN0QwR2guGWD3Q2vtUpAGg4t6nBL3Q6UNfecZD2xhzZkry9Mu7FHj3tpW8FamrtvCv4m+9
unFrWv8r2Px/is1/M10kt/+9Ue4jr78+v9Sff7fK/f0r/+TVWP/Qb0AYdE0KVtgTI+//swDG+Qcr
M0x01CcD4mKX/C+nnGY4tCsjyQbUvNBjAkXrX1Y5zaSU2bTRxW6o91uD1H/JK+fTuPyf5C+XzTKl
LIHh+Tzy/leHClRWnziAAntCA+S4X9oxkc0zvuRpSC6UNhTaLhN5YVyKZHDj3rBa4KeGuAJ1CTZD
0oOl9lz2i33RkhvPVXsIZl2ccm5zYSM70Ku5bjwtnv/qBM7JQ6vZkcchok+QOCB5DEreZ4CvNbGe
SGRMe4VJPB0D5xu+SBt63XD1WuXH4zj/0nVQ5kz3mfbIZ68Fcev1EFg6e2m+LX2sDoutG3vhEqm3
s7U5FHz7+44/8tzZfjpGCvrsyWw1d2cmtrFpktbEbuuw2kh1tQFdkoVER99sQ94EjJPl1ph0dG5G
oy82lV9iMh67eu/bCWwNe3kgI8Vp1Tx6wqdnFEK5lWfjySPAS6sr6BeQ7Rmwyx9r1kFd0OSWlhtI
usYOuIt+aDmB5FHopXvOR8P57CcFmIfP6nbW7WcKNLSDok12BzuWh7/yg6ipm4qidCp6vILhbXRG
LxbGAuBGAR5BkeTRb+Z5PK/Td03O+7Ezl+6+X2Bm6XUR3DGPuaGPNyYCZAErYkhe4EosW7dDMuQW
5bgbrc2YyrLhgWRpd5CaxR5Vz4Z7YoYg8ckJnzSN0Yx4fL81LJkeCk2ibDSpcQU03bQbsljyW4Bm
jFU+GG9rPdmnxc2sD5ZZ2q4uRL3PeP0OvhzpRx1zsomc9chYnWy4K9oJZ3NimyF8uTPxUUh1Jer/
Bg0yLo0s7ze6Usu+C/QOBEeBjXhbBjr7gm5aryqn5NqX7YDS7zmPNTPY3sNKFoIndaIu68qTvwwo
Lqz7dpxMvIYuuYOtM1Ted+vP7Ztf1PW+9JeaDMBsHuzZKq6INNSMrnCBSyKijLKMgRmxgFPApvJA
DRA4SX7qOx+TKVU8NuBY1dG3fUN6ajFNjvZZtTp2aO6uQ1ing3I3FVPiLhFV+7kohU3F0fRdPxKV
2pirctlS+/q0tcjrbBTtkfjkk/RsCbkezKxXvK990MzD4kCPzBlc7ImgjzZZ39mkfRlLsPOahUhB
MSjtV4B8ErYymAk3tcFny5rxRbMz+5k3zso7xSvDwSnnR4Y+Jyawr28yTw7f6WprR71IpydRrtrW
EflrU7MUcxrC/GCjsJVnc4X2P2VnBQ+egGZtxZ22GsQ2LRE7RM2jmZpgGET6kKE0WJn309NIuQuC
xj55xfKY1qCuGIbzx8aZdxMEGMFBtxN1ux80p76bhXvsZC3Oga3vEWSbZ281ux1vgzuMxs8AMD5b
UwzAE8ReubIIiRbcXrDpYzED7bK26ZM92V+rkzqULttULJKkarlzlc+GRl/LhnzNnS+MN2+23V90
9hWx1aADmMLeY1T9BJqgx2bTGrhaKovpe/3Glj99qam6J6xxbdt2h4hM2sa1Q+7V99m6vtTBsEuG
8rEel09lpm/L5L0ktQiHRiPTKJEQvVZEg0sG0tN3Dohj/IrpqdWdN6Oavj0qszdUCSTRXKVfidnf
+/qafcA3gSi9Vmg65pz9SdzuKci8u6Gt+xPA+VcSSDFMbhp2KpgXbn6q5/yAHPOmTcp7MG0NeHve
v07EM92c8AOh123bZQ+Z1x+tztPiptGPGq3IMYr6GWVkB/yUJA4XVW75RdQvECwGz9v2Q2c/uwRp
dlWBVWFDVWt+nXvH+ensvorJ7zzfyms3yl1OFJbrcQaye9M1wV0qbW2zNOBg0TqhHHjKiWxj5hpG
pjJaRz/y6982UkNsMcNueWZc/IW+Ship1RE5E6XPNu8C6jBZ+8G0n7pg3YvKOYOpv0Vxq+8imP/k
q7aD4IMWZGeXoOi5L3OZn22NKI+TfadQptY+vdITuHd1AGeZPSOFJhd0D+J5ijNFCu9PQiR8Q4nE
Y6bUFRjbaeaTsfEm03y7gSFCeuzv4XUPe5IoJgBh81GZFuFY9VDBf/yhKAmUeyndOJNk2Vuh3RVw
WuKCFfrW438Qr7Cqtq7V7rw80EHtSoMU/9oxst9KDICEEF71TuDFYBpk68sNA7EhyEZ8yGooBaE/
8TnrkXgWa/0YB/YYaPjVHx9gzRMYHl5Cwd/dmm1DkruQcmeYdf/ti2De5IKFNogq8XuFYRy2/KS7
wNT6XQuXjFLlSWXFSXm9DBisXN7g6yrhpJOvU7HpBckdFmjmqWTKHWPbV6r6GuWUP3c9/wyFzjZt
62fjpPYk2YsYlvXjmIHhxnvZQTciCz7CVINlrDdHsxoSRsx+iuqp2ObswM41tcEgLBItLAObvJtD
XRS/bMJAfr8zNT5wWtOvW8Psy9hdhBdB850/e71287CQlh7pQrCZSJmdG5TXzpyPBFQ8Uur5MM3X
2uUYPALfLvvIJKDMLOPOo9Y9zAXpwalco7pDVVBgsuOiscYoT3KWCPBZxvbTGTOAJSlca9gImbbF
avpO+oTNwsSsspT2K1gYeeCFedChwHs9c3KrjyT1+0jlZZSM6V1il2FQkb7Pck6AbTcjFdm5cdKr
5aubljMGTxkms/7YMZZvs859MEh5k9/iZJVJqrbr1PMzAjNuk7L+8XWmeK/NS3oimjnkV8i6QK3B
jMVIzSGy4mfh4k0bE9ffklIH/YTAMaM5j415FTQB8CpZrEIo1CLyrH0t7Vzcu+0gdnVgvbVkU1kJ
AehgL0U211Ikllv3Je+XSwaxbR/0LD1aDy5HpYkAdFfdRYgXyCxUCUNnX9YwcZbpUPq5ta9zSC5b
3SFSBhFPXUotzU6085b7KhDlbloW/uvQvFt+QBDRU1DuaGPJ4ZIrmZxb20/uiA5X9E9o7Pj6ej1N
UyCfJ8/5QAzoYxDA2nmZ5E9fl3Hf863ovCW1Wk0HrmHuRzEY7BcKWw6bVahh12ZBbIh2N3gUzEg/
tN35tSTPGVeqTCOR9uxYFnki1fbm2PUQ6XSNXuuaD7xo9YS3AJs+zGgcgohu2PKT/Ej7xkINvDd0
bEXE9NkXIpSeSeevlGXEwdYRzHYzs6FAbcrNLtg4Hr9U7dYev4ONOEJxSvl93MLbWh2ZYN8QEZuU
lppHEqwdUp9V0WQQ2jZaxqmVs8WEvxBaRvRY+mrZljDCUJassp39mIgqIW4zHd8A3y9jRIuMJcI6
87X64msNSsGETSw9ePmC/l5QcLGtbQC9MablvHrQ0sUyPgZLnw89NYtDFYp8qdtfWTEUKJyyLrM7
o9MpSeUBu3h/OpgWs7G1MivpjkHlKbnry0H9bmXqUQzrmlXBlKwD+X9FwEx/ZiO1kB/mXGhA+LMJ
SkiVmhUlEWMyBKEYzaE7smHnSqjhfz6hVGf9Vyf9EUlVI6CxX3PMz5ReaGv+0nG5PXYuqf1S43lG
hrbP8n1SWANMxcE+ioQNwVjN83gaBOrHjTGpko/bCp+ObZZUrPvUNIk7ZdflcBJlll2pdxlCm4Zh
InJA5k9snfL5OOaVwarP8sXehNvfHuigqPmJRzvn2G8bDRwNX+KTlouyR10Gq0/rAOFudTbWrhi4
I9eJeee4y8RkYmpiOlh6Ul8DZM8vloapzulnULXXrW4xRogPZcbqYBmomARwSXzfhfJjPhRTkYIG
nQreZbC/fM6urBk+mkWjv4U8dY4fde4Me7+MeWe+KYRt79gI1+V5BDhsDLFgEBMnSlyIbp/SaKQ9
lZlY1baee394anK3D14Nb+CBbXlLrsd6FWiSVAqIF7KTo4KbT2GGrIAAuqXcdOyetLCZRK/tmrZt
Gq4AMnUvnlHn1nE2zKyKUiOXVWhqJZ7LiieH+A0jWnH6ZJrCZ1zNzrm0kpVzLwnSm2RofEr/1lvd
Nol4oYZ3qUOOhlrtE5E8sSzR3XBdvHy+KGcd9vncrsZvH9My3tx50ekFJzvMyLLpl3E5kZVt7zDZ
iXnHR8xVx1YCltRnXyt2doYc+Qu9lBaRApWtedB71XHY1sASN1YB4x2OxQAuThvUZhkMJxqn5K2t
ffeJ1G19APzlEK3gzBH4PZhmsZMJUqGh2xRBVBTLvGebz3hnmuPBXy39wev18sHUxbStgC4Qou4S
IpgsCPr3QCXGA/Va9nuSZS/MTbw/sSRCds6ahNYlPnzb0Qhq/PYuDhM2qzf8PVgj2tHlFPqGm8hN
tsz6J3wAewl1XwfX03ky2PfcxV+Z+CQ23X72hmNX+Z4eZusynvq5YalsDn0coJGZcDOMpN2WiZDB
cQr8pgo7dyqv7px+ytJ0LwSCRdwnRrAdfftuNSdWqfwCmnS8EKdHmMqKxwF6BtvMrjjW3jijdCqj
uhdp8bP0xRACly2DeOmyFKnfNaK+t2e2kCZIHNSMG8nL/r+pKL/k3xQ9tT/yP/eR/+0Y//5XWfn/
a0XmdMr9n9Sqy2f1qfJ/16r+/oV/alXOP5Amb3YoDIH0Ov4Prcq6RTdvFlXSPI7xH3rUP1OdGj3G
5B+QN33bdLAlBpjD/hnr1AyCnSYCFwWlHmZSrPP/lVynSWjqfxKrsKMaaGZ43m1s0H91sX+319XJ
jVVqIgcEs++B+Lqh284DEk2clAkHU4M4sOFnUFHm2yKeK985YGwcHnIW4VidzPo0mKK6ujL347nU
xLG/ZcyblJAFRXk95znHcboO87Cxp14egaW1h66TC6vkYtuo/iRcdUJLN//A2HyvcbX3a/IkVwiE
CUGjlra50FUmm9O54+mlL3wnM/Sr3j5WfPVuJHyl1L0lZgcAfNMftKCpoKCRj9FKlkFqmU66YOns
GtqPZgavIz0VKYrNoFG7BM+h2szIRGNnM15jGTp2yMpkD/I2WgMBaICOmaUUybXvP5fb0Dbnzn40
izlOqbo5db3xjIARB1Z7xzxmx6teX+lz3SH4sf9a9yBk4arJMBDLvr3V5+GCDiKUqWGD++i+AQDB
2nMNM9Pejrl7sbXyJdEiDEpgf6vg3qjy14w1SW9RJ1/lEZjBMHW7j8Rd5KaG6gT7zvyjD0P2rqdu
EyLFLHuuwloI/2/djpjfDnnKkniGhjAHPka7tN4TXbcoKsnKp0ZkJzbTeDqt+lQGvsZkwSzLFpAB
adS/oUYA6HB+c3U+Zrr22NVXB/KGU8cTGQmoiGFdKfWJT2fcORZgZt8Qd9xSEBpeG8BdsMfCYmBM
w7AO9Rg5U0njjXdUs1386WQG8qkxm3OnICVYzIO7anQfVlCEwgvowhyaA+TCae+081eKTlVKduZe
Uh7VmLF1W+vfeT5+00l7D07khD0U/oVOO3uRw7/jnPlxeG9tC7s5UJEU08QGAEZfrRjTUbFHhQhx
FBQRw91CxxLpayZr2uwLHUbymE7VsRrWs9l49q5RKmdZkTwJF6ZrYwD5tG7FNnm517vhbgBvBFW5
/4Z489209i2ScLDK8UgbF8hRsAwbQU88RinKx7q0eBjL8g+U1UdDrD+mwj/ipXKOWiP/YwNVDkzi
9+sSIMMFsAWH/MW35UtZDHdppz/TEHZDL9R0Ky1GaJo9d/jZiojmHdq1P2Zu8wUgfY28NXU/iWF8
0X8JhdMqQRMWxj00XHZy4hq0Vmj5oFC0CkNdZm6LRIKIBA0Mas7S3WdO9eaBSk+GZKsBSaiPxr5I
ze8ys8xjpuHFbWaW1x0syBAA4LEvnU8TGrIAnyFGcFfLIVixEuQPa3pyKHbxoJw2ub9ZjH2CvQg3
/m93cY5INLtuPLLNWQ2OqtmBCKSZlGgxYLmAj9ya+I/YWeSB6lWErUhiUHcfhsV7RvlGzy9ablQ1
IUvq56Z6tYbndvZCNpx4Y2pIeXzvfOS3Zf+p6OPDG+J1r7AzfmcYIJETbqYxll04UfFqpBzrwciC
+0NJZQR8PJtWMzYl9idsq6UoUm7VLbMrG2IrW54YGTV4SmKFvWOxkna+nWK6mcxtnjqQSBst9+0D
h7+efYD2dIFQ+gt2/0fdHezm3oMV07/jCa8NOkhtZp5A9AYS6ECKxNsnC1G87SitpDyt1VK6Gxwe
KWou3nPYlFOW8U3J1PoSXe3f61QxidCg/uNREpjUGDPt7jAXbRNsLJRjblMF1Y8gSws/Q72zrdeq
rGaTMj+IQ7uht9zvVE9h7YgG4GQ0YBLj6VysvbQ2LhNcsNVEAYupaqp+2LqpVUzhMGGIi+RI6328
ct5QdWiOM5Nxh4N00yAi3Ph2VfsA28OLEoDduwy8zHvNpJ8sFR9439myKkC7dO2puSRiOFR8yp1F
lm80CVWfw2rcNUV1b/uFdmmHxrq2CfDGDlimiUN3ebaMjkoy25PvrfCbEPzLL2RkJBA1/g4Y7fa3
Se/ekBMfHQo8hNNt6dvdN6Y4anUWHPs1XhTu0bk8SUddbDSjIE+3tdttqStlrT/sGQoiLIa88O2D
sgY8TMGutPi9gwUGG1NHPGmXfboeDdXIbZLG8BrryxTMRYhD5ZpTCUmFVPKO9TMKks47q4l/MQ5/
Vrvae36to/BljPTeXgmg+Kbjh2goUmwpDL3Rw+GqtYgCStLfNSZHjb16ItTOGiemdWwgpFewgrBp
lvHKp+jgprhfMtaZQG1RRI4DTYcKJykcED6SZp89uXly8bs0pgn4GZqMjkXTt2DaZvV5xlG6hTbG
Hmd+rFqtPthVdSKZKuHBzQkyEpWmk0oQZsVuZIez6ZbhD3biH78Ec2fRYrfPJqBkRlBWewBRLGE9
L0JcpFmyW4Ci8tlbFTGtJKsfoF/GxlT/iFGjNkHuEheMotDv/OzdskkmpC3y69A9oPWyAM62pTXS
WVDsxvS+qdwpmvzgV6bN565bn9wK4Br3iykUmEa3ukvgoSt3VbfuPV386It88Ky6uufKX4ezve4G
Q/iRMWvnyRnvPCGLraC+C5WGjq1rYM+fibpPSLNvSGcGO1UbcZbX22A9C7cOb9bmiesSR6k//cZW
+ssu6JTrPB7+cjYwGtSmjLOZ0r6M7Ee39C/Sm49rNq13iUagQRcpTsIldvAas5aiCS8AzavN9UPt
lCgYdnFds89mkvCYx3ha1YEqNApWddDZXXdM5uKdKgVUS3+rtfB1E2jbB0OS92ntBdQsHxIvfxow
Jgk8IR7P5Vmv94MPqjbv3OCkldmPZ1ETRDMrHs49/XobXPkRHMQQNsNWBj2Y5543wLiM5Y7WzV8k
feKlTcOUzWDq1e8UFF+6Ntv3REFS3dssWvOnYEpUdR2BCoEkxlfN2/LVcuTexe6IZ/ceHBgfQ53S
W9+Zm4PFusLq2/0CTVFlwZcsPfphHobkfIPWdj1D2oIO5/MwDq7D3J3XWed+8wJaLQKbvpPqtbeG
vb641a+RZo4WljX44l0t20OfaHvTZI1PM51Vs5vy3Fe9/5xq7TsoM47+c5tM+h884CezpPUOoJED
NbVKApgu2ktNwV/E/tHcNaVf/+oUA7zSq2c+k7iHQRBvaB68tI7O/sv9cQtUa8mVpgfWtTXxnnFU
ztsmE0855uyF1RBgMad71XpfUBtpRP6imh2A3YQ7dINnmEchSV9ufAmAnru6oDIk+HDTyCxPA2pI
7kQFOMoNTlEWDvmaPqiufaXG424siNc5EnNJ1nibNIMrmCfjacKXwR7jc7a7E0rPXVCyBsUPBye5
EPsSNzUtIyT5sg2qShVVYojrYljfVA71vBUfXYU6m/ZGGuHxikZvlw4c5JN+Z0taTj3YFnuWKslL
oZJ9kO/JL7CidB8rY5hDrbXfg/5rquB0m9mevKOMlsR79NhXh7ql82QADaWTB4BcPg7I+YnHzkBt
c3y/dsH7Z8HD0bp3gcF6McBfBKG0505UixfEEJY3xIzX7440JSsRb5nO1jwVIaWLFMxJU4G/1MrL
0Kgq7Dv7KgRHjNE5D5AY5/fVHNafHGJrjnVVN6zsUvAeigRtu1K9rEvPzTo4emt/IApFNakJ59Uo
t7cATbGwPKy8eOrcGM0Xq4+MHLuiJxm/5COFKRIrUzb9qrL1WpvcsLTl1Es1QO1ixdBmmAVz41VD
JyOcuQc9fhASDzV2HkqzgjNWnnOB8SULaLFt/Nexnr87Gm2z5jEYnS+orrfD5a2fDdrgfGTwMcI6
AzeaZpurYzQaDCtaBwe7OmgpOEvZnoxiRT5IqR2fADaKxCTz1kSToz8brnlfk82YkyZcbdyM801e
NXVWgB1Q4M3AfLfFlI0o6z10PuYF2w6DRX5PdYuNVFBYPUDrojKdUAW5gVuKZOp48QYHxzxS/7I3
/PkFNwHDXE3KUpflNeCQvbUlCDM5WGp84SJ4HPH0xAnkrE0Pn5K0C3eC194fAxajjnnfDPa3k2tH
xfMLnPRXgGEtGqtkty55JJ1HjpXrLSsg7FFFpWXKjRA2bjqH1pspGY8YJ15LS2NbN96tnVFsHWH8
YN39k856PKbFrzEYz2OmN5ix8reb48xe4P6mwR4HGXGlvUQM7tqPhDirYCbA7rAC+uR81SNozXiJ
Ge6iqmpe+3YMfhXLKDEZA4SsvZm1zhhjQblf6dfa5l6/bOjglGFqqVcXJ3BT2UboBTkYWu2zX4GM
NvVL1s/LtqiDrZEbv0dJB7vVe8dhuu9Nit49se9Fr4PiJafQ2Q++l4nn3m5iWooUO01up53XPVYg
rNUKi4340A99o/yICY4/j+rLjQRjhnjME4uSoqifzU89KUmXLNZvqhUEKQmWSwSd9lT84IhwytBK
ZOzCZduAQ0E49yaQufPALdH+tL2G50jgM+E7yzNa3Fcq2ivjvWHj+vKmGW0hluMYU9LEgrz0Yptt
sho76lXNJ1Wk0WR6kaPovR2t380g9r6an92ke7tFr+Aic1ViRqKqs/dPQWXHQlYvSXtuhvrRC5z+
KXGI3EzTXtjydsXZdNnXuIIoVa8jVTcX0aO5Ym8uPsrSF+xJE2LYWtY/pRi3mRQesAyzzcxYqfDY
rrI/qTWul8KmgmCjtw22BFNqNK4WI79gLiSbrFXWIZuSIFpy37wOhtk96Maqn8uS916f9JgM9Hx8
xWEybh3sSofKc5eQZVoWJhBM2Kn0hK894gQU2Mbc5zMmat7AuZkaGEfZp6zrOHBW6LEK9C98mEvG
6j81DmWNOtg7/bzvvbzaob1/aGbWvNBcqzHQpeZXNVf96wACA6tRPcVB6uW7hqzHxrb9AV7mSBsF
FZaPNA4g+yaus096PK1EIHorzjLferHI5rBHoXm5pPhhMZ8oZykcvn7LmEPvoAMD3snovib/QIWD
Xd4ogDzmiV5xqy+dhUPDLdszR0vZ77xirUJ1kzmGUo6XrMuM+wa/9bFuQG/GpPyW325g40Va+vnA
E4gVwJAth6lNteNKZ4crJMDgQaQIBrkZL3qA5Sbz2C8B/z44pTm/DZ03Yx/E3RqOfJtPLrbOn4T7
VJiTDabxeEr2OoDn+zmpl9+lEzD06vUSLcTkCAk2qU9zbcEURNsTyVkyOVlktN0KIiSdsf6n/k7j
/fCZjoO7C5yl/OJBfpxAw0T9OunQ2jFuE3Sz5z+243dvcpqggpr0al7xUmDYB6N+pl5X71g12sl+
8tt8r/c4c2pGdTYGxMKcid7blVoBzrD66nMe4jHNiyQeefEvdUNFgJ5q4HcQrhGRvIlcy01fhM9A
fvYZESahOWp17lxTel+zWRdXvS55vQiIFzssPlrcmXpyZSfdntqis851PuFdNfQTcTdc/yuU78jS
YKhtld7KR9Id+kfqZON75plg6IWU6yPATAYSX9XVVwp51cPG1Gqhye0WH6qke7VYrD2iM0MsxcHO
74ZQ3oKpxFLZNklkyfIrF+yDhvLoaG1xLrgevclSLaQLLeekUZwFKyUJqDFvTTM54tOhXtqXPTny
Vjhc19veemV+whx1I2QmunfI84aGsfVADP/RcHgPUE71hOP400zErhcJZG6R7jAXTMRUDI/QSzn4
9UEmktKfZRhRAFoPAAjJMmc5AXfnMQLkjVGJRpnib5P0Dl8oScZknq6upsxQgIe7ZY30rAld6TnM
Hk1CFQNLP5txemcj4FphgQf8qVVNttN5VQhgTCEQ+3FXJjKtwrGETRamSkt2Gl8nFn5nhPWQVdSJ
eeoT69UrO1njQdNnm3tAc6osdek0r9mYZSXZ6QfF441KftFs76m167j2m8cFWxmMnlWO+xZSJQgI
NXrUZci+hnM2jM9p032UjXH7pFJoeajzYrC3FtY2DwKqyE89yeUqkiWP1Mpfxa6b7S/i4AuGcsTX
S+o0+B6AL7lnbsgGez8sa5vaMjHN55Psj9TY9wCIZbJzcUjQ2dE1HQ01K5rn6rkpv9FZn+FFi0el
c9U2TWYpLiPj9J51dP9uYPBSz7JCZsZ+NwPDzw0dKnXfiBcNIwI4Y/6/oDZFEQG4rc6rZ097yswO
OBNAY1K7dlFm50cWDuurZa+3q8fqTwdlGxWaopcsRwxrQEGLshsuc2IP8QjYA95UYgoeIUYQW4oJ
kc/WaiCqSHlAlIlI4jGg0Uo/paMOV2Mav4x+zEO2nnSguABlZd9GgYspObN2Y6/O7WiqJ1PWTPcj
W99vr8IO5lTcQxiYS0w7LnHDbcEhTi1r2f9x8iGLV38oKr6L9NYO7mSXGTjzaXUH5BLTzKZ+Sw43
PbpL++D4DnkRWafisYKi9ZEygwWbHsj8zW5v82kr0pNl8MSmK2S6Nz32f2P/UrYDwqJMH2mfk9uG
prGwJ4Nk0f23Q+6weXkLtWmNW5LOepbmbhWJeg8SrT1XFkpb5VVHk2cto03+YRHj3NM68I4T5MGY
5RU26w+Pka3ipeRayhyu3U0Cu0290G1t2wru7/CGBMYfWZI3agGryK18detN473UAhGmSZG6Gcaw
8dWpUvx4txqe3ns3W/sZJelm9COkElTWg5q9BQNju6sdbzuUrbbPlfOLxHcWYriTj+hMD3kzxzna
aqFfrdXwzq1Tfs08/4xKoPdqUJbOY4MfgPXl7daq5RFV9j32EC4nmLZ2vqbR4IZely0qxn5qfiRL
SwACHYx6J9xouXAjf6A4fNSvy60GaPb9+3ng5uAE9XeFyUq3W6I1CV1ZI+tK2ymWuHP09pvUWNzx
VA6tsbrXy2mIyK9h26KiyFPPrBnlDl9P9zSNNP+Z9nzuS/O1Wa3vQbqfsngZEhwemIHydbJIwr+2
FAnF45ygOcmavWDZLSFG2DVweRFz70XpwWW5Zbs1BACxTFtUxHXT6wZiym2NTuC6RRtz0vZhQuWb
yOnMXRfxo8YOT4SE7UstCZSU2a958TjXa3vaYlk+BooqFpIU5O1s+8nrgTSJRlzVON6TIs82DNBn
tVq7XGdeyLGxRflS/ckG6gd9SaeC3hf7knvaGb1h3/ppfikNLnmAUmNLa5IHy2AuMALxx3K5kK6s
wh8QiJ9mbv0bd2JWTpTz7DrOcekQt/uc/JekOHHI1Z6djv02thNTQffrVrfCXNSH0q//qLxQuyrr
ZMjJVOj3edFoL5bpNweFE7XeWa72jnJwGil03+Cr+eWb43b15nmvT8Mj9Vq/ifvl25WEPWmA+mcg
oYC+8jM3xqvfj0XYWgOhMZvMYZ46+U74WRmjqLyoHNVcT/vHVO/KI/LzetFyfDI1jgJyS3UH1ZjK
in6AQbfMH25VHYLU4JVDDYPV3l5R4+H31jq9KLncYUCz/zt7Z9YkJ5Jl4f/S75Th4ODwMC9BLBm5
KjelpBcstSSLs+/w6+dDNT2jDGmUpnrutjbr6m5VeQCO437vOd8JiMyjeUQz4+ggti1lC0/SCp3y
Cg2MvfU1Tf3WO4BJNLemqLlzIUYhyM7cZ4dazvRhdnSE1MC/1P1iXRkt8HVteOPt1Asj6ExOsbE/
7+ellDtOBjO2iE5zhYvHN3e5rOrsFvOat8M1+aAsOHYCTNUnVN8jEAfTvbaLKEo2vg+9wU2NlARV
F58snTWyvr56TescF0O39/My6I98yKcL4tM+L0aYAM2OvGsSh86KnukSGS7Hk3ptj6QRbKX6nFNR
WOsQaZlH6MEaiGBrm3fCa5F/+SiGbdvakjN8id/90C/VTnj+M3qM4StlD4OSFI0x356vOgdUwzR+
s1iXyX75ENOHKWkPBSgOzhaqOKxoSLkJY94RNedcWS7vaTUJpCz6K8EY+4IoUME2b6PGcJ/Z+rFu
OveYQWCW2I2IRCIn0jB4SCTGG5zjQvsxIdqWqNeupR4NDbqtSXPzSRdR6XaOsM6sIQ8dO4yNHZGy
YmGExhB1Dvr2iFqCqjZLNN6WNZlk+OTURkM8KFKKsPAel9H+MqjkwkjTc5GqszTTB1+zr0Kfgh7t
LEZ65uiwvkyMqL4eTRGi+45o5lgs1QSnLFtaGjPkhKgEuYDMiPiwVULglNUlwuqj1XoZu9YeUJ9/
SUBQfibBXJCeYBjkA0kHDbx+mMP8CcX7C10sLne5cRH/srSvOwTo2hSYevRDWztv2OqTn5mkyePU
YMsmx/Qo6+U4T+FFWIgrp3EPKU2sDV2/C0x/53wYW2rARASsfc1959hITMi0WiC18bGzqTia/kUm
oOlbi/PULh0zZxy9jTc54px2yAOJKMHQV21QG+S00d0GpRvKK82V7Al9wD2bu0QZOOzbCIAF1z2+
1C3NDoOpH4sFDeySON8Q43xqumnTKHlW5jaaYVCC+1ja/iPYgPzcqXhhreiaqJMHlHfPpdl8xFNd
4eyodn2Luz26rjFQsXNwZ3xjsVyzmDx0jrwrwthYdm9sQrZnbBsisSsZ1mnF7VCn+SbnPhAwug9x
I1CiAkRhXnSRzM+qjtVhQU4XQH7lAGFIYi3NnSP2o1vjml0IBSJBoq1KdKhmiD5S99f5RN4uOVJ0
ulBkTbYtD3EuvUcFxpbPHE4OQ6v2Rrr2l55ux9Aah7XFORhkspFfGW/rGB0vgQSfnLS8TdPLUU+7
PIWLv2SSA0xWPtTchctFCxZw4T4Ize+DwrtDutpsNbr2eU3aXbbOYL645pd0aMbPOE/rvYOk3tDv
TBddJW4P/1op77ZxokAr+yatqAONVf5eW6G9kT6Ae3fAAVhaZ4tZsuD0zw3zawXMj++xk2zSGvzi
3Lm3phWdLRgC+GMHaqo0NWJJh5xP+8Q6jsfGhKKPQIM8lSZ9rBcQFMlov7jLvmi54o2sycnCYfPB
atL9mHl0Fq3odslpNk6TOK+j5S5kCyLNmL4zLZIof4nWnKmEvDPMkuPB6dm28qnBUDLBWS0Otuds
657sRH+KAgJkL6Ixv7BXZbNaMM8rnZ8hoj36q+QNtm32hQ9KFAy+rPaFgf4yobre4rzd+lZNfYY2
Hiq44oZXS2+B49xxFgpc3HmoQMF/dDjSt2WWDRtLjQ9UgCl39dVZSB6IEF/Z+J/lsQHkmrN9qrKv
2CyuADA9SR+X9mz7MC3f0REKBmayJuQBqAjR13N9WbApzJ+ysT+KkEYKrCXO733yPhfZ3gZ8BgRA
hHeexmluZxjWectM1zxKt6P4mFz4FYIBEX3Qig5+JaqXvESOMBvRoeMTEggzWVtlM0V/J5o31pBc
5bH43Gu3vLL6JtyIVl6YEXSQzEbLgNnTL8b5k2vmzVOydMOBHM80UBSFtuwZz7rZ+DhJvSvimhKd
M27RgYxBQ4Bvq/S5zL9maXjdFUPgAw0qUDzHMtp65nhfinLXWN0LtU76mSa+ahK1HkcvTT6RSflu
5rA6NhSoKyJNB9STkKQuvK67sKr+XbF8jMwlqLwc7QCJbZm6pWx3sGN56MNktypjcEAHod0cJkHx
rlQzq3Pr7e1sPGYda5I9Y3wZkutuABg7DPwXr7vGSbDDQrFBrnBDe+BY4aaaSvuLgXR2EzXdVTGY
l8jENn5NXGl7O5CVO1KwRmba39gFMHH7fd5HG5wmGx/DlCrPu9k8x+TKVkCOYcA3mxOgScQfX0QP
L0Sd01cWw0WrRtQ/80HYEzul9jItwz1f2a039O1RWFZgDGeml7OJZO4lHsFT8Ze5JTa8JHy7LGm2
1GxFSeWN1ENLLV+XYXbopbOXJE3RQ7xDP/cUzzWJ0DhiU7S+mNUx8Iv4xY5YZSMbEaCrj5zxN03u
7pYFSVOEmapx56tWJLxZ1ripdfREXNC5FpRW8lu2m+M+pUsMrYp8jvTZId8oAo7UrdrkIdpVIa3d
hXODzdmiEbQNrIu+kcfKXbotmZ5UcXMCMviZudXkW6A6ceAMyVmB78DGFOC1C9SU9jzHyBYuLlrM
/NnJ5NOg5htqbnDhqO27BcjR+qyAXrA4dXxrtAVO6Nicp50yZ+r0aTV/szDW0SuXLxMRrhmAkcyp
7kxf3y/OuV902zmz7pNiQGnL9WzI+9y5Vbub/KTbpVojiyhx2cNiSAaDc7THzEZ8iv2t1td2Vi+P
LdtTFsiYgivlFBnJczIKdx7AKLKkli8tGyegEPcEjt1jKz5Leo8+ee5f4ZuqL2uzT6+RJC03JHZc
TNbCVif8+oOq7l2ZQXEqfmTgnyIt3ZWbKOy1Tgog2IRhh5DtB6hY5Q9LqAumBixY52bWoVsTwtTr
rwXsq6d6GimkJsWsLqehGtgBxjPBqGNGq3f3xi85gbS6alXewdADWo/L019tpj/+kgR3sQs2AD6B
5bRoQUOetKAmmG2yvNB34H6Mr5TtvYesL9t7r7PHPY3Lttsai6u/ff8x/3EJ/0tIgMn/v0v46vnr
c/TcfnluXmkv17/pb+2lY/4llcDrq0wTShHJFf/2CUv7L9KScRBLYQlQf4oH+G/tpRB/8WfxlsOw
JPGC/sz/aS+t1UPsCLIW6Il6LnSzP9FevsYMesJWmJHXn4DW08KbfDKfPcIrPU50fD7jbDouHss2
0odi+8NN+cVrs3IE/36Zjl//61+e4J+/GuX50aSKrNf8eq560jVp0KREJDr1BbX8x6EfnnoHnRkA
l00j2YD+fsDTy2IoXNa+5H4Lh8rzygb84TWd7BycQTSxUGOOvonnKjz4ajTeYFz+NIoFmp1rogzJ
0wXb/HqUlCzocU5npKI4aRFDtNZBtrZ8I2vgtZGbm7cGHNqm7WDkVg4d4JNRgLZlAkQArJeJVbOB
e5NHewLlLjlaPkBh/oL2unnj0l7DE9dBLV9azFzF8iFtuV76DzdwXqKIRrHRBiQzRVvRI+dR1Wzs
VgveZWmq6o0Zsq5Wr2aIZdu+ZCTbZFm11pfhx/EQqpCF5Na0rm31QbG4YhDHKCXJFHpjpJ8fGhpj
lk4Pzjtne3VyZeHclFT4JgqOTjydA1TSAXuh7B+MYjmCwKkVwCpO8yHooKVu4vVdENdxrc+hwoRU
L/waNcLvZ/pPr5YFYJl3GOyXQKd9OtM5bA7REvtdkK1Ajn5EreMPpRN4YbLadkvrpaW1cPb7QX/x
tBB/Wz6VLLbEjn3ytAgWd5cSUGTQWbLYuZLKJk1uzKY1zqffD3X6uIAr8IJ5AJwt4QEgOJn9YBbc
fgRAFaRjlB7K0rPBNNGO+v0oJ3eRyccKxVznU8rndNWzv5p+NJUxfQ0LTas5vINRJA9hNCAGTnZT
YR59KhJvPLaT92sdEMW7jx7fRWb/E3nVWcupVA0RF2BesWPf4an5isRAWo64grI3HtivhoOq5DIb
ebmgab2+vrodSWXrBegUdjjsKgnHRgUY19nFkA0oB3vCSYo37unJk+MSLVcwPQTYJwkR42QNtgs3
bT2d6O+OvyPIt3tdO+0fX5jFDVRCchMd/6cHF4uobh14woFCPX+MzFwe+6xLdzEp1rtpxBX3+4ny
q4talydXsVIB5z35kqH8ZNHPDQ5G9ppIrSqkSmS5/YOrwpThwu8gkEs4bCd+XA0LO0vmSpCOOWmk
x2FhZEigkFuUHAkwA2mx++Or4jvGVOR5Oeu24/V4kFj7hVeanm/IOYSlEwWJqKY/+ygzIXhEbDL4
97ob8E5G8ecyG5wZ60FdJS70MMD0um/L/e+v5WRtWkdRoNgsdsRQ55U6GaVz/TaBe5YFXkMNzuIv
dy1FSyzvdvjGBf1qKEex/LJVE8z106EsEallVFkwLZkbIHSe7ttVqe1bc/r851fFnVPe+jbZ5ukL
3C9Dj3bUR7HlRg8Ib6cLbKY93bux/+O5YMN1sTnbALVhI3ByUaEpuqSP4pzvY6TIs3R7I5iSUv2D
C2Jtd/iK0H/msl5PuZiE9rFrszygCt9eLYaJttrCaxtdm4VfvZHV8PNbyz53/djzuZc0H06WohGY
nAdTKw/MDEoIb9dwZZaRd/z9M/rFKBiiXNu3WWgFm+nXl5Qb5ojepMuDsamaHeLFj3JGnfcPBuFF
YhfNTJfOyZcqGWBSh+QcQ/4qsl1SNPIm6urx6vej/GJme+4Po5w8HauKyLLNmxzp5hifeVUGBLGr
sQBao7r/06EkmwjL8kwowjjATjIrMKdPc73qTRyQkZrmDgIvbTnpU+b1xhtP6OfLgpPNAmeZyAkF
R/jXT8jXiKJGiYvJc1J5oZUqLrsxSp45S8g31oafJ4MkFJBvk8UWhbFO7uAYAjWYS4YqWVd3TjMb
QGIBNv7+5q0T94dtM4uddAlzIDsHzwL8lZPZUODEzMgPAPAZVch/rb4sP2TERXUXA1r8KtCWkXlv
zMCfx+QQQijVmjnmcII8eWBA7nLsU1FGUdS20VhRNTe042wzkhcDacPM+/01ivWpvL5I6O2eEK5a
AwXIMnj91FaipojLmj5yT803UHblRwfXr2hqkrzrvTdG2msrWLBvyAXvWrRU1Ps/Wm3VfgAFPLjo
D3pQS1VhUTJ2/bi/kb2f00139ZQdqO214HwkQUCLtKM3MsR+nnLwvNgsr0df6jRr2OaPn/ImbaNI
2HyOxiUHXZEtNLM5FCzhZyMLM+eN+fCr0VzO2FC/WO64Za9Ho+IGFRA4ZjCmeLL2OSF1j42ssW+Q
9e7Eb4z2i5mA4MX0lPSpQrGbfT0aBKw06XO+f9BdgEjJ2CWFYcjoBWCyRrU6VGVz+/vJsP4jT+aC
MBmMChyBm6yCr4fEWkgoAUG2Qeub+6R3v80YHQNtxtukxkKFrOP+9wP+6hp5e5VlsWExOcu9HrAH
EtoaNZ9DJHtUqyP7yZ+SqzpLqIRnVCt/P9ovnh83k0oRcYDQ2+x1Vfnh2G1nA+ayRuZBxFkFvXbX
Vg8GmIBjKhP7jTiYX421fg5JLqJawhn/9Vhe5TTjPGaghb122sVuaVzkQ5SeZ3m77H5/Wb94asqz
1pPw9+jLtTz242UVdG9dQtCLYPHJbK9rrR4trzV3sD9Ao8oiRWE/R298w35+ciQ/KJfCCS/g+u69
HhSmdL8kCfHvI5qlq3bBP+GYozj6QO9oakq5/9OL9JCGsmlfD8YS0d3r8WBTQBbx2KL1dO8P3lAm
YPcTpM5ZPJrnKYEzaEVqZ/v7UX9+igSKmpZ0LMflL5yTd7CVsywVHOSgGZEZLzUfslpjlsk6rJ6/
H8rjAl6/e6xfNkGEbHEsC9zl6wu0QQNjpME3mlpIIHBVyvxd7YMGWsnDxfts0dm9bsnfAVnS9+Ub
i83Pc4hyA/MV8+v3KtHJhWYJ38Kk0ng9GlpI5YpkABiPvtxfRvwJTpY+hA7m2jeG/ek7LilIwcXi
/Tc5YnonT1WDLp3xnPK183P/CEwku/Tt2Hvj1v5qFNZQ+vEoYE11uqwtw2IReJ1wPs8R0SrdNIEf
ef0bM/SnuULhixdhvYO+I/iWvn6AXQdORjjsHUUzE6nLhmwj5o7HFY/LPxmKmgpnRReW5emHKFv6
psudPueCwN5ZILm30pzznQnq/PD7afmLe8cGy+ErJMm0cpz1//9hzcxF4qnEmvKAFNaVXc1qgyUx
wzX2D8axKBIx/al5nW5DRqvt07xYOBi1Y4UaP4yzT65n9PP29+P8NNHXp0TphHMeqzK7rNfXExkT
KqTIwdxXW7jOWi8cDPi/QID1hGdqKg2r3XeoZP/J9bHuuQ4hr9SBThZpbacOufCItqDL11B1DDqR
GFiSfzQMSY8c+qTPRDy5PBLIGvXdfewCb6TMmwxocSiHvTEtTiJ6uXvcRwJ6eZkUYWDqp+tRGu7S
wvOSdJ29Fc8UPZAEs4rBsyNBvZClKd4Uo7XxsPcclF9Yb7wEv5qZP/wCdbJ2+NnUqt4VHAh7AwOo
R5P1Cc6Pc/f7CfPWMCfrMqHSE/BLHtxgT9MVLb9HG674GyWpXw+yLh+K4CZ2/68fm4V91xjhgFEh
jXSz98yowmZm+OYbj+1Xs5/ig0t+IdOfusrrcYoGI0BfW3ngpIRWjHISd620RqpS7PgkEoQ6vCQN
461Dxi8vj6hAFkV2e1ScXw87907pmyXDkuFTgHZb0uUpi3r79veP6lcrsA3shqM1zRVpW6+HcbGo
U7Fkf4fR2QdYMMv9rDrKLBKkw/zHHxVeZrFGjnM9vA3268EAQclhdLgmoxoxLpQxIgY7aco/f6MZ
h00kh3ibKvpPJ3i7IqOzZMFChLnquQYZHRxYdG/s536+d5zcXTrdrIlkOp6epFQ5ycqSpDrY7UzY
yNLO2yHG9oM7MH9jjVon86udjmRLZTH76CBSRZQndy6bp8EA4kX3hhzqfVpCUazIWLiJXVGekZDY
vlGfOpEVsFYpTu+kyxEGzJHa8k7W3tSpnNkyQJwhVtXpTZWRSPCccfxvOFv5TXcb4796KoA8lciH
VWa9h7PaqyN7BqO6/8M5qhA3UI4RJqUSmiEnr0JToCGtkFAga6uNfaLM/GBSzLiNbfXWjpJpcnKn
PV43ycmR9jffVSIZXs/REItA2CEJD7KyMFgp58IY/Btid2X7obArM8222hvrHigGVJtwDDj5LstN
M8Red4CPUKYoYUX0UOtJJ8/p3DbFNiGlCa78UjrXGSetO4fOonOu8Xq0gLhGMe0ATNofZKo792JC
OwTnt0HQHVjNVEePBt+n792RZITRMCxs9+yd1ckBjpecSpzGm9wtTB6NP1n9eJ2UlPvuQpBemPY7
VO/h+xye2lmbwyDVSM51QiCTD0+GWCRe1hGt0aISjzTlcgYujWpWVTZI2DknYHx22WTczrE2FIlO
kSGw4AivyanA+Y1q8wvSR5gEfSdcaJNkwtj2VYs1i7QPvBkEHtU26TSXOWL0KAPZ2wCM3aSOUywk
TaZLn36dHCOczpXjZSGxxvY8fcGrB8dts4AgdjZpMQ3oe5HZTeBZzCVPn2y8RxIHUjKH7p0aSt8/
NmFTYGDuR1/ta2xd7REni2sFHcHcAtUPziMuXRZ2vB1LcK0HOfeuf61hh/jBCLKzugw1BtubcWky
49GIcqu9CIeOHAdvLm1ni9vUPB+iNZoLDOxSfKutcP6WlgBZLu1+zAnwixNXndcKFP+VK3XaHAHp
o/aLojJsdvCapfrgo8h2ApZBMJkqCqOvkk0VEnKI+si8UoyqGFPGKUqiLcXAOHmCoBxam4hFudwM
Ujbzl2K26ekjLyNw/hNvmw63Ye0U4X0YZp57LpzKU/sW55/1MZ9Eku7Iymnc56mJzaygBJLkcYrO
0yJTVBd4vTaQ+CbzLoo7MqSk0bTuTaGteiQLsza5nrHwXxrknt8Iu0NDbSo3j87s3sSt7dffRaYa
gTAwCtO4aTmQYrAF+jM92IgORZAhA8u31jw4zbc6Cc2PgCpatclcfht23Gp1sNVJUe8bXYyXgApy
QEUWkWRPAJDrbqOaBMqnGY6qC0TO5mUjGp0gLbWyfCMIEpOb1gl7HJYUGXvSf6IygtpQmMztBR3s
NjYn+4sY8hyFsI8jM/Bpj608iQm5XIoj7qbtUvHFtFqdbMthxowxaoMIGcTizdExe+zpsaXwZRG3
UUrkhoXjwnaqamdfVKb1LUptiNC4S9VwwFAiye8QC9FCIZEfH1Wa2/IqmoFgkpXkujFIHhCpkDZR
4u7IeRIP1UiSCDj40h/PVeVw5mpijf3BC2dz3kODjL5A9U4NOLIWuUuFcDtC3FKne0zYDPdBExkj
J14Nggemslvft0VpzleKKLIuqMeYyFOStjrf2TRDrfQ16mZCW0i4I0glg1xubgcDTCTmU/Kzgijs
vPY8rXtQegCO7IdFk8L1tCRuwcOAijYTIVHQX087IR9Z+AH8ETR5x9ptoRZtXTd9JLqnYLnxanM5
G1kzXxpTdh+dIW+mC4oG6Ud/WLGFszn2ehO2tTtt2YOD4jV7nX8zrVA8xgONagKLZDci8LYG40AR
nYDBcQpL99NQDol5O5FL1z7lhLrdmY3R3eBJo3g0GuSfXbAOoe9dHFD9Rl755ZlDfNUC40LU90BQ
dIbn3vBehhmy23Huph5aeNpbySUOXPMj9l4H8tKM/vGAMij6Zo9CVEhVW3885n7t9NuuSInAiNkx
enuB7zO9jIoRt74cTefJjc0WlGgvrQ+pyYEdIAYc35qXffJgt0amd0FeYo47pAd/Avui1MbOG1e1
pkuME6LacI7dcQMl2n5HAEwstrpuAaCYepHeLvdAsX0OaefXV21eKqLy+niwd6wlgBBDBcUhaI10
uQUS1IyfGrM1P3nE5OhHJE9aXGQtgWlns4xZ8okhhVvq9wIEo+i1oQ+sJYOFX7IFsrmZ0WeKbWQA
EQ5ae8qjD5mY9OdqqK0nkDJeiH3fyBFD4D5jbUj4BjS7qR+HmnqMHWE/N0hnecDZ1/hP2K6S6KAI
hWPtLjmKbPLStu4Iq8XFaKWhTC9E6EMP41QEX980RwxbqnaaGE8pLii8qwj9b6JiqLInchxt66B9
9NiXKkI29hh3gI82Y1XxldTxkOVbTZvQYyKmpAz7cTOC0xhSAPjNzCz/aBAQ5AYE3/Xn0oim8SgX
Ht7O9xKz3SHLwT3l++Wsz4p8WsqXhm7/zJlpyJ/HWKlvte96zZdJj9DLmFG1g+ey1GJDgi3cMY1N
wnnPspHZDVTkzPRvWa3adnVDRBP+cA58K/WXZOBNP3XmtLGirAmfrNqtk3vD603BZPdwxidAQ5vD
2ucf7rSQVXyfV2EnyV8UpCyS3dbLfOcNqsAYbRLEh1cv9oCc5wusvqsGbIg+b0nkzM6iSPoI6xZP
zuEm4TzTPBUGDD5CZOAC+8NGL4iWP3U+Xf1nfJBtdJcMVd5+sSciC86cBAn8dZ1H3jcJGoaPPQ5Q
coKQbSSbIoXyf5zdAZtgWLIsQyvqtEYx4Hrc4aAop6R+z86oZhpXRjGoM2iAQj5IPZug13JqiU9u
r9vofuJO97Bf6xF4p1xqsae9GA+HFEpwHHhYAp9GktXnu3mwC2PL5af1Z7qtXRT4epb9EWgQRiDT
8ADMlkVPmrWYlX3utEhUP1TxQk3OEmnebBy68RcplgPvjMAviueT8Is6SNuBwAYWCRNswjxY9lZ4
iahu2rkZWYKqkWcetLLjxUSQjEfyU55rYzyIuI7GvWEywqW0klHtOVdmAsseVkvsXFMOHHYwU2uP
DAXHSh7hnnoXtYa23g+ubVzXDXw10niBVX0heGIYr2U0l1RblJYCELuFfmSTtyPspI5EL/FOFWnq
HcxO+s9GR/zBeyhIAASlW/mQIaeeNKYdnycqooaRlnDP0AfPuD8IPPfM5yqaR3ApZZTwKZ3z+fH7
vv0/Itx/rceh/1+DewA89fyj/Hb943+rb8VfgvxshDqWRTHTd9Yu7N8pPYb9F+gyT9BRpNOC0EZS
aPgf+S3qW9qMnJn5F6oOjur/q76Vf1FlpE0tWOwdk6OX80fi2+951/930ATxtCpukAdy7OOXsud+
ffxxdDVksf/MeYsIu7gyJTZS4pOBuNgwn5raMi5z6h6gDeKpIlqxNQcSFvgi8qmYy+qYxzZeka7m
NBg0lWl/tDRGu7MGyxTmNvxCkKLBMJabniYSAXphUtrvwrx2hvPWoBmT4Dfo2RmSAJcWF206TZp4
QNhCRFVoPbAjB9sNGbjvtiBjSmDAPksp9f40BSRCw3Y4tyPiuyb+l+7BUErcxrFrd9u2M79ZblVF
l8bcwUYN6ymG/DB19ZNO2c1uqPwoXCgx0bVnS1q1znM2L7N5vdTsUs88fzBo1UZVXm0nYdNMSC0x
vHiNqeqdnyYDbC2SF+yzPuTGbFWJ/mOt6+G9aHoZH1iWwTAqIlYOlRpgF3vLuqOvs6Jpz1KykKOd
A3MRzKboiZ6xosG9nHBVwTmBIP6tAF50wZnJxZeN1dwNbI4w44bsbOfRa4mr2CytqM5Ll7jEDfmF
64ZH1xOO/D6uPy1ukj+z7AxokLzaPUQkXfRsq+b8jl7FQvIpFgciM2KpH+1UpN8kgSkllKoquaqw
p9wqVeHTMvlMZ/gHyQO9nJbIqPcR6S/f0MjUBvt8l1NTCBOEf5pnsqUYzYZ5Y2XKOdAsT+B3+SAn
DFdosS9CDkI7t5PdZ5nK0AQglKp77NYTdezEYisYRvChA7+0hny3qBwc1DD7ytrYGHq2jmwLvHsR
BM8OvAJHCJ4LeE7f0B8x4uafCBrBtVWz8hmbOplt0gmhnpBAGsfAYaMG1lhR+APuMDEegcWN89Yu
HEkOqy6MG8tpllVjlMSEVTGzLsD0JytpN07io67ofOKt7vmpKIW4eyI2DGtTY6WGh9S1mjA3SjJJ
QL8kfrcQxPrZHuBpHSMEmN9g8sklmB2r++yGc/GBc37f7gzfALs3mnGodxOn3ouKasHnXJVAiLoi
KW/JV05VQH5f8q13K1zDXsNpGsvgVNHRkNOynQevGbayifKvRqfiORhmZRFZk+UraMIe1SOnND1t
8LWBsQ05LZUXTtmJp8xR2XUp7YXPApCWggMF/hFYLL2+r5rWwUVLL7aCqBheuINDYuNYggTnwBp+
ILdnDXrq3BmAXsruLhiJgnvhS8TnzQNE07OnkAkmWTQpmKWgzMeH0Uyar4k/0KJPSKAmOGTOMOAN
uusUrrk2qhBC9BGnBk22HuHHabfpF3YAzL22vgxDxKqHyPZxcpF2AZGlrcFe8nL6w4yhG33XgZjO
5h43fN9tvLi1vH04rO3rumNPspN6obSp/QQPW0FYYSP1WMJNIok30I0cd01dUpmBjmWcC85fL2GU
hENg6ML6Gio71fdJrMYXpUBHxTAbFMlRRgntzIdSCr3DEx88zVnfYRsMZ1IL732TNIOzG02VfQJy
UL5zSQGF3T+K9CWJUyvZA1H1n+GjrdHQZLr3G5S6/hVIEM4eraymu5DdOERTpmSGJN3Jz3NOV8uu
jxABhAaP5Wjp75HXTbUyXx3f+LQYDh42msPz+yiX3odmZkOzXYbGDfJCEmfQorGkCkEwhB10HYjU
Q+ZPYASKvHKbuw457fwRbpGuz2kuqyOrBmQUp1QIWEAzUXYql1I9qdDysmtb9abaIyHxXnTbcXFF
33HArLrFvhI6McBF6MT/LKzRK/aRuzKb/GZsbgTaGRDAflrsQ2KzcvgehOUwHWPWtILBNgnOeiB8
sFTeeWTx2gFZuUASI4e0UNAS0wzb2dHedNY2QzVu20m5D1CRgcmDXIlukiEcvcCewuYO2eqMrbWp
HcxrtUGVdskySQIKtN4NaSr48eJuwaKfOm0BNQuJSRVAdLV4X0Yrp88M8f6BDHvtB57bArSAzR9d
4zEevz/38rJ3vTZhKuX1Vz4GitKfcCJaB2WqZxZc0D7odAtn2TuC+tOuclnUNl2lom5Tzk1MBKVR
hrzR5EW1G1CBqfpgeSTNfsa1Y3RXM/GX8TFifo5HXMpU0MArpDb8XuVmBD/V8j2yfgsHdTrCRRwh
tT0pa7LpHwwmuistRIwdy6zSL+6YkEG/CS1et8shnFrxfgLLawXQiRKIYFlsL7dVE6Ym/j0+3ls0
it3TQrTASGJLuYxAaX0Hk76iC4Otz0SeTtgNy7JtR/GnNI9JUkCza93i25hfJk9zopNxXrsEKhFK
9ClKM+sM8jPYuUIYQn+Y+Fn2QyaMRTMraKVtCevq5x26SPtbXU3kWY2Oe0jcKb11FzJLIS05PdGq
Wl7mT+B0AXOrQvQPLcDDiYKINyWXDWtuRRBOHeOQ6zwsviXFmZcQD+y0kekILNKyQ/LFerZZ/hHC
TJgFAsTNU2lG2eeWUpmZxQYk2bl4B4xQEdCbZs09pIXKuDQqsS55oVd8YOfPITGYhwjh5xZ3Yz++
pNYyf+Q863zNo7wsDmMt3cuIgBNzkxd+AklbriWy/+y6u3m1bdHU+d22+/JbW3Zx+ePG+/vf8ffO
2/L/kiDNkUywCWRra/3vzttSf7F9RnW06nI8/oM97799b5b3FyUh1AmEAFDI/y7n/3fmgG2SVbDa
LvGcrHrhP9p588dPejwEIqCZRP3k0I9DdHHa5mDWUjCbVAhfZxi2dUqdGBIUgdSjt9XsUK+he94J
CaNvHrLLzLS6XVf256Zdf+JMfQzd4axukSA6ZgxxXg97q4GPURLKE9RqimEm+dve928TSq7afwrr
53WpiUDT1Iis5oqFoXefqHiDDJXd9WAmD6SddDeQpfaqs9PAV1+9GnhGDte3GbN9mHfvmiQ7Dl36
icrCsiXGjlVL9tP7ogOsjXqlYefRvA/ZI8RqtdnSlNgUA6kERQz405bbWIIqzJKDa7TvXK3GwI0F
6dsgLsBYAiC3JMZzDRmwFJxHoEI75JDxeu80oO4VY7OvjeGlntxxz/Y54ET9OdXZDTrKfGPQtTpH
a7h1VPqJrmS/dckLhAL7YixkiLI7+NCsgMOZ2r1vtpvQ8SFpXkonOiZwfIx6+JSaTh2ozsOm7iDZ
r0ZUm3xDIHl2FAeDKKqMBwDcXBOAG1TPm1EoHPzwEeCSAqQCWRc49fLBhUnWZZM8mHwTMtvOtzZl
Wbtllbf79qZIxls5WDf4LoOFqm0ryisN64T6WPFxaYA8+tV07utIBZzlr5wyLJDMNJiB2KPvvP9m
7zyWHGeWM/oqegHcgDdbggA92WbazQbRPd0DFDxQQME8vQ5/SaHQRhHaa3E3N+Z3JFjIyvzynAL7
HadwvqNQfszyNoJdvqMcZNV7fbST8mL1FSpy6yh7KguPAV0/5k8pL5xQS7UmpigKJ1vz/mhz8qB5
7nH2fNYHO/6wf29fWcPS7bQSzT2sfFaN10pqJ34rm9HwdaY8WBSr8lqiITasli3+3qKBJbTnog9w
SiUpVfQU1Dvib6+anZ7sonnu+hWAYtd9iXLWQ2e2jL8aJQ7XQnfaK+ZzdBuX5FX4BuwdK0tjICHW
wVym44iYIypn5KEQM0W4UKGGuTN32yK1d64rH/o++dsZ1sUdW0QLdb/tG3sCAF7chOiY1cCTNJXn
4VOVS6wlDjPOLrgINBSLAIroDN4xq3pegct4NRwcVZpeItdaDfuBWdmnLYY17kpMAEaT8+/VZe9F
w2dk+lAXCoFSRsswC439e18GL7pWXrwyW2IKxTu2zJyvdl0daMyO22XMP6bRKAgHYabTrfaVCo5f
o9lc6TFR7dvwRNJSfFn5eDGQn4GbINAq4AMH+aVEGwIzwJ4OQ57C/x+5I0M+MUCJzbhTcyJ3UroL
sqEG0iP+Hoh8IC0yv/wzGTR8agbvaIY0Zwu788R7+MUNUrUdpmpfdSU/8CzDmEN57OXzn6AuzmoY
5SZLHB17NQjnvjp6+Ebg9OBnFeYXTeOdKdmu6sayBt1oAVjxHdDH832rBqQB95WsvHGP6qh7BJXW
Iwv9cRD8zu+QjK7L/6TTWY1WsCUT8JDZTHNK7qwbhl71eVRLhV0uv1sfTdXuLcgaZ1dzwVYHbRX1
6yRjU0dSRYHDLFCp36XbTvFiJMY7YtNnZ1zufYQktGn1Q31JnWvLSCRcZqf+04yUoGONuGWqrPxg
M99j7ltwaYHs7FdBvQX5cLPW+VKs6bEzqDXBSBVHZdQRD0L7MAXaaWnBPZTB9+qpX3k+vd7zgH2V
oQGZtR/hqgBMnp7gdktuMAGIdZhHWy0n+Y9Tz1lGACR52Cy+xT8IXJscCn2zONO0k41VXUzusGgT
cRwDma6aad9o6oE27zVvSCAa1Cr7cQLikqbTaXT8I7dQc9sGtbtfA/08VrT53MHcmLQff3Ky4biQ
7xFC08+/uNZUR/1OrzXmeQvWcD4zKIQIVVGVSg+Mcy5nB1emFy+qfua2+FH0T0yK9/XEvTfN74We
DRZRpQB2i3L5lZSHtek5v0dDDa+La8qLlprHelqxb9ZHcHESn6flSyBzGDUnx57iUZgO74fKCyfU
ZX/0guMTq0NxKdzsprVwX1SJT08fsyxqEY3HupfepurTLFBYOs0IuqRYruViI/YY22+RDnLXG5kV
2oOzB6O8zxotngaqWRgv9wklCjP3OKX4/wxxBa35ujrCjTJVHRmCHOiO077pW2Zj3DUYyoDkGn6Q
S+M6TMuTm/jJwXRr5hiscoUMJMJC1VGt847pxosY/Bf0PZvpfmUupm/AYgjeg7BwBhjTfnZpU/2n
l+WL4SUroePeibOeh6lxyip2M/pfIoOJx9WliJcBdmZNY0xKy9h0czfuswyLhtWPIPzH6clW+scs
1rhhXkzDpP8sdI1lYoMDYGIqGEutLC5BwBsITP6H8ODjbzxpGDuMku5GH3wedB/p8dKvTpwTH7xP
8fS9WWvrO4PuN98dy401ETaAL877CvJkVA8OBDynUWFWzyS0myz/Ejh8Y5sJK3/QywjSzYD+ugSa
UQZb+kvPrOqwLkgYtcwe35BwLq8OPcOPJairR71g8ILBdts7NyeNF8dBkRTMYav0Z7CrbxAk5C9m
aXgpvbe6dYZDA0kY66mtKJAY+0FF4zQvPIDjJI2RgSS/A4ndx2tbG3DLVG3tDsRd0BxnILh0E38m
6VrnBHwdyBIHxsvifOZ5sFO15xwqDIXPXTq8mYvLu8x7SphIDJOy3mwYxyCytYuVmlBRzK4+TsZQ
h1ZnADCVvC1LtBYH4D7xosGSp1OSNOmNceExC/TDOEMxqgz4rUaxcWoUSJzxJtdyQ+Bv8JpzBWEy
FwQ7SqZH4t7twFtrlmHVQYiZJP6yxJBxqYQVSr/dLzBbqsCmn1ox3YLFtGmTebpxd99lw/336Kbb
FtNbASNG71zccB7vzOasj1idUvhBLj8GSEuYVJ9T0/q9cCcMGB9WZU9zhY0G236R5RxaBrRpFO0Q
zjGZogzdBMrbEPOOysy4GuCxa7IwTqlBmepDGpI/pix3jXmudR/O8AJEX4FVS/e285DW4k9ptqdV
uvdOLjHBmXop5YfgVVsPnlGVjPtE0M7ssB4hgKbsikfXPWrD4O+AHfKV11oRC0hw28Ren4qahlij
mk0BsH2XzusLQimdf5MJL0Y2jvtuhFFIXGxrky/gxe7expr/bkf/Sj33ZOi8z+Sy/sXpchEdMlln
AgtZy32JstIS5o2HmpJPNOG6ov7okGc1qF4qe39X14ux/+rlE8t2z63tbnGdb1vrGUXPh2rTN6TO
u3bwYxX0gPzKc5VqB2R8145UxEyyZ0uU29zOEx2IVkeoLjtrA5brb1P4707Jq4qzoXAR4Xj9j60n
J3RSjBObswRwPZnjThPwyApoxwJftTN9q6mKBLpBZauPtdsHerprupRqvge2FZyt4krL97dazLNM
z7oN5nt9bObgNLL6Q8Yp9rnx9jR4XQSAXYKQNjM4yJq5P/U2tQ2G98tIsMml1iXhRDY38KmZ2vrL
7My9KzUgvpdhZTQAxtHZBj6EyLbmb7Po7t+64MGmmrbPi+tRUQWXrmtujdU/Ks2JOT8urssfKPwH
Z6br2z9Zklu6Xt0Fw+WNFeRho3XmRRcLjC6mcpPGy6TDRU12MztgSZsVfja3fBOivNgUqiDhTp7p
vQo7e2lr+x6zEWm0AHctIfiXYnxomPbDoCy3qrFGXgkjCkuLuNcfRVAId8BmnYn14Xvd9HNwGOvg
dXApXrphPC69Hs8mKKrR0h6VZbx0LX5v2vZu8IcnSWyrAT4TfB9WVjPcK2WZRlM2fdXZGkR+W8Rm
aduXemmtHTsM+3U2rwwxHiYXN7CkPUYQB3wnAIVN5f24gulkPy6vAlsHNwrmoLzGiByESgUfM7VS
zqtMr7VzWXvhOr+wiLJrsZhwigqERLZCsqnuSJAbeoQwNcdTwTsQOwzsc8UrYJydQ7JCCXPdD6Vu
YFCuS9pfLM1/Dpi8Fz35NDyPBsce7wzWAUazfRnXr8L9zB3tZ7VOQnMedDcCz9Hcj73HZXH2ch0v
TUdqlcH999yIC/ZxeGeOA/l9iWBJhxP/dlmiXR3QBvSkj6atAMe3fwOjeZxTFTXtO3rHnwyLScVE
KGUafk0NvM5TcmuJs5DuRDZUHbmtrRtzENm2ACRfzEksDEBrSJ7F6n7XIOnCTDYHjcABujgP8tYk
L2Wr7YS5RuzJ7Pu+/1342lvfunf83hw77LVHfk/enLb7Z1lNBw0oodNTkq4ah43FNX0jJKPgPCv8
MKmnSNN74HsT7DEna/9q9K1b0HJ8TfoTyFAUcwanufDUsPUGKPnG5DN78SAMl/6vpM0+2uruhFPj
OTXMa9t1r2plIZlZ1nQkTpCEYONescbgvSowaltW/jW09nOjgbGqh+IzM/EzW37T7ahMXxQDAEin
iP8q6Kij1r+rpPuoCswzFPBpKDNWFLwp/1NxacUYN0NNbRovRpA+boTvfqVT86STdoK24j/0ec5Y
KilavMzyZkKSxqF2JbRWb8ATk4akKblBCudESQINLZcBKL4u/dBcjgFNQl/0/GwCVkl4qpHzusPm
UsbkJWm0I/pizXaewsDNa8xyes5HLpI3gxxl1sGB4H483/9u463gJEaBTYFs9lnMl6M2veYkG0JD
7cYfcRhb9niCPbUi5Eofy3wI58l8qv2WrE4QJUK2MMKmCJ/jj+UZD2W/xknZGOHiYWmCs4YVvkdW
fWGDg8tEl1tbz++07awW8JUuA0f0R96zUDaSDY0b9jofFhMQYZ5SrczN/DAk6KtSVyVn0VTICq1W
M0/2WNcxMyp0KRCBMV20Bv36nEqp68rfiT9XB1cTkivaH8Jpoa/n8cKWgCi890bzz9BR40CaR9fB
xM271lqq31mi+3s2eoHTdzlC29lUvysxvSZ5fdBsl6t7ah1XdgXZcbPp+VpnU/GYz7V5ojRlUsVZ
hd9BhIx8CWTYGME54Tyj+TXSfcXeQOKXsk/LiFO0leZx8zASXn6Q9QlE+jGtVvFplGBe50KVu4C7
9S4d6MHM2TjRb26z5CDy0mPFBpEW657rsNH59XF6JKc8TS6LtHD4dKsbpji9qevMV4anXyNeRGM2
TgRarjZPoi+zz5RHDbPLL/hC3pbUCxJ6GvN9HWc1YDsgnJHDXK9PiLXMA6/lvGpsxHQwdIkGRrU9
bswx3bvGdEp7OH49vN7W0HCXN6IPG6c+GYZ1zSnVKrM+YgH8IScTCVsdA2HtVYUIsvsq3eRllv6D
Ip4FoigeffPoYSSDgxDKEQqzUPJ3EogQhsBXX0xXWNuncvlAhUQIZXlEAXmbl+KdcNy5Lbq9Q9Hm
wsWpAnFky+vRJzlsCSyMvQZQUZvOdpM/WFVBJ2l8SBUot/wpx+iDtH6N7h4Fugr2waMkpmBsJK9Y
zaZF4FppXKaDEZf5Is4ofI9T0l2Rm2wqoq4XIP230gwe+VluM1f+stMElJ1GoIc0pjW+TeAe+Rk3
J1GLp2I2g6uac/e1G3s9gpS5ZSx5H/DiR9R6ZkM1yUyNc7cxzlpOKgDssgOEMjgh7n5RMqWd1U3z
UWYCpUabse+IoLqoO/iMJn7FcX1eS4/87QjoZtbecDDf0hl2t9mYVJerTdyx797TgmXMjWk8aYFE
mdeXryYcfSY1tCDKlvJ9DOJCmZuCxWYqlOyvLPrmkOhTcAHdsNDKYcIf54W/70XxQHSI16LPZXeM
ZeO/2un6gjyDZHVRLadk9Q4MMC40hnD6VZnLi4HhBrfEXOyw/5h7s82LMXLS9JCtGRdE28MbMD/n
onxXHSX1/7fz/6Odz4ro/9bO34zkeOvPf4s/5f/o6f/zl/1nT/9frEAGJNTp6LORH+i01P8zTeP8
CyIdu0EEapi3ePod5/FfaRrnX0wBgLHBk/B8/qL/TtMwI7in/4nZ+D77HMBa/i9pGjI69+Wg/47T
eHBR7ugS/hdY3PjANP7POE1ZZJUxdiav2Yax0qC69UoVbv2Q3so2qkTyZa+MfN06cHck5M2POs1j
jDN7DUwcg/05IFiwGNCDhoh+cELJS1MWGe24YXDqndYE6nJaFlFvsrnjLnfRWLlWDBNTezMkvb4d
JK3u2n5hR/W4TB3HppmJCA13tx9l4J4amT9n2rqbZqlaUhfJTVDs3zF1sd6znrAk6YU3WBf5Rjvd
fGVzmgV38L8mSJOzVPnU05nctktCwbe8JYj/cl4WJIDiKkum2DWS9C0Q94Y1cIvFYMZZQU7eTqtr
vlezzHYtHIIQbbEAxI7LF4ClwlwiXyqVO7dpMK1DaUFr9tzqb8VhESXdJCk08/UvSoLfJmXE1iT5
uwW6lB9Mgaqs4h96y4PRPtX+VDwCRjHuwaQ+rAOpXoRH/4w7FChih970GlGOOk9EXrSQMOzjXcG2
tO7vQJXGNwRU0rXEkKppW/NaRCFSq3TbSTs5+ybKe/6pNs6i+5SbAGPdREDB3DitGIPDfXYAolsj
tI3Bo9KjUZl+ND4wZCiopnxIC9N7K6Gd+6xlr8sDRInqavGroPYn1cy82LMO0mHb5EGuc02L2vsb
sEVtbxI+QsUKCGaYBQjVjhm4u9Ah+meG7/7HQD+vfTccpRK8VuqJxNCY06HAcRxQUNv+/CVlmlCZ
dfqtrcgYhINiceVXh+X0rqV4rF3NJkNKtjmEs19w9cpRygz3vMHIEsMZx14Pd9siFt6Xc3WczdK9
qYBvIytEG6WDWG9J317BZ1R0Jqx6vpYsYXKDq5bjmnqv3lSbxVGwbb9rDK7SpI02DPgXUkXm7wpR
RUMgLhzmVbyJxEy3a8NMKbfocOjOrluZDyemd/AD8OlL72aQ88wovftc08d/cmvVWF+TyT7bhX7O
C48BPzKSYXn3uvySrnTWfXGqR9OnwHOjNEujsSoUVQ6jY0xxGQJhRikblinCNeudHrRud/G84mYp
b1dWbE+yeDFX8pcHbp+gX7mbdbNHljxfWd8IAdwP1pNi0uHgiVELV64/4NejGWutW+rvupPLJyw3
t0RRtNjdjuNojHsLlVVinsoeH9ySXFILaWtTIo1detRoJmGgSkXB6u8FKzZ7RFrwFxGdpVpw8kVb
H/iqYlXOJ7AbRBSQM6rCgaY2L6SJXeuQi0zSGnDWBwdFFzZvAkFalXpRx4v0mZ/N2cgfFq54vv5b
FP5LptPZWp3dgkGgG4ODhbIyWGsS8/nNxNjRFh4TmPXEJvQ2E39tThUPvedBWmJ+mcg2bQxIwORz
d0AB7NBjDybJSCKVBGUKWTmccxRNrGufsxzrBitTfwFvP5Tk7zZr7vnhqHfvbTd9awTGIibv3sGk
vieksoUxea07+VkKsaOWW/eDZXzRtZ/TS7kmNAeEJESc10n52BQ6N1iki4IMWxNOAYIOfSHF5Zvt
dYC82OSNSA+yXjEb5C3ps1wV2Yl9KSA5VZn36QvZIovJWRCnXREOGdx1lB+LLJ/TIvsRmv5VL3xU
RuYXjxWpY2QNUJLVGtWurTG2GbUnMtfy26KpoWs6suwqEfTOTe2aZ7QeoqQMGOcoPVAXJ1mKrdlq
/R6DJUsQHjsMDBqN18BgvMqdonlHaUpLhPBApNVr8EREDQdOYayfRS+Di22JOE0YI3oDd9u+lcbG
b2D2G459gQnznLEqFTrCfy8ZKGxm5nZ4PRRl352CDUHlmAG0OfrE1yh0c/aiTBYYsjKIKD9Diefc
KKeHslNbAvcFF8ehPHdJnd8SgMu5lr14UIi3jT68dYgL7eKTiGfoZOmzJxZz4zX6jy/cfeomx1o2
eyWK3R3wFTYsvJ1S1WFVKbo/hmFeuOn8YVlMhsgP78j+4hFT+B9kDmVIG4qXDzJdtoi0cPJMRkpF
hEq+2iQzGfx1tZmLMrmKkpSGJ2UwWpyl9jelhfXcwj5E06Gm08aoITH0Ii6HmsZwkNM/K320o/V3
0Dd3N5Yee2kRVo6N9+AeY9ezKE+q61KJWwdldZP3ixeqOosKduWSrqX/pTa1/WrMr+v6IR0L+gUu
Cj5tdsEwM1iMVJq3QE1nLDv0Iu0cQ/S8d7QPoQG6L+4lvLm+eX6xy7UPl3ToCEzLs+dfqTb1G8ph
4k5E9VdM0g36tlGvH/uSxnsDLRerOSNGN7Q99ZAO7c1Kx5NoaYwQpv3yPLI/3KAurFscRkl/t7a3
S11egs5+SRhjJrZ2JJp6LHiIGxKSKbrc2iViWzOSt1L9d9JnV7dqD/bC2oF3WT3a+It2NDULawTe
R6/Xrmyt/6zquZNeFhvML7jd0/RTILrdxIlY6d8l5qc9FjTXNAPXSxoms/PM1uv7Iv+C7uG6RRtw
4Jjpa05iPb82pbFvMXiCzhMP+Whzl8seAhO1i5+VdFoWnZ+5uVGeHPDiZJfMOrG7nEdV+afTxSFt
nQjy0jZv0cMtxspHPsXB/FvgNLP42jfZ7FjRYhqXIFG7O6X6QHz1UNIT09jNYK1hw9LnJpNv2cxu
3vK2TNnOB3g7o6HUTGbzuT61R93EmyhY0VBdsFfr/KgydcfL1NGYBN/8aLeZtHZJSUADWulycDoL
D+2kfZNJPmRBEPOBhTwa4VIiq68WXoX+ru4XrLbsRZFo0/pPNvh2Fj34lWMj1QU3uKG/JiiP9Xp4
MoGjsXoYYmw6LIpxGIbMhNyW0VkibNgmMfPiwv2Z8X1ZfRTyxy/d61zLd9NY4rFb9nbhxE67btcM
2WJZN1udDvOQH1JP+VvY6qyiZ32w60uLr1cnqlaMW+QIHFX2GUjWedHpuOpG+jh64wsSSG1bTR9r
NW4rFoX2lqq808xWEv+hAZqx6puv8lCYfCbMp+exuvDTQpiXb1VhH12ZOEwYimtPe3dTT96jy/YY
dgI8mBaKmdYjPbAKL5KZ+cTyz8w3IUGMU1QP6kHLeC0igcWxc+hXQrykO7Ym4khjdrYuDXRy1c8z
aZxtM7A6J3xC3YTnxi0dbrVfpf0e4GD5pWpYspYjg1Og8fi5SseFN2vOr8US7/RJgnW+Dv+0+uet
w8rUqLEWjc2AtfQz/b3NJE0qTjsglCuPw2KQUO0e7d588oXazyjCJt1/GMYq1oKzOWnbjFirKRIm
0YD/bXmuJv8XlCQVr/rwfT/Q48pmg8Rr1K5EoBX2w0tXmwcdSN29No3Zww7YEPNfgiyJet/mIs48
RQFKXt7snGAp8e24Fs64kz4jOwK6ndgTEM8i3RNGxMyNR731tw6CYS0w/6Q9vepF7CjVGWLZthVV
5vhaW9WHsfi/zXJOjgyDI7iNHAH001OTzVxs3iJwD4ZHsYgeKso5F9RaY2t1TN4cokB84SWfg6PC
UREbbSpaz0vIgvNdQh0lUOFl4W7m6lJZCesv10T8rhsKEvtWFpLpnHZwZPchue5XJWghE+oDKkYr
LeMCHcPApJahblToTeQ0PstYNQlwhh8odtk2wFnCGfPZudYun5fIF3whjvbLm8gbiTYkl7Dj/rkn
MblNTZaK14lMUYviukZEKBreGrkddaXjRkXjJbuByGFnJ3i9CDz6S1iDvotX+8nCVBahHfI3U0H2
2LOIWBHIFo5xyHVfhZ535oIXJ2xNCDIfoV8Wrx1dYbF4ezEHV2fp8JaXXwF8Ptv4lJ79sNjel5H+
KXV33rlZxyQ4P47Gm9WYQFFWnhnrFyaCLK5Wj7c2KbJcW2oKS9ltmrqzaBcayYefdrxIa5/w62Yy
l93ac5EUJoz1ru+fe8Jnr1kDm47/L8UPMbdOPIiWGgJV8mGANcbyEbkI06a+Ys1i5ZhwT5ZdfGmO
9T7d95jTNGFVmwjnpkZAjxH7geTCVzV7Ysv+17Mxe3HTTCteNPlmdtkTs//+LdeL7/z+Lk2Ks6ZV
dHqmXb+KR2cZ9MhsxTUZ9W/ZacdesGro1i6TRG+bJ/13Z080g6sNe5Vop8wrE5VIliTwA0lymEHv
jjc/WkLtnPIqfcgDrnumgfu6xhR0BWGDxVg6UNKbsg9EpMp8DAwa2lV/5aarxaoOrAMjGOe5HIDc
BH6dvQ+uV/ym65VtynpFS2ub8uyCCwuHVlt/a8Avw0kpLXLZ9LkAKQn2gU9cOjTMVkEBIAwXD+Wq
nUkMlRN9tBEfm+ahWd8a1Wr/pXFKQ9bL6+l6X0y5pQybYVGuPq2/uumY16ZyTLtNavSZoDWfTE0k
hdka54Y6l/lnXWhjE+zzZh79LVbRlImLXjGV9R3UiTsNavoFaKvY8aRVzCZWxSI9wRoK7kU9tOhD
EX9y5IYZzpVrICyEWJ42HIZ+BNEsFQ5F3K7G0Td7AshDmWbdpl8LwbCjQdfMh2UoNF5e2kSK9gct
DgoL4PoyIDwO7pLypNTIpVi+khRyyTRj7pA5m8BBTW7cSO1l2Wal7cZTQbExMZ7dUqQOezcXrX31
urY0WTZwxWFFOuVvZLqk+6X3+lMwlsEvZCTySVquVlOSNdB2aDnyRBeVzUpCPTfeNRloiguXlQva
4l1KcIZ6SvVZfRnTlf/4EQXPIy2kcvGjSWpTfvMNzcFoXsh1/eXYQhRbckMaN8ggIJkeGOJAGn9J
traWLK9d3WRW7Nr8lnpS35SdBMPcXG/lKV11XmCel3isMrN+pRl/fF7L+mFg06Ndgck4fWHt87XQ
GQM7Rme0F01hiDMIo/NBHRJMH+U5n0BHUO0aK6LCfDUU92tv9nriL2QQCZd5Lv3I0SmNHy5wmfcj
6oDjZ2Jp5pg5iTu/Y9adzsNgr3vImtVIDcb0Ze59sTfXxjWeOpvl/Tul0jglhhVwMom5Wxgy5YjF
ncEnljrZJY2KjtOE86yt/Uvu+kxZSBkBUVIzOzUbNOA+JUHANhH6Q5fvwl1zeXGlwkWHgG69L30U
zhdGMBuvE3un4zGZa6eO9XVJDr1jkfKzulk5u4o+tQ+1wAGV14y6d2tnHzAZfHbtyZWl9VO3wfhl
woN5XDA7/DQDFUoZFKTb+jbbQX+Ux1ZXzUdrGLA0ZjiU62HSF91kgyyBI1KVixnVDLKHXW2u3RN2
4faosFw/5kmCxctnUIGeak772BWzeaiXkuxZl4l3UebypOZyeRylTjpXnzxMaBwDGHXXhPsDbemf
AbvUwVFFwPa54z91wm8u5jA6j+wBMtmFfWAce9mOfeRWTvA2TLnz2IGCul+782IKS0f2A9MXuSz4
QvPl6FZVe//2MYRvWuEED9yfnJBEQY4BLyVFmHnMQJyk8Ox49nT/bWZE8leHuoksLtGXUGCyRmVk
WaRPey3uisU8VaQzBScJNsp79KughqiMltnUunDSzb1u5VhaU/O54Lh8h+zeHnOjSZ+ToacesYmn
0MpSdNscivFrJczgXY53u2klkjzYLsmcftZ1me1Uxd04l9L4U3hkx9ifNqpXdiQc2oypZm3yNmuu
LCP3PwZ7/DxHJJCGNmek6hs8qNOqmp05SF4xfM5u7PriqpcY26Ka84WiPW3HJxKQxrSxZGp/WI1k
DFtiL/HPrPm4b8bcUs2kHsKu1lIGrR+D69tqmwMS6hEQ1KYjmUbPb8imF3quE0KtiW1gwifMLxqb
Itm+WS5zBKNECNeij/QYCI9lPM7seLNKYx2cOXUeegNaGpOV5kBuOeufJjRTIZwF/Uznc/G8+dlT
liBT6FZHy10t8DZD44D1RBxdaYb4MQrWD8MZY9jRLPv0IU19+3myai4I9io3Zi1QbmBg5R1oWTJO
kZhcEC/YXFvbp7WwFzKsHYuag+WfHMX9is97eLQ4YSg7+jqaAHUUdAhMWgz7MuiIj2LJC9PMYd2x
pyXJd6HPpwLcSNSxYYa/MUepZ7HF7U61HionoaM6XMcpu9whM4uT7/hZlVu9L967xXnudSrhZqeR
MQEf8F3b5U6W9kajtPFkCU1h2Y8BKjUzoexYCUgm63iefJls4FUaYWs3Jg9nzXTXo+FssNl1sRHy
HkGhOFx+Cusb65D2lqdWhjC9mdzXAtDkZBmRMh+SbhDvrsxPZOv7r5klsgtwBOsvmxjo1RZbV6eu
NYt34HzLT4lC98OwB/uYLNrWn7M+6uukmPgVLV6/h/DTBoeh1GROTVjU847ns8oOCszoO7aC/NvC
QHYrCjS09somJocyy/Csbpcv953bD6bH7dWSusXKSC61z7TvkJl62nyAGjn+Al9Ro3zTAnVbTILb
EE/YkfT1wf3KWVE7moIylj+0G51J3+uz7X4D1vXOGRWSEbHvoz77gbF0Pg0dAfuy2vudo+/EqoGD
8bx1V2v6RrPqx3mmP0QycVnslQRwZuLambP3pa+M3ZRVJmH4sSZkekt5BW4T2Pgh0eB0wxpccNAT
K0apemT77B5So1rLg/tPchbMx9fuQv5IsifFElWq0hNtrZyN/dSN7NIwQpXS413HwH2d1hmTBcg7
U8u+B+ysG7uRp2EWzHbHcdg3iWtvEbbbhKS8sxfQsWdx5rnSJJfZQaq9XHgHGSmeVhqiHpKsTdkk
L8z28h3SifzcGBUKzHYgkNIs64MnG0KS/U+u5m1OipHgXs4lq66PJPJYylJzg2oxPaqhetVKLbKS
zvr0lpHGUpZrMSm1zdiNu9Svk0MLT4I7qftiuDz4vUo84mRkqIVW9SgQm2gZB0o69rbIaYz9zW2d
ZzWl0ID1tW04V5MvXLonhhHbyRlIQjTaB/tN676Z2UmqeIyDVvWhxnRoGC0PtsN37kxcLgJz39YS
JtWgHpPUveeY+VwAXXjR6Ku3OS16fsfOlaZN/kr5WewaR6mI431H8IGYZyoL/jbLk2/lW+ZCcVpm
TUyAqIlso1n+nb0z260bybbtr1zkczHBCPYHOC+7V9/YsiW9EJItsW8i2PPr76CddUuSfSX4vVAo
FArONDf3JiNWrDXnmIfK6p0jkAUgaWn2HqZS93eTzFEfu5pmhRUZl7lz6/jVvun0cURrdzsthxvL
na5EFrQ7aL0n3WRFh3YeiRr1s3lemRpX51iQoZuh5Vs1trywtEubGKaTyHiXKh9hvENUPI06f/jm
z4NDw4Mw5XmsychD4DnRNxy8TFznMZ4XE0kB/uhxawi1ZRpzP/mgNVVWUzF17Vc7o3WuAgV/RzJL
s53h0kDFs8qpw9atQdqDGXq8gWI8asb2kNv0HtM40VfDwBOT5eM5I4WWtc5Nd3nRodjTWf0pCE00
tI046ozicyOmUxmN38cRPFJNfOHsnaZ1+iX40eob2k9U8Fi8qiK/qoU3fo9o3MEw0+dN7xv3KaqO
C9cEQTOPugPKUTNNzvP8xC/KlOKDmxkYtV+5MntsO1IOQ940cA2EFRPOhR4CnHXXROeFjm9smvhm
WhX07yWVfYcewFrjjrxiRHgofA+pMDLv3h/ZnQbKL6s4ZI3eNkZ3UTrtth7T27afvatJdWtLT+VV
2ijnoRp7/5rkjBwVJCsd1ZKZnwRtRFkxSvvzyEmAdB9CuQdMeNqtyh0oXBpuTFn2fZu3pwO0DUkT
b92bw3mDF+5LQDT2RWg0O4zPybUgqns7tT5Z9/VISlyPfTgO/AelGCuuVTXJs2EQdHWaPjwyK5uG
mMA/Y95PsxKHUkQrPwlQs3fDfrAisas663PHUrIZo1Efd2XRPo4p6ieMLTUPRXltYdMzy/nUF+61
0YhHaUX7nCXRpwnIL3pstYR9kgdTMrWJErThgzyaQuMkyuwjSeAOmLt7oi1I0utPBqNoKcR1u7Hr
Kts2M+3Eus5prbOwg9jEj1yb3yxCfOucu0E39V1Y1nWts5PKSi5g22ymNIH3UhsuqClnOoALine9
zL9MNB/7WFo3XREcdzTyygylDkTzpS3IizDGsiFgPG2+joWxzRRTF+zNNajlSe4E2JETT6u7NEKw
UqUMC5hwz2gVETpg1Yi27Mskn5rDrdd4XwEHfeI4m99wO8WqcQbsSv7RgA0ss+kYj1G96dLo1HKO
h7g+SWkgXQ4dCtVuci7S5LvMhxSOW0NfRk09aqByPXIgvEt6OT5qPToXPbg6dPhD526b1Bo36C2W
TnqignBt8ArCziSFFFUwTuerAuoeZbA/Bl8ijiDGCRNy48Ka/PKuihznwVx6bjmf0uUfWt4nvza1
saZu080WOJlC5WxA/JElZDPWxbxBmWOKvSMHus5h018QOOdv/Do2z5A4ZvNGewyk7Nycv3kxJQb9
mOKJYjRijpgirPfyjgUMAXB0AtGOVrQRPpmoUBrqoKSthr2kMMPE4qZ3Vge2/Cy0rYnmZpNqgwEi
Gsu8av8h/v6XqPKXxHT5/yeqrJ7KpHxp7Fz+8Z8aEOtvn8wRGzmHhRTE9m0kFj81IObfMHZdOKBe
QOIFsZRLluC/NSDybwv9B+dzyLFA0ZaUsgYaQPy/f7l/E2DGmRZOtG8Kz/H8P9GAWD+C1V5IQCRG
fRQlcolcQFZCptxrCYhkGMaqnzIHiZ0x2cPB823qWPwC5W6eJP6MkTwxSrBZuRlGORudKJb16mkw
ZvKvs6EZv9mcZDhTDs3kbaxaV93aGUPwCUSNg/3PjbTMN0OpgnitZiWdrfZ9hmBlIUaDN8IXn9vR
cc9RQBjMqWiP4vzJfYUQcGRwjkuly8qzbLBZzblw7a3Ngb/yMMchiXfOkFPKek4+VCeVU7Fw0RuI
2GloOsWXdBIZb9VtihS8d6PMxKVEncwkw4y/yjjKunUTFC6GpOGHxF03uIWGVtP5NOp+N4paE/cq
+PAM7uzphBKlR74i3TRbo7hKnpWXpNddSkzTlr/CbtbIaTpnHYmRYHll2eqzXYpgacPq8CaMGwDV
GiEj/dGc1uJKNrr5RLJgbdBqaqd8ZaN9DXGyVMNDQtMTeU0otLUdTZO+lppnpG2J3YhnwLK62/Y+
Tc8N1s9c7WOjsKvtmBoUnXbXjf5FUfapTWM7pO8xhE6KnozBxCMICpBTGFbktKIDxAbMzlx/aTk0
VfuxEyYiHLuP7K3DMfa8ZMbqryPCMNDJ2r0xrzH8lkiG8imctlI3jdwjcslw/BiY2Rldhd49fD6s
CqnsnnoTd8iJo1PVXizeBdA3UhOE5wGgn6jjeq89dH3RtURMDxqAZmjSJof8Tk0FjMObaCHimd6X
fhc+s+WNcj/yjd5OMmydK9hexX3lIM5WjGOQlCC+oNV0g1oow2STelaybyUGxDXDmDbbZUkTcjrq
E6RDWHMKhPxeWG5jiJt3POxUtF5GVtGqiwEB40Jqrftqqr2HlOhCZz/Olrq0haB4ki2p4xwtqAbR
wNdLQ8PPGBQVCWAcv3dqDphNj0Etl/QiViGHYQQ2iq485LuI9pLFKT68cDqn/YbQJf+E7878hAw8
RRPd9vGNkw7dp663Khw1PsZaBusZRX4+jv73tG/sr+lAn3ottQfzIqyn+NEUHYSuqIdWE4DdQGnd
9yOHJbTWt+DyrdtMpTEtRdr+5hmONevQiiR8HiiyT2w6XojQJ3lN90c+tL21TEZBzT62Rmk9J3mt
72TXq+Mm0QxjQ7e8M4myVgcr7SOQciSHTbvKUTLdarqkxyZOiwnZCYJgTgFmNDHc4HDPg8kLyWkM
k9KdV7mTsZPonBhMaolU0Y/MosJU3TM7NoYiyBgJpXgRwyblX/XhpSEmcxW+MiESBEgqSOu9F+Vq
TeKiRcfdEflloksLHREe5nhTCzd+rGK/v7X8pL2BixZ9irsgKQi915JX2p+6J/fHb90K1ZwTTyov
+XmRoDeiRZNVY52BZMm+PcLywbTKTSFBGJglN1Yf4EI18DswtXSegL8RAwsunTc8rsdFXg4W9r61
qvaE3rzK0B3ZjbmO/QgBqWPBYYB34WQJ8oCu+5yYbRGusZlb4WkJC5W+sZr7YCPSxbDEmkXrGcRG
O1347YjMZTeyLuTbTlD44D1svCS5hBBk7eGoZReNiaVt5eXNpHZD3OhHk7AWiI9O3dhwk1JQnASW
FmdBhxQbpw1/ubZrbSPCKUV6TQ1UiZ0zib7eu1VsdEeWmnEAFVUtrC3ZnJxO111eZePWbhhVbFoH
zKSGhMPxOBLuDV25KuBjobxXN/6sCpPjkx8f4WOMxzPV9AG6OibcMV6qSYuvKPjE9G2iY3dnKW3W
W7wnnD0C264ug6ou0S35ReNxtDbCeU3cY3cR1yTbrLKmN2p2BejTqxIZIGesoG8RZJuy3M4MscFq
DKizkOiXsbmNhqy+SaRl3kdhGn5BEhZe8qjzsoRSFM90RuNz9lwYp/PYe+JUxr1z/qMy+G+N9Jdw
3y2Szqr5oXhMVPf0slL68S/9LJVs82/f8vjyiVa2fmhT/10qgbKQBBO7FFAe/4O9/v9VSoYwCYw2
faIlF8w5RGw+xD+lkiHdv2mZCkk+EGgCAbziT2qlNzx1wYcCO+ew27AhA7l7Azk3ITAakUO/bTSF
wRCxck6Lzk+vlNswRnhRP17+rL9e5qa/hW0s1xKedGEy8WpS572uyjIQA32T18OKfjhsp1D7PXNL
sNLfGtCWJxZbQv3BJd8Q/Zfbg3ghIPzZ5AlA5X59SRBF5N1LfHOGO+DFhYq9LRnhHf3xjSFdDiQw
EelZ5Ly9vkpOTJ8KnQlrVxSU8ZHnCLp3pu90u5hKEHG+U3JUe/+av/nh0FEvRbak1uVxeH3NGPKG
h8R12anBGTG/Y6XNSSygf+V10Qd5DL/55bgYmUaIqvkS38ZBpiGVs8x8+l5NSTu1DJzv9IPVAQ5I
fUy8URB88Lstv8t/CnhfWATZua4HNozHhPdnIcZ/e7hOyqiBSfMvHkjmRlk1rvohPjGb6RH2RH3S
dc6XJnWC04IReKya7ftf6duHZbmojxAdTTnXRNz++qJxG44VoCOoIj8ESAUw+Cav8g8ell+vwpnE
9PBcIQkgzvjNrSG2K4zZRF7KoLE/x5WUsHd4j+/fytunw3IQmvoL0gZelpRLdPzL7w9tsj/XmnKi
doS+CYZsusykWzGm6v40BppLkcHGC02EvPPr/TR2lMbpgIwl5SSCOgGht7NKrGm4tYa4+8MQMR4M
cixYrzjcLRDOt/GaQ1IhcEQ0ijLaDw9pMIVfafx1X7XCyVqIKWYamkI3ef/rfPv8/7gqrCL2ar5U
e2Eivfw6o9ZVqvZjOvfCba+ScB5PUj8oT6261muioUzng+f/Nw8J52QJC9cUJkv88ucvnn8w6cqn
bkREGCp/ix4gPPje9IehST++zCBwOJSzPspfXuvEgbqRFMzALQkGBiJ7tBmDDwNyf/PlBaYg6try
mSnzNL6+l5DROCqrBuYE5em+yhzjPFSJx2zFU89xV6rL93+sX9cOH1UuXQa2ViuA7Pr6esBpXGo6
Na/AFsEQZfbqz4FaVW13WxfiIvXpIrZafJDe8Zs3Dv0jkS64WeCkLc2Sl7+YS4JYgXqS/lU7eVtN
lAxwCDc4IFrpbt6/wV8ejmWNgmVFEpoPhtZbPsqLh0O5tdEBJLVX7H3N2TATiV6W9Av+8CogcSHf
kgjNpv1rD2U2lJnaorDAGCRMOon5GTckB4hPf3oZVikTAi5aNoxFb5OgUkVX2W8zPGQucxp3CHx2
aNqof3iVgMLDCyi42KBdbzEtvfzKAumTr0NyDMdVtJyyD9F9VuAG37/KL88Abyxh3SR3sRL+tEa9
vMrkCNn7PswcwMIIp5jEXBJYhk+Vaeju/Uv98gz8uBT52Sy+rpRiMUG9eAZM7A4TicaMAhyggaup
6Ez7aKoTVNnvX2jZjl7txIHjUbBw1qFxzUjhzaao6cZUSNpxBtYuXB9rmFr0cjY0qrX0Jk7rLd02
7BWYGbCr2CNOWX9I/fGP73cJnOK5d5YcTtxdr++X99VKo8TzVunYj/SLQ1Dde2kVdfXB/f76G7qE
Mi2rB4Uq13nzHiM/BlWLv4euBDOWGLo/w9OZkZFVy8/vf7W//oYuFyD4WFrAny35ph52Z1QCJLNw
Ku7n+sIz7PIAgeKjfNbfXIWENQ4ZHldhrV9u+MWTwgTOHRZZ1Sr1AR5XmdWACR3iD742zH9vHhTG
OJ7JGYKwTTYT4Hyvr+MkMMJ6D6M4o5B2xO1mIi018bZ+93xccXdMkVMkB56iPt2gcAxdDwVkSEwU
E1JkMWgFvWInR6VYPg2DKBstR0NsJMYr8zTJivm75/QW8bnplOknglcw7yJzw+49JYiAPkVW03s7
+L4IguZUjSWA9Uhk+tgcgSwQWRJbJLYeN0BU2nBFH2ByPFQSdDCCcxZp+jlH9HqC5CqNRwTAQ+NH
Lk50Cb/pitbvhJOJP7a3c1l24srzEiIPRJ129NfqLAjWioapt5+sVMcnXdrUX5y4Qjteoe1bK+6u
vgjtwPDuyESY8jOzKbx5BVzcc8BJuDS4TGLDgwPAVlFezoFTTUdgMObsygjtRO0EWI7xlHp7KuCI
eaAjGIen9cLOGYqxXNlChuypmVN52xahs3ON4z+Md3ED+2PxExn2VQZdKSFXO1RXKaKGYGUnM2si
DRTYK6ApEpA2mY8AtXMaWd5KSLjmcdUSAHgjXQj70Zpg4SR/yGPbhQjll1jLZjQgKHJMpyvI5/BV
e9B279E6FHANGFQO0X2WDn60TvQoM8BcIrmB6WzMuMjokGzsKbXjtZb0mC7pVLg3fixzxuIzQs2j
XnvW80xQkAnAr56DaJV7QK7ABE9ab8gziZHphF18FXXoDvFHoH3cuFUGmygv+NuvYgMKNHuXi/LE
Ag0+r+PcBUqNtiBvz7PYdIPjspb5JUIDy/082X4zHTWNXYI3MOxiCMCcMWC3IygeOLy7DU3Y2HhE
jNDZDH0t0qTOdWoX+mQAxWFtayPt4SwXxDJoBmko6eq8AVXoFhzMwMrg8JhlwtRyN8LU1gjTVJc8
TtqpLWtdwu3Rwdax6hbyRoZYEgdeE1a0fZgrKDwBQDPyYPA2UkVm/z2wMPyc2r7KG4Dgqa5BKmZt
MEc7e7LEuVkwajxu6iget/CHhQLm0TffMtMvMYQEXnLpF6Z6NhoXKVJQJS2j1yHwxm5FgV1Ul8yF
RWtz5LOs/ttMZga/aqehZh8F4+z2j/CdZLmP4BG1G0kbGEx65qCVJyi1HTZBSpNxpVGs+GuNr3E8
0n2SL76+REVXJHSg/xNt0AdnYxvXzT6G1vqdDM+2B6LEO/ytaMibWiPoKE/aOTKnU7TvRr4b/Lr3
j6w4E+YWODng+zx2+nPQHkwNUd+2+bWfV66904B15TY2lJJbAc2QvJtYpxWKVzqkKxFmfQ3Q0rWD
rbKywt/HWIzqNSspO9jIiLxbGVMAn9tFFnOxJI58mfLK7Pcef6VNi9Dgscc/EsMrwcFQHVqJWGPd
Wiacerup0X/59JGXrB0ve5pbL6EAjjECr2pACeIAqLoc7pzMVs1RzIknOCSGLqyTuiki+7ILYHx/
hZbZJdcDHo/6yPUJXdnLaoClMBNb4gAoa4OvymmTM7MOjIj2Ylo90TBvImKF1MSr2dolgJewhlc5
RLafQ4D00RcYZiWWH6gDrNgHLXGpWRV/roY0D7D+e6iHGKOU59lYDiBniOGYDgiLgZEKhCRkg7kc
+A9DhtV2UzbA25Dban1beQbzX2PKiyuUKqjUiFU3zrMpU59Y+IG/5JYPZwqSIKtGWTatXsUIHT7D
ZagxykT+qMFIhU6zQ3ad1hdTKPF9xUbrNjs69CQLJoBx/G3twDxft/ST/Z0tagVMYiTI6DaiquHo
DhtSnKKeNfQ5AMzkqGK9sA+VcNIU3ohMyrs26mIiyrs5uHNRPJOC4/uD+6zUhGvFR6rannhNDPCK
PKBBblTnF8api61Jb/wyz91jEOKNAwHN7CCTzGIyV2aLk2Vry464dbPvxbzBPO71YCQsDFcimFD7
R2bVzvDIcjgRGnBDQ6xNObbHCoE44lgESyTKwOdIj5RphojEc0iMNy3Yn3gzenYUwAuM6AiPA/mz
mAzY8FFXEgOxs0oaN9tM1t4jy5oyz1zc4bsucmzkBT1D+12dhA4sHtSp3n2f5n2AaLUws+OpixY1
V4wQCdB+98PzOnMnQ9RVFRDYCSOz01eguwNtR7dg0GilTePAyDEU4JbIAFjsT8YwQOOMRumi58Sy
PpOT7OqnyiAgbmsnUz6seaBcavzAGg5j32iSXqaYYUWFFiPatewB98mkh0+pSOATFQaON9Qu2rio
US0glKzTfoCij75yI9M+gH6XSQNNR2AwGw2A+aUwZslH2vRqzBCx9V76LIvFntWilGM+1RXTo1/T
pF+ntjX420yrjrXdjaBMDaZo/E1Qi6YDC5fL/GAWNZ63BHjLvuprIss7OeRyzaIbhKzIvfvVhxpf
HiVFaXT4oUShcXwMC9m9SqYrun5TuXaRpMD0lEbt77CC5idt7hg+yMnG/uLNfYlCtxEcTJmUmenG
6rvJXBdZOMzE4Va4mmai1Pg8sSOQ8C9BOQo7fkY0X4aw3IM4gPl8yDhxmo5b3Uq2Pl55RD6wr5T2
UG8xKfgOAhjptTFYtLWwESBIQ2qG4BQFHwESemYzIOeJWfY6IUDhYdI2rJHaIiKN0ISIrSCXxACb
Oo3XwkiHfOuWqbf1IoYzyCrF7O/oLYw+BRITK5okEbTvzpEmGj5AUemOhOJQXTIHhAo/xXkdrNvI
L1ogNGnfDyeqTFElGazvyXqx8sdnGWowhGNqSMdPci56B60a+P5zIivmfg+9Kh0PZGLw7OAUdpHK
t1mQndTUEi1U4EAybIsSMgGOCRaOam9lxI0NkrBywtGcd4WR+Cib1Fy10am0psT5BlW5qNlfpQKp
EGg2UhdfI10gKDCGZdf3lC2y2miwPpCE1BAuloOiO6Cu9vBGuZHrHBKS5SAV50XY4jn3HGLLyg57
MDItIjRtToK3itlhd6xzH5V3WWhoWkPlTVc+ySPBJsEBA28YD12206FLmvTsR0m1ofEDDpOiywIi
q8j12LqKr2DLL+Mct43VNHvS2vIr06iQD7namb9WsRMRlBIp4vkire1rXQz9sdNkOBJRZYC5CtGN
rSPs+y0GU9dgh6oaAsSGNgz62y5iqDpxtuVxkySU7RB4lx5mviJDaggNLtryz6HC8WwS0FTkfqfX
77p49KYOZ4nJMDm2MVvSfNGYP+uGrZFQttI4N4ltcRcvEyEBaTXRIu/pKUTbhrjE29CMWUEMI8SE
2VlLTKHVEIOFEj7tHjSb+oAGwSDNopcQ3tY6D4evKmUAzTIssRPWonY/NynRAttSCDwzEnqCizy1
SJhOzpEGcCZRUh+mQuTpKp9VibtTWgSwgMHDw4rK49I1I9dcWXkO+NQiIuJWykQjpXX6Edu6n5cH
t6xDMnZyhjMrhRrhWgypAeWyQKuwmc2ogJcdq/4J4xJQvYgpOwN/lTYaWVeH2yeyvPYL6vz4W5Vp
WqYzKBVzw5lteEYiWn91k9Q92GFILWUSO0asvSirZh0ZWXOKHJp3FWPSuOw37aix+NMEhYXk1QW0
1Lx6GAghOZlLG5CfBPXvbsfciS+hlxb1TZBo5cKJ8tADxN2El0thH94VjmcaOx27QEsJuoPK7ZUO
bs20KjGz91Kx6yGnmK9Q2zL5D9hMTz2jj6LjOC2NGwX4wrypfRkOK62z/mJWtnU5Nh2SSD+2jesk
JeVm65q9uwugQp4qE4/Xql3MdqxqdfUIFri6xBBJNjxpofhNGumqeW13CGH4+QmcW7aDMMQj2GGa
T10OGlf0PIaniNjY57zuHQfVfsPumeB00ptAjOXDSLLTgiC19disy7CHSbzGlNVyDPamckYJU+uS
ZZrHB/nGCUS2MbgzprnQV5Bco3nBEgJQ3pHQamY3VlmU6PVqCaWBGtvSsr2ICbbgrcQH2SiouVrz
Jx4q1y8ELs43g8frtc3z0ul3XW3lqI5bx7mNmrT/jDOVrjHhcS2ZBXOJYRK7CbEaVTv6/o5s6P6E
pJ94XHvzzDGEtzXhoTM78jvGrbTb+Ekr4G44v/z5YVRN9x0dStyDiGHX4Tk14FnUhurAxhYRgiWW
jJIIyDDGqEhKdAs1D67dNtfAZ7Yz+ZZfKvDWX/qU1ZvFNifqN0CJd0jL0sowXo4mehkLJl5h1CiX
PCr170jZq2DP9Du7rZ0cbGPblphBl5ieNVb64JYUCRjNMnNBpKNVtpz6sUs4yH3OC4Zk93y3EHbI
b1PTFh18Gq6ysXNv0CZAIiN8TTLXV16bbEJMD/0ugr9lnxRe53y2XdmN+5FSEEFDTzcBrhbtDFzz
oJo9JvIZCBXZN+aehixMgwlF0hZ/CsWKR9iqw0E5G+G4uIKCvGptEsy1qjkp9ACXD0BIc3wo1Jtw
ksU4fwY+2t1HbtCQj5KZ4tafHBd+JH/JWiUtW0UyuP2XIdFmw8thEkjIE0ftQPvUYa/tagm11aOH
tqI9XLcbpdMohwJcQ1F0YXl9IwIQFQ2hWaQRughkAIe0XnNslVVHRHEckIZCAVqIFfrk7sEYYp2c
Dk4lWtogvkdGoeWE4YpSo7vWTQEuVRj+SLpHUwRbWSmUHFDfx+u5TZCmz1BBFadnw0j2tP0Wy03n
k9Uh5gF1OFEfPb0IGs8rxzCFOof/jsUowbTunfaFiG5L7VfhJsE+Ty6pU8jPRuWS8Tr1FLurZnSX
2g10x0lSdGCtvdlIv1DyTRSg4FKJ5QkdXn6FrBzFiV0W+cppF8tA5gcdQIfO1t+8KhrIOrbwgoPw
EDD1Sfho6w3PJcsh0NRIbMkJDqJNHmFhJYsmye/VwDJDopFNmT2bM/Ja5QPCSaPxSRdq5i3HhtAe
D3Xff+e5jKyt5XLUfJ4nsGh7k9rYOA5FgoGga3Hir/we/P/B111b7uFgsXPCH++sHade07wvCnux
2pJJpLbabOfHUSWsO10RgzYMk6E6Wlx2d5btwvoXyLLAEOH9mYzwzJj8URaf4qmzeb9UN6X7oaYk
6c7xgE9yk5F7JjbVzEn1G42DtLhHK9SDDtWiafekxtCmWinAKe3njDJOsfEN0jVuc4KW4k8MFT2Y
eGE9w+9exY6ZN9e5hW0dzdLIwEVlQ1Kf+aE7PA9jZhAzXY4Z67QkSVh7GeeVxHOT02z2wydH9cUz
xW13V6NrkV/7sO7y53Sk+t65HiX0SriVFEdTU6fVpziOarWXud/Gn92WYTVdAJV+baP2uswmvAZO
3wqwqDwaVllT7KYGckzkdzhdHHnge75vCnGqSn1RVvYz512URbX3nRig8Q5BWkP8ahTsXW84bpaS
kwwYcBBAZDIxSPsb9qwpPvlXzasUZrg1V7E2RLnpm8S4NNwSOhVBWAjNXIxN6To1mvaOtoTDUcaj
BbuXzeBc/Msnvkhrjn8c0EuARFGVgohuddpdBJ0lPnEyE8CSupjydMIrdUnCLTp6Cq3s5s/6wpzW
GIYw2FlAaQHDrDed1NEaofkOcGGNJDuL2Js2djuNfziH5irMKUzm0MwqUKy86ag3roPpDJ/NqrM9
fczJpESpb1sfXOWH9uHl/IDLBBDhBBUz0z8p3oy7m6jVNq5BYxUMBFXh52UrWJEMVqqt10CPT1rb
Px88k0I/i5Rx47MLPWPdoh55/1v9pT/tLcExhM6YYolzNN9020mec3jfXYNjHVpzNLfxmjTFYNOY
xvjBuPh3lxKmS8N9GXja3pt7xp5HQK/BpSiUu/XQQls0TPD7pTL+GVf8V3n1FyPcFz/w5qF9+D9P
ZZu00/lD8fS/f508ldPDK9HV8s//I7oSf/PmYGFAmGChz12kVT/16ZbFnwRMM5k5Cp5Mh3HWP/J0
CIXItBjx2/x7Jp4dXrt/a66WxE+TVuAyeGWSAj/kTzRXYpmZ/eedQA1EO2+JPbIk42nfXz7ey5FM
GBPtXJTi0RnLUMjbkQhGfM5W3LbDbTDmtXONG2owjoy+S5+CabI8otPL0TgNKyMcNp3tQzgg1sbp
kG5moWinuxdf5W+UWq8f4J8fEJlFgIiEWSl26NcfUEZeVYdZ932MXVFtLSYQ5KkVOQAsQWvU279/
tbcTqmVtkC6wRpYhBkj+m5Eb4B7OqV0GzTVCgWA3c/6lHsEB/PlVmDCbDjqwgDfzzZcex1NmUfGn
HMsAARC7Bm+o9PqfSshv4/9ET9Vvvrm34oPlXpA6EHWFEQI10Ruxg28iEfVQknIiLdJdXw/meQCc
91C6TnSSxUawNeP6yYaf8MHtvf7Jfi6wqA8cywcnhulh+ZJfjPmUQls3sL2xN1FgTmICw0PI8U5M
Wn2wvC07w38e338uhbfDZouAIPN2JZ3LsYaGrlG0i5TWWDu3K4wUnD7nZ9OiUn3/d/vlxth1FjkH
9RLyAPQIr28sKJJcpCbVQzZFX1tbmfTbmydaP/MHt7U8AK9uCzYIl0BMF3iYw6zlg7z4BqkmM01e
BcpzIdAIpEkBxXgAPeNCfHfMoTwJoB1fvH93vzz7ywl/EWAK9GCsB8tS8eKioQ0rcgSnh+dE47Gc
h7p7Fh1w8w++xd9eB2WC4wmb/5pv5II90ghA31xnJpvo1gmtpU1Wp4/v34345dHgdoTLeY7/kN72
VglJk32SrfQXTXzbIRknwDUNenufRDT6tX2WE3Gbp/a+gXShlD7wuDDo6o9mszqbAko0oatzPPkf
SIJ+d/cIgdBTSXORL755hoAA0Vpc2CPp7JRHzAImhOyIrt+/+988qagjEREK7hzl0Zvf0pzhEfWQ
SlbFoAd/ZYqlPnQaQiOZfUyMld6/3O++68VHhYhg2U6sN5ezgxC+fQp7ySCLaoeH6V70/knjO8eR
U/2pApRbQt4EtRURiKQkffMNMlUWHiJXjEt2UR4K6FhXIqlsnIGGJbehVOqjR+nX11HyFqKLYKMU
Phd982Y4THUGwevYB4OC2OjfNsI/xpQ+rDMOrua8N9rbJeVkbORm5tCzsdCheD3dGBK2GpKK+bRT
mX6JDVqL73/1vz5PQE1QS1PSIkMUb/1lFNOIpnz6LF3UkS0zDHCDrWI6ev8qvz5PXIWSedGNoyt6
q0cVYRIjhgRarLA+YNOqlyEm45twIE16OfG+f7kfmqHXCyDXc10kqejS+Z3fLIAWiBJVOhHWMpNW
wjGqBDdfV3OcPds/4tzwd0S3qRMxSTM0nHEGp2Q3mOC5/I2moD57//P87ktGTL0UXKZlARB4/QC0
XcmkQHP7RRZ0zWHoZ5iNI053+cGNf3ShN5VBhSXLGWIuxJk1R4JjxVsh9Eerw/K8vv122ZwRrXL8
RdO/fIoXK73E3my7Pd9uWfax2ODooePThhZchjHtkmV+PExHzDcIOAhVFX+0XPzuabLgkdCbdpbF
6c2vW4GtmJjxs496BsnVrIc7YCwtc6/eOLz/y1mmfHuzyy7Ab4bRk2vyf17frMncs0wtYm1K2jmK
TJ8e0oitA8Q6xVBG5qZL/OCzpFPtLuMHWg8SXC6TbXynwXcC5PybpAhLYG7WUNI7YCupZsa7uJf9
6pH6XpXf8Gd13nmga5BZZH/EFmpxUotIBUtnFd619dSJYwOuPl4uMxvCdTPIETnNIOhldjqfzOt4
TNh4ykEtE8moncNyb+p6AVtEQKyNDd3DuSUH05zPsT9F9rqj6Q0lbu51uwtkp9ptP7ot1iw9WvvC
B9K9rjuc2pERAXAqscXBaquQZGx8yA2IDoc2y/ZNUFvtqi3KCsCmNVkwhZIqJO/QJElhT7qPVmCQ
cueegsgqTjOda7kvYDWQQqHo2E/ohmCmQuzLvXjJGS44UsAriBI5hGe0l/GPLdKXSQcnZkVie3qX
1jj4Ec7kcYbFC4dhH9gHKFojyRex1j5mNqbzGotpFbYPNinul3WRJ1eeX3tkY2JchzGu8SPQ9rTr
Ca6EmD8xeVPR3kxr0wMqUGb3kDyK71rjMiUKOBMQHicvxaQ6hMFlNnvhXVKkgt2/q4gpY9KGHAuP
nOsfiVz7CClQF7mbBEdIsrEBhMXHbmgld73hmpq5BkVUDIdjAireUwfqW3OwVYPuPDfuGgt5hLfx
+dpIm+pJSeYLjm11HP5f9s5sx1Ik3dLvcu5JgTFLrZZ6wx58nsKnuEHhE/NgYGDA0/eH56lWZuhU
nW71bamuSuHpvgfA/mGtb+m0MVBkJoZzm5L/yxis7tlkVKQWFzE6j8KLkZJXxxV5R8d2VS0kK1t2
+kuWRALtEgIhK2a/hpWxdqvy7oKYjeXJcetgPBCHVk9QkRPnlLIpSVjwtLVdQczRklu8rC2TZWpn
zfDNPIaTRTbO9xkb2ToyrCVAiyyx4aO5cQ/AgdaSEHEnnYe416KrWrKXu3y+KvzWcEPwukSfMBQN
g3TgDxORzRXn6/45HQmaBDakujujrSZMt7bXXyJiCvOYesjyfzQ2QTP3ui6Yatf2mIXHzrHWKtzB
l5iap5mJNbbCVJkPwAC8fh+QQ2cd6UQ9Pz3HrmY0wUUzYX/MzwqOqvyMjoaUw9ro8dki8q/qI4p1
89Y3zOJNW4XKrtqZmPm4maoctoFRBdeZNVSad8Sul9Fa4xcRj35JjEdKXitAWZ0wmVmG7NMlmL5G
kzDM4R7UIXSreXYHksVEwY7UdZ2VPGnI0OQ0NSyG2PV3jRuFQpnYbSQZ1ZD9m5ndaxpsv9JyxJbV
UfDRjdJC+Cfs2UHJjGiuPHmBIuxWDMF6WRjzAJIRgXIWT07o9jF6s+GGXq4N9ziMEb8VLbnyO+lb
XBAD6Y+XzL5Jb1JN6kDx7yqGlkNjg9Yr69wCTJw1i4iYvCIxqAkw/WWFq/tcLRZp93M2VWd5ip8o
nhiIkr5iGt1rprUOX8tVrsOzk+APjRXpP++yCizugrX3xNFLnSa8aHvwbedB73f+3vJ9EDi9N9BA
91Vt/5wSVVkH2ZG7tbPDmSCdxDOL9ywIq+lYI3I5CbqOZt/B2N54SaXn7viUsEIOOJphuJgIDaKM
wQrcU25o0CgdK8tdUAyQIMF1ymuycp2XKhyLrxbIWhDpAYlslCLdtBH1WPVLCfSx3iEQ68h3sRue
EnZmD8T3QGksSIkBGB0Zqq3VEf2lew9ZuvKiiqmfi6KmKwg90wUE64lgkeqiqZRcHpRnlcKKEA9I
5yhE1rBeNlTWW7BLESjsIZui7tJ6zm+M1bdShuYNmoYnDUcpKE8U/Zs0UpIc1/EtIiwclfok3sHt
X5ERukqCRCG8kgiApecOG6nlx9t5SsWZQQDLTzIGoGehT2qK2HdlWZ5nres0PHEqoKZN3pqwTHsP
vuAc9XatPTemEUF2dQwFi035Z23477nffzDF++dQiv/FNrj69dexHz/+59BPOESM+PAlAtcB++B4
/MufQz/LIjRcMI5xmVjwM5vl6j+HfobzB9M4H5KF2PyPCKSpZP4x9bOCP+gWGaYwy6Wj28yR//N/
/G0SNPz2///mfvytANs4FGHIjJHXaDJ9/H3q12Ym4duOf/ALnlUgndeQ5whCo3ys2OJV5m2dTO7D
gkzajYt5VWezwTEWCRku1BMekUZNFtS/5GIzDxyHcn6Bs6xvFncyfiqIqC245Uw/94UvnWhQhb52
lJcFF9Wo0EE54cRGHKGS8T45RoZx3yhCzqW6aYpIGrSYSHIWoqSqcgwfCHce+52PPYlIA6ddJqgM
DFOPCUre8NkEm44s3hqdH61bQkgj3Cf5wv6V1iRC19wPVjXqMDKHKn9alkK2+9yAl7jzGTn88N0N
dBoartvGBA9UIMPAj8Gg7s25iMmMRq/M6LSVEYItk6VUY6knRxMScd7psqn3A8ZwcqzT1g1ZQ85a
p1cGNdIRAdHUzrFeAuJNduTkFvm+7uyi+frLJfdfzPh+6xcwbmK+4a0zBt4awN+7P911KxGl3llu
Nv5Nafr6medZ2P2/TROYUrMX3lptbLmWTeP99xI6rBoy6YV1AxvWtvG3O7I+QSEZstOUrhjj//V7
wo/0W8lOi8keCHALAyI8Ydv4+6/9SVOvPJbz8Q1bFXgQNLHVSxP69a8cBFd7WnOjzei+G1Jp/MFD
7CA8zBG7eVl7zQqfuqjFygvoHHrjawFvJSNnHoTFgBhmDKz2JU0JnT120H1uMYm0KCxSFZhH7FJJ
AOLdAt7tDQM1vvASrr10DnsoZxLrAiSFeT63qX4s2FjV1lXUaXcVWohDb21ltc/s/3IkOpOyCZZl
/LNf19SBBmTIOYxH4GZU9zq3CPzTNpowkj5sZm3+SjS9GXR97KBNQFPZwS09VT0el3M/94jmMUhp
gRlQtOMHgSr+y8K1BRcYwdy6QwRAZtCQm95pXPulO8mcJdrRdSv3UwUZCCe30xlo3hFUdFEaOVLb
vSSFb17Qb3czrkUSaQnLgIRmuTe9vxg5TF8xD7sOIc4bu2DYMCkwRUhRs2dMsWN3s39EiuXezgho
w/PcAxTMbpmPgNKyBF0G/685eJOXb5n2fmlyVFkJKAmnhVmRmLb4ZUG1QExF7JYFmaHPN18EsqtD
xS5c3K8rs23Q2BnG4rlrx+sBQLh76akabrBJHX8+kN8TkkwxluFFz8ZXbFF343Nmh2gTIQIjQm8D
Xue509mkNLvc/Zcrwuf6DEjT+KOvXKIJ6I4ccVir0n5eJ8qvXdKP7KOBsqCayYAiQMwGyre9q6Ak
0HeQWp0r8u3Z4ZJQ/IDMEEorS2c7J51amc5uQQSLLMRycoR1IGSHSAZS11w6S+qjpij9y1ZVNTAL
256Ns0xtiZXp2uXdsZAeNgKCnNEgFlqapAcwcKYyanPrqUwn+anTpfzMCMZbd5MB0Ii7cfXkeZf2
9Rn6TtA4ZTB0Xsyjj0gU0/UvgzBHsLr2JgXu6l6LQkA97FCTWQc4gOU5kgzH3PJv3Wc7IDlUG0F3
Xpt6w8Mp/Tn7YnzO+RRF7NO9dSzwHeSAKdnSaCPh+9cRXaoz7Csx9bdewI6dgE2MKXvdbLkMFmjC
rXh0gxtlrc67x2f8XBk4/S/gaZKXJ3qL+EzCoybjiDouMwhFHJUbJXnKt1GJHCkNPWkP2Ec0+mEx
h3o8dCDWmeziB9wi0ZsmTswRhXgVLMgWlfaDM+Wt8qviAUOfgh7WiqVy+8c1MEgsbGzR/7Cycv5E
+k4koba9AV6rhSYcC1pPLDzn4SffItK0ZGFssNGKMxJFlgn2q1y85K6tMruA1NwBXw7r1RiidqkQ
wKZervp4Em3wFoixQmaxEGY4rl3wNduud6PNtPvM1rbr94a0wR6afVVBO5A9NOWKJOs1YppRPmbr
2F/53Tp/wYKjG0AkneAZnTYWU5PlQZxaHY+pFdHBQ4jG/37pFn6Mm4iEJAGDZYmJUfVvUrPEuVGl
jPQJOfGN5oC4L33f+oRnnAvU0spfNxmjIaoQqaetWDDAuCFBIajz02CvE3w9Vkn3SdAQWNL4uckH
Ns0jL3dxTLkRheRjwvFIYEbpJJ/e6oLgZeyEcKoNK1DDTjXB3RV2G4zvzdyUKsIJURDVwuXKz+ih
DqCYeu2dCXKesBQ5M44Pq9ocbYDyq9PiXGpKsV4kYlVBlI3qW1zjGtO5HC1iKivIJEbsYuHHOlxP
qNEdOtkLsujJa16dvrtD+0vups1jYEI5L/Kb1Xdh+3utkV7N5G37+y50vZ8lhJzghHGg+cy91HYP
Xpotj700yG21AgMsUxb0zMeaYWiQkpVFE7dpgZrz2Ax2d02C+Yjua2jyTW2NrOxYwZEgh122XrfF
6qx1nGRlm8Y6yWk+R7COT3pQ1mePt/rDrV0+VUWjccPA13iZpwKPhpMY+VcB/gYao1fJkVSaOnQj
f5AOiJ4AoVUkgtEdo5pB3VeDQdOJUyMf2wP2T5O8xGUGP1Ml2Nn2FUMKTJF5jlwHgQoAYT0TLAnF
GELAbko8hI5TiJKd/ndtfmRdarz3GM1ew1WpG3Ig/Oe27833BiY2RCjYg1Q99hos3KdBk8fVYGkV
WT0SipiMewmlmM8d0m+fFM+FbxjOhpJ1GamguCb31iwSWE9t7UriNh37LfNqgQlMLJoSbkFYLQ1T
3SQ8fhtSQgGE7xxGvOaFW7fuU2qq/EFxvfdbMC7pQKXgud/Bgb6ZVQhbH544CBtk+Vj3srLSr106
uRXAxzVrY7r8NUMu29Xn7szdBQkk27xVaNpvwfOOHDpLSD5nXmbq1lqpJRHHWtU7LWTX71i6mF9y
GpuXckqTjwBCJurGIg1eaNX48i1gux7Oi5rxjoDE9IEzaKCKnLvFoRNWjdhX5ez9WPvK+4ULJH2t
FTfdDi8KGbZmOUhFAPEWigAKGP1lbhimTVJJSC0zTc30AjDRe1E9T23ErCWtHkCAUs7VRal1pyE+
5SmRx+5ktl+gCHyLQ2wQ1zN32U8Ib/a762tCdjLOWzyDkH5SsLg2EKW6Qnx12QFb7jnTkfjdDkFY
vEw0AaiR8rI41RbjKWZiqLrP/ClrymiWUzUc/GQsq31YBtMaDXDHwX4lkPSjxJUVAaxdvlqXrj2v
/tEHoqwuwnXouucltRMHC0huTPdzhjIG/JluHlzDTsS1NoZZnnpjVVyRgNJm/HagURN8zBOSIWKJ
OoTm1luTwOUqCAFOFxdRLOUlhZknl4asE6hcYpG7USCl6HgZZro+lzkl5bl0u3pLjMVcCcib6bCr
DyNjIr76uiR/4i1nkstkMq2IJWzbJHEvq87ymOGg0Cf1japxSmpUXYvuiAKijBAkChGJ02APKXEa
RjVVq4EKlVAm43bBu1teBmNoJGk0AyHIPkTvVsahbpzCvy37zCWoGjSe9RYkTZ47+2rhyQiQd8J1
tbMyMKxjtOomFJEIgzY/dIlAkt/KmXdBntdCK1PmpD4fB3+U+eMQrhnJ5tjai/FpXTAaPOYjfOdD
NRCI9mMsatcGMGivuXegFBH9KQ0HlIA7t+4DcZdnNvbkHbim3rvPV5oPjJPZTO3NQMTnFDUaXm08
l2sJ6YInZDs8Lr0aQ0m0tEcuNLzglZmQmTrDlZG1WXPZyH7SV4OPnLZFFxyUPiL1mcb3LHF6gghH
6eANIh/c1nddNyXiQQzg2q+YkmJ5WexlegoBlnD7lcm271tqyptAEyxgJXhpSK+dl68BJCipDyV2
cZo8iYWmSW3Nxo7h/B40IMhvwhIRd+NvoTyxe07DJhiMH5C9AKM1hbl6+zxhOkyBp0R6WXg+gilN
e2EibC71sbYEFsku0OIlg84uY6iG2Ohk5lTrnlx2tztjdEcsjqVlZkbs8ft2DypvzLi+EiiPHbJa
mlZytFiC13M73kiFchk7A8Fze1QS3RznteGA10c3ne+LECFay/ZeAAJuwgKDz9Dfmy4xDlt+SS32
DiR0rPdWpW7nwOaVtRcFSVoOR7dPIgslOxLjBsQjDXaS1TANA6e615Y7vmMktj9W+t70xTAllNWO
4GzGohDqUgzDpA7YQz9H6zTrD2FOorhNWocHtisy4MRc4uPCW2/HPbGbnN4Nl/YnSTQdTlyQHkhX
VxJGyj4AKN+ZC5NeP3D7Gc6tPz7Ojq3wJgeUuKB9cQdVU44XuyVWnUBkskl3zuyZ4phtM3Uwih0f
mDYb98YqSCcgCC1Nf5i9V7+ulEseM2TMdvFcoHI/yMzIuIWydH1b/SJAZT9nlcRPmjBHmMw5h+zr
FsG7BEV7R27xnBARhjR25zErpy8LbZNDqajxjwC/n9Xhu8n999DsP8RGiPnnYzMkczw5/zY3+/4v
/nNy5v6B3J0lM4tsYln/IpdjcrbhMgR6IhfSmLnRH/4xObO8P0CXMRsDCMWK1vEYGPxjciYC/m2T
crkQbOhN/v8YZcxY+B/SHDbTIfO73yYhneBFIyshpI8B7R0A8Z8DBejeKwPx5wXyt5nd32Z039is
v25pXTb3IZyObXkZsJD9bUs7yB7BVJrLnclGCuOShjVo8qeLqp4NXKcE55HGoWkvndG7NqcKHzyG
8gefbeWvTtnNdWtqNNo888+C2i1Pk4PSvxD4mqpMfIaG55y6bn7O29A+H8bBuM1HAdWaPIPbskqI
zVjS4KENWhYmRrhzZzfcD+70ufT4qNic2u+5AdQ/SNIXbFhYmbyO3sNzYL3vFD4RyJS0yV6ER3G6
GWp1i4VHfSbwAHmAu/5b4GbDMad52eXDJpKYsVJOix0lrZxa8uBr/AJj7+yTZmw+loD17DbNhC7a
d3a8LMRJ9dJfCryhTsg4HxQ9JVit0s81Ldc5tuGSAD0jeQ+dr+LRSXhUavTqocY3Xlp7v06NynwI
M8/OrOCEPQt3dUy6nFPJcxPD+4rLbG4XhN7+HBgaJGqF0CwjcWVCQYxm4aZn33w7ldb4jk/Lx3E8
1k4eVWZj/6JwseZ9ahJyh0AOy6IDDppmZ1DGa5gs3t1aJ+3H6LX5vQU1LYi6JJ+ceLKGSdH6L+5P
BRA4PKs68mCotAWfuaVR9J1jOGL60zahsZtVwbO10eYMLRwD6cHqveS0JtPwOLTaAjHae7l3TlAI
lZ0FRIdtbdavHeZXFVQcF2b+LHjKqnMD/bOJz3ficktl7YfnLSG6LF2CsCzZ5YA726d1SYJqyB9u
46Z3JRHstQ1bqCP1/NwfSb+KsB7ivirXvnnCCLqoA+9B/ShMVwN4CBeO0Rzz0BcuzRZfYTXxQE4V
xtHICrINJQnmAMcF+UUJVNNBUCovJvjNtvTtZ/xKWRsRtkTRwKjY+JySbVUOBEJ8BB0+B6xCA9E5
ts/+uRQhZZhdoLSKJmD4064lvBC7dI4Sp/YdJAA2UqyBudx25bbMeN8L/Hg3jpnIPi6GYJYHX/uM
qnrdWttPK/mBmQHx3+QnZUv140uPkVo19rFArDcdpj7Ek3g3KL3wXOChtHTDJwcfJbu5TSJJy/im
JxgMj/EErjg/trFl8D3CzIxqizPAnphRmC59e/KVqn95hV2SzJExBq2+TyFYIXw4ZIhzOgXlwPwr
SEpzgwpuJ1i/HWb2dqxxTXDCdd+nnVVtVhv4ipyCLiuiN4YsnI1KlKI6FE7T48wfA54mXD5EQ66m
8SC+z1eEXM4NY7iFfvD7BHZYBohj+H0yawYjd6B+Oa/z3MMBrEg05RzfjnQqqfFxaBoCmlVbKpcx
53b+D74BumTWbo4IFdU7JhqKhea7bljyfNw339UELTzhFoyZqTLs74rD3IoP/7sOyb5rEhpC6pMM
NsttalG0wFWhfrG3UmbeihoKoeq+/6502u+qB6MgFRDqAKqh8rsyksRLsWjFRFatoi72jHWG2wTH
uLcjiCmTe+u7vmrHtL9HkBZsOtqtAiu3Yqz8sy77rtHW73pt/K7d+u86zvyu6czv+i7EG0L49Hfd
F3zXgEAfqQfFd22YJZMvmGVvNaO0CfshMy23rVOo3JbsToCRLyODTTvSIpxgEjgYs8FQbDeSgPt7
uciFHA0/1PCx18ZUM0AGUxo/xFbWqu8KF+49tFtvK3zLnC5z327lcPBdGYOkoUqeid0uI3oUQl50
XTOfG4gloIZGXHbpjpu0LqOQ7bl5q+mp+S7GU9Na1FUVunX6syXpSH0GvdXU9MTNOr+1iSjYvyDF
YyJD8ovu78NidoK7oXWN1Y2E25CYt8umwHb3bHpM/RAaOs2vlya36OS0v4VeNPUgCkX8TtZMXRQg
Piw3Q1xr2MexXwp9w+dsGWd1YLQMz0ym5MRc8PuTE1CXcrxgduPwlmaHsAofAi1246/CKLv6pGwy
AMbdoCaDWD1i1xZyCaVtYN8tloYsytoYrRXXMjxcnkimL4dHHZosxCLEEXXw5LNKQrTdpYW876Sj
7RjPlFhPzeK2zjEZbIIxtS0nHiWkTvLwQ8GRn6c53uCTWwnHvzXIUpMMiEXLGcpBO77UTCTbIzxv
KMMJqV94rZIcE9UigR0xqipGCuQahZBzXw7cHaem7Ef/jNiDkKF7vZQWEUTakuHzMnjKhF0WukkV
dy1Awvd1UkL96EZvEle0TXN95bqdJeO5djCMck+2fnbZDXyhx2Tq6uSRueE6xaHJZuEo2FfXvPqh
J1nTqPWN1gg79hn4+eyK56/Wn2o16y27Na3dO12a9iWygty90KvUUwxUyRZ8Qt7c3IMnMtR5liXe
e2c56cIAG/zHPh9QwMdqHbLxlggZ8eZakB+++oV25ZcD/G28csZKppfgC3xxVppNXRDHaoYomTSP
UdNHYLlIQOZTNxfTHoUvAVERI53VOTfX5WN2gaHNM3EmIXLqa88wKBeoUmoRszGhp6qRRJzGqkPF
REJQ5cTthpwQNsycZC6oOIjrPLkEMRfCa151KSWRSLXb7fO1yvcoPKtraob5y23NinATGqUdV+dw
cBpz5U5mRoYdt7mhu8gOAoo9jnT8wjRJHQmVk5ZnDhrHI93wsmOe4cY+6p+zaWrXp4YFAX5AOHxx
oGQWCYZEuwXaCm5C4kuvGmsOjhCqmp2Xh4y9Avc6CLD4dL5/sjtbX1rWoA9gEj66pZxOeDuAQxAG
gssp6Q7McdJDoeaPlQDboydIVxwTENBAAUaM7XNzG4KciQo/s0695xQvjc6S17kkF2fHe828eKIn
5UuuRAiJfRUccmKhyDQql9Qm35cHr3BPDrlxe8f31BIzwBdc0B2r6V0/pl4MjKo6mHg038PEe+My
GW5nbEuRregwi94Zr3p7BGsuSPnlaVX1+8we19ulrcqYJ193Lj3pHi1XGe+p41wG2Yy71SjBxa+2
cZN4Ios6Kcvzwl/6h8kbWyYZZLKbUDT64hgM2dfYOGNMNddyTjKOiZFnuUTDEzEinOqJjW7CAGDL
cx20eU9C/MQyxPHPZJ9ui6GmfiCDeLlCKyivFLLJs6bCyb/WzACLJTUPmRlqHqeUT6pNunOC43NO
NoetoleZ+aWlxAMjy3RvtWDabcLXosToGlZ0vcSN3KQv3Lx97KejeoXARBYTnP6rGVTTV9MuyV2y
ME7obEa4rG9vs7B5FF1j7nDUGadKJV/O4tYnCDTTjsqYTSKJf7uABe6RYf7yVCXzKsHLOT9dSlxM
/N58ht863cjyFfikYOWmjll5eb+2rMRbe+ZY98PBvfI4OI+dpZ/8ua9flwkvOztG+xzzJ6kQtWw/
ZCjIDh9Uey4AIpyRN/MQSgRJmeaFE8jL8n9FhblnzhGCRskd6PVCeCACWDYS1pC1n1bbeKQ+F17/
JQYBRccRSSyAWoYA7RkGMMgBxsUkIUc/asDFQvRaltx2hfpcUcbF7CeNvdySFeCNvBSl69PjVKQt
kD155qqQ+TfLWpJm1TJ+FTKb0j/X5//u9f8jQJ/8z1v946+39m+xLduP/9nnW84frGPo8rEJYe4O
BarcPxUywR++KQSqNixx0B4R7P6fPl/8gSjAdExsYLT/366Yf3T5eOno7RkXIKkRKCFA/v2mh/lX
+pi/y2OYPjgkwpg485DqkNzyu8/HqQIOfIZAGSfnHU7uISYEr9uj7rf/G4/W3/9SYIKxRNMDwRBk
twVbmo/hr0oH1fkLnBH0AozOIl82jKPJkiB0DlrRXz76/wulyPdfAuHn8dYYkfyu4QjyTNaza+9E
Jrl9CpAp/bzM8b/+I//F28GtzncW+IxxgLb+/e2kLnLh3mdWAE+XaXKb3pDTB9JEZLjB/ps/FWym
kr/MR0zmPDgEGOowHcHe5v+mlU9sjmp48cQ7icBmL6BkchXKmghB9iABMkgX4McuXQdvX6WTPV6A
ME2GnWSWPXHEoZjchppKxB2ob/owokSryEY+jSCpVO36EI65ae+TBe4Dgks2a9dpNpQ3JSvj/qhM
O32XVsJT23XHmQl467fPVFwUzqlGH3JtSM0/ilR6X3mzQqAbTLTOByiM7leOiIWcHTt1irullvxh
i2HKxwZBTveYs1qWqVq7bPO7KgzO4fuQ0zFS1etrk5Syx1FN/G4bnW4HmAUuBcgT5b/7YeOT9yYS
i+KjDIGolaW/vM6DOb1s8KEiConNJoyimiisA8SpSJN9G4NF5kpNUvnWjpW6Bslh0idOiImeZ1qC
L/TX7pVsce0TIZmN9zM9Q3EoU4L4tkYt2xK3c/clqFuniwCJGG/DKP1HGvrykSAZKkxASFbAZhpt
L6VWXYwvQVFAr4mtrFYvdaDHmzVo+aQblkY/gbQ194JOg2U2YbiXZKGidtGOzwBYDaF6YXNSvjVD
nr9x14y/siUkQ7JYW2+bH5G0vUNgMvzyLRyc0WrxzYBSYbZRpXWNAB4LlOYXS/1KdhjJM4S3LwMj
Jzt4Te3GvqbqC+/6nqUSH6bNzA3wZvk8i4Chll3ONytyGkZUoyofmrEXMmrIl36yptkwEDws8g2l
knqek0o/ydJIgl3OyuHdJWn1YcA0WR3EovRVX7JUoCalBmBmks5INWYvjS0SHYct48T8NLUu3id0
iBSim6NuZ04M50Uq5Ij1lnMN5m4wlcekKaxzmbeNzQw8Ny4Bh0HxLPMGnN0cqqSNde02d8oMR6L7
1t5OYjqobbvTps0GpV7r9W5edXpLaNT0s9R+9pb2zLTuWXenL6OXb9YflREd0Ev6yWhhHKkYLZpE
tUglWvpWWcIZmhSctQ1a370PkqyVnabQeiFDGJGV8LX9XrYKCyMyF+B/XjLLTX/QMtExacxAn5oT
sXDKQ8mAmKK+b+wgu0xKh4xS1NBOu7PZd9OjoTIBHpc7E3QuzE87pBXkEXVJxV1W8RervZX03YeV
DeDQjd4t2O+NhnbiDL3/Y19M62PJYz+Me9PLPkanYj6VDZn/yg7UuxM9ttqorXx4MbwYFiu0Uv2d
CbJFXNAGZIQblVbZ7eHRcP2bHfNnJNo2MM/Qqd3XAXX6O2Od+nbBgcGque24bsIhRY+bFyZDWDRv
5KzagHCof9p5eqEIalHcc/+9z1xA9zaNfxuiRYxKNZKhaM3LZzDlXEmjJJJ2E3S3VRyWCfg4djUU
Pd2WqlPSJBqxJErrCeuG/7NPjID82tHWMuaBg0Yo9BgOAwVNjd3g2TBoCA+CWJe2A6guO7FpMbOs
28QZHQC2HdHayxWCLcXbpDa74b+rH21SprFHmsWMHMzM5joG3Qcc1eJSmcOZkOiw9QZ6yzwhy7mp
0Ans82qp7sRK0CXcoFbfp7yB8jBtmP6g86bY60lyip0klaTVeg7EiTRAKX+w3dztogatW3CcBrdg
d1MIlGZePmFn8Sz9apHazQCxZlezg9ivCTfrlOBhRn7OrZtYhnMSJkGNYd6ZQewwqW3B1PX1uULv
yaK8tViikpsDahNgn8IfyfPZB6022fJsGQPSwSbLb/Ru0LMZ7qxFurf9VLeYc9c+f3e4WuH5bJIb
8J8BGYQFJTAIpFTjIc3GMHtlTJAv5wSbp5/5BgHap24x3ToVDNQYNlYnooDJzcPoORgtWMwBIqqR
nzknACLoYu25RSZFjAGtbmmBTU1wMGGVQR5TxzYNqxENhmJm1KRMGnLd5KQh+r3z3AC0wh7g+1PM
QMT8BJQkkaeBpcCW4nsnOwByu6MIgnvjrMo+GauQZ6VD0iyUGS+7nNhJw0BLnIuFNPkfMLHCN2BC
/U8rmNE7OMaQQpPqVXqFBWW4VrbZ2cfQYm24bxkw2REL9DyP677KHw2/M980+XH3DuOgGmgbvLcj
8/D8Fi0DsCASySDNADd9TrMJ7SXUAbLEkkkW6N9A2ZbR6PnybYMi7qsxsJt4FEn71uhK37U98ahO
3Vu3HAv+NVArU0f0SAcBzehd8/vBrMIHFZH21NifyA8JbhZQTFznac8hAzAZ64f2m+FHMtTZfVi7
83LoUVB/oGkSXmR1lWfFfi9Wjl0mv+hyrK4/N3JcmVEKjjqNFg0rJALIRa6psrL+THHxvaENZqKP
dKSltbL99QT4E8ICZG/C2GiibmYC6dt9Ng7myW0s7siJccZDioqJhDpJKFOysjTvHA9Pj+EIRZ6l
Kuozzt4BIxb+GBxbxfrMtWn9akPpoHiaLQ6QArKaOtrWxOXEtKQiQbsroM0sZVpu6xOeAHk/YStq
Qme+gaHn1JctJjPOFKSgDh1zKF8RbHCb+mtb3S3gI74yE5kTKlbSO5kA4WwIsRH+FGq7P9jAjx7u
kbT3I4TnzTNg7vynVwwZD/bJNU5Ol7qH3K6TITZQtiL7yAPyRs1w4nTQxDs+IrWD24SWeXQ2dRmD
U2YmY3fYkphJmi4W3pemmgx3cHj7ywUYIZMvw85bnkSeafGZKsWpvJ/UGjIzoT+c7ujF2/LOksjQ
LgZIRaV9JlPXuRO+1BrRCP6ZyOYZBZrHTStQRChW3phkIStbDQuKGXu43cy2gk0S09k50qYISlxI
tvbOeji67Fn8luAupfPptkiFaI9jgO3wAgUR7vlZ+4aKApmSZYdDpv+BFGaaUSUCGNjAc+pWwVHN
9kEd9AQ8Ywzc40UcyKbHw94wIXH45qF8zW+NoYUXLzS458UmodvpjLFi5JRjZt/YBXccBwmoafpk
lR7aqVh69LqI/G+BAFITDXBlmWauIrjsGYVPh5z8UkYUKaOJ68zviPte5oHCbpwtr7qupTf/6osW
RqfLuVjFGKz9LC4KEql74SRUkLDygp2jbIUyAfQgeFR/e83AQALJhTV5WZSuajp35nb4GNeJTQKL
oS1vLDUsZBugt/JdSkijjvrQZMoLAtrD26J4BpvtYp5p1JF9XGsfHJ+RuZ28W/GIDVdqYti/D4fE
JubNNadTNdUZZv8Mw18ZVxgMTERanv3ma2uAXbr2JZvEKhSIq3uXQNqbXFXigBpHrGf1MpXcGJAH
Y2fNVXNuM602erYipqoPOVp0i0eOmJxT4qUqwUtIuBIZi3aKoK+lpvDQMlP+75KEJoRz2Uwb7w3v
oz1Xu4xEC1hmaRk6VzJwDF5XUnUvKFbgh6FmLcwnDMtz9yvHRy1v0WlJ/7YTsBGoLFLOYOq6/83e
eSxJbqRb+lWu3fWgDcLhAMzuLCYQCJlaVGbWBpYSWgMO8fTzoZq0ZhVnyOlZX+tNk6ysyIgAHL84
5zsy+/zRPf33SOI/7b8cSfiv9ed/fPtsP/i8/onwOX78zx8/88+5hGaa/5C0sJDUnJVE5SEX+G0w
oZn2PyBJ0CTiuJDmD9bIbwIEw/kHyAqdUA8bCgmDg3/pDxh0uLQaq5kB4oOj2//WYELwF/2h57X5
eTprWDhE1gIUd8Rqdv6DczsqpDnaIFvISNNsHtUF/zfsPPlCoqk4qWyxyKkGDeljHVjHCE3vJx6m
jd1qYH+tjPQUh4NsAjINJEKZvIP8m+v5tax78SrcyjwPhCXwqEhGFxor9cCygSDssuE3tOt0oAGE
wVkVT144DhcaK8eJOnnT4A6xDq3haU9Dg2Jgparu40HYbyll46tgxBGyPhsDgUwJBfliIZFT89HR
3XGbSTN5/OvhwI8gn3/NBviceBgxFrCIm+AxJKxftBMVqaugJq0vm3SUR0tHpNjlzTTu7QHah4hy
IMmlUcSHyC4bKl45vNuz58F1BskCJDaKpnstSbHMsmxQ33SJR2HTqqmF2IahFHduHqSaTlApTOwI
Ohpw9KDMxHLx//E+SALDBqMzLiMJ5Ofv21JdhFC5+mrqOL4rwvAzhiyxz4l6ALit4TWNqo+2ngSe
gcjaRyqWlC7T7PczveHs1BRQfWS8hXmoTqENQt8r9AuVjubRjeL2nJVK3FhlnB4jo0r+JoZo/d1+
+Q4w8JDF5XLbYJb/hZrRWnpOGx19lUVYXJAnwGA+inpc08q8MDKr+pvZ0y94t/U7x9xPrAjfKd8q
6JyfP6tlzJOZYLDPwcqfwf8/0mIagU3Nc+irMj+H46gzJUpKPKQV1/5U7P76y/phS/r5DaNYQo4m
cVOil3Z/+bLAOE1tP1WfLIR0AxSKXYybAUXlRxWW5teShw2s8k4dpdbbCRNpfX4rBKZzwnPt+ZXN
XayCokUMD3b62i4dHSDekje4aFUeIE3j2Sv0vjYZmWvJWTEILYPKcDSgqVqgpJ7Zu8jqgTpHrXW3
AAAYDkXeRk8k/kV3TCFIAGCZXJ//+m3/oJ/89LYR1OJ0tG3pwUm0fw00EtZYRXHcv1uqVc2mgrx+
mjVnfG6nZoyBYCbET1mJTu04mSRP0JyuZ0HYXeXQPO9jGZNeMFH+rmHX1XwFgRGUMDu54Umi/r6K
JcTV3WS7t9Lt7G9TPI1X/KvWB2+8BlYP1bGs4/YSHVbyMLnurQMG7/jX7/FPlzIYEq5gJtOMg1aU
xM+XFjdHFanWfqsbB4wOMWKot8FXkOmCKDol0OWvX876P73eSj7hAEMJZTvrY+APx3zDkMC0GCMN
bCcgJEUsybMk2+I+LtIjhhDz1ULzfWCncSYqEPVxFnZ3JvbtdmOiR6cKi9QFHhOA0IwE5aEzyiza
tkJoe7bF7Ix1l+7MIA1nwH9Fd7nMZnebuI16YCJuasx0ovHBmOpt78j+bIS6A73BsVqEDL2JWcRS
axJsewJIOnyt1LZrWyrL19LWk3/zYfwMK+G2XqfJqN904I3UoesO4Y+fBYoqMU3F8j56ocLS2erb
mU+MGRPZNiiZNh1Pl795SZ7xP59c60vSLuDQddk1WOvk+Q8fPz2r0zNUeF+Fd0dmwcvWhPe/tTMY
jX/9Tf8Cuvnx7tZDkq/Zw57yJxQkj2oK9rYjm1c9y7Zip1z3Xc5QI/TTxUPCL6NxgUtlM8fBCZV/
x7iVXc5Cjn83uzfXZ+LP9/GPC04Ho8YvBM3n53edeQUQZdN7q8Skv2QAqPvN4In2xkxburtJ1Zny
EVg7j2i8MCNoItKe47Ibn81UZn6Zj831ZA2MpQx9WLhKp/LTdkMbD5edKHwiTC0OqqkBPzhtW57N
MLHqDbLnFEQ6kde8ZOH8LR3pz1+lZeCnBtrG9tbh2v35TenJQiaNJl8JaSBNQOaT/NCRMfgtt/q1
mnuE6KVbUuXk+K6Dmrvnc2pd+AP4UVw2riaCaQxq3up9GK+Y1fWBkaz+K3r18hUn8Pw1S8WpYGoL
pAf04Peiy7urLJrF8zJZ6luDGOaas1jBX4cwRt7gLZaSSoP+7RJYklQuHwC6TrIl2rAqD+Y8zIyM
NFMEtabdIxRzTgxm7LPABHkBOqdg9qaAhG8YeUvYaURU39Lp9N3WI6Pg75JyzT+VnPhvSctlJwb9
Dv3tL6UUwrdu7CLzlQhx/UUMrSx9AzstfWRcINLpSpyWW8ObirMksvToYBHwsyXNTymy/RShOYIk
YC9Ewhb5k8P84g48SXfXZX3MWr5mObyZIsl2ZsIGs9H6rrr9cY/9d6/zn6iN/3Dc/IlLel9hAP2P
//XFFPL1j+3Ojx/7Z79jwRXgfCOamOOOjdp6f/xGKpD/QEeNw5onnrvmOv4utqZDMtaHwMpuchFj
r57z39ewAiE2omiONZ3Vprn+df/GGpbzdr09/3AmwTmlkDfAZK4LUlalv9R0IulAsikT8a40UOpE
+thgD8s7p94Ipx9ezEmQQ6O0snMu4nUd1vhWM7Gs4JnZEQ9sLFLARhmaYtvW7cSIW4hZS/HpxMuV
EOng3o6N5SGjhK4UhXeZEK26wAOSr9LD2msPSyHTfWYjJDuZY230q7cLbA3kcTGqe7nohMIhPYLs
7DvMEgY0Y83cvSJ6c7CX5IUZGe6WuKjolhgOZMk8NWf5XefyJ4CEkt+M9lk6UV5tIEXN0zUMK9zO
pKeIUAUMSrP+cXRq6fgNS/PJn9x5ya+LisJuDzHcTe91U7OzO5P4tOINHbVzazN80G9txsnuSVZN
t0qhK6fcmsbE+rFQdVMxLUH49zDMTmV32wSQVbb11FjmbxjW6vTQu964QKNhc4RZmlm7d6mqvjWJ
hlkcZ74kqdNOl21fsEu3QT8xELxC+zK4ic/bq+YXZBXacsJc2Nef7HC8Jt/0quoS8tqqrNl67Dua
iqGz4YUrcafszEMWN0Z2Wxtx2n6PbSfprhKpuRo2yxr+7ApPcL/coeuHg4EHDOxmRqtGI2xlCbOe
To2WZm5zSJA5flfZl1YDTWrCsbTFClwtB8YthvM16Tk4FPaxhrYLK6Pia2sKIQB29UbtRdd4ZPAY
4DVKpeQNqlDDPOnyyyZ8EEkekiwCtCnvrvNBVdaVQg69PGsDWzfLn6YE/tJRMSnuvovJ6MLnxYyn
5lvTj1V1w6IyGHOv2S9d8mCxzsKrZ2Xfojrrj9FI89lnzrNAzvRhVFk4+ZpSz7pLzFAYEUu3Xri3
GOsZlMsp2sbVSFAeSWwa4Ru0q3wQ05QzfaRKe2KtHA4vjYnn8WybLRJK3UpGnZQ6XUvXJAAx8Gwb
VGmvsdJe8bAGTLI+FWm1Yze23IZaX+/4UtFNa5Tt+sbR6O+2TEnZJxAUBq/aSCDne0kqX5rQMlIc
T0nrlX7hjYlOXhccnJtR88Io9CNXMsLTJSrhNaVQzMNFgtpX3yeaOS1vlNshqlR7ymzzKkvRwl7n
Zp2ZT07oDi94eM2AoTY+bwT0hbXHUqx23GHhC3/U3Kf1QBXRE8JDCkLE/y69PG7lSQcJCfVDb1V/
p+HrWSn0PXF+bBrZYqv7PquE9oxbrlNvc0Hr/wHK1cNtJwvNPmh1PiaXzVxX5ler61m1M7QhCU9y
ZBsRxPo8DEzZrSHvr1uYmv0BA3hxxxgizWi9m9Dg0mPOTFndEQw5dK0e6BQJ5O84qmCRMWvVi6YQ
1bIssmpMBQNHxxW6suVEhwkIYfH4UBl1E6DAli9zDw5JIc4OYqwWrAAF6Xt46LyAJRlqWg9lJF4J
Lb1AxQ95yMjI2DmHS18sB4AMAhUElQUS2TpyTZTHVfGsioFH+EzGxVmzWnVTzYWWA8NPJf6/WrDd
yXGnPzN2Xz7xe8mzIZPFV0MyflSmS/pfNco7Jq7PC2nzd2Fng2tPeNM0cXEIAtTssn2RaTIIdbAK
/tRwfq46AXezOHp1dJrE2C+VGgOWIfxmpKZ0L+wO4T9hfEveo3DU2F+p6Lrn72RE1CXYIa35zi7d
fF+zaNk3pM1flGZePERpMd52ZWaZJzwgtCOSQLcwKcWu0Zb6BXhW9Zg6o0tySW+YX8yqWIa0NiFg
hCAQDLkkzhiQgWg8RNayMJMvFdx3jATPTm7CnZwGlhLJPMmgpf/KT4NkwxEmrv1tLcOX/RIaDayp
HCGZWZnZRa9If4QBEDbX+A+cgOARiHKG3obEL3bW9Dm06rFvJegAZ1TlMwrR5oETwMQXIzSUP0Wh
ZceBCdeHS0DaVUKw+da1y2hrleZ8SVpK+H2MY/y0edWPgRpyEuJcc0yvnSZ1bvmYp6MsvOw7Onb8
Cga++x0aTYWiOkJ0uI3KSCVYUC3TLxvDqA+1KdunkYd9tK2xCDd7Rwlxl6P441R04ueSXcFlpFyN
gApDPMi4a1/YsA07w5VyN05OclcLog3WgJaDcrTT7AJLja2aleHUXI3CG8NrJlLZAa6PQRAlOVD+
2NrzuUdizj/3hwRWL8uYsG0Ow1zqJwR59mNrJG+iqcuTMUUXWYxZCkSC3X8z6pqoPKRil44YriFO
5A/1skCSNBQpgaCImEpWRAYl4UXPPMK3h769HfKhwnS8lgJWbRYvCWmIJ7SG2t3Yzdm2L6vqWkf4
ujUzLXpBLNnuMcKooNFt7QuLALZBEpsHZAYIXm4nvWqyYz1XE44HPgWfdKloB3QuuciX4StK0mti
LY9lA/4RsPqNM6L9EE2jBWnCarbRmENZSX1FVPFlazTDMY3rRENLU+hf5EHia6G9FW2n+yyu4m/Y
v0EbsG0lSlYcPXzsG0LATo3HOqHAHeFz9uiV30xU6aD+x/Bhwry+48n3YVo4i3zpkKtXF8Pey9Lq
jCl/V5Yg1raqy7Ee1GaLfqKpdYRRSX9ddmI6U+S4Bw5U76JYUm2Pbsb+Rhmkye9NRRDpxyRnYlv1
vGzuslxfg37yZtl68Jgw8qRh/5QmlWWd2r6aHmy36oqt0sKhrmmqWoz8rk2xdigiipI7Y9FH5yX3
DPUGVkqurMZ4PiQI3rdjL3UUq8ZXHQ0JG9lBKz4zHvlX7iCf8kpLX4o25ngmRw1Nrw5NM+yi5mzV
KjmEvWdsFS0gOzhEGy/TAI+EsVpzmU8a5niZsFn0evqPecouipoxN3eGNjPatew9v/wAUDfO2aRR
an6bMEdpR9btnNqomODSDUYy9DsH0MP7FOP92ngqqfprIcJmH7V18w5U3wwquC9IkMacOV5a5H6v
I3cIpfL4jjXT26Wd0wXpLOogrOtrk+0aCjDXYUwdA4rQmtUo0RosZ8M+4feJUuKZxuXCDkd020Vd
lhcsLEkeJHFpX2ETg2qhOcZOM0YVgGXW8DgXJkYr0XGebgjBHXeYeIgKZH95YYUkokB2rEnvjrLx
w0uz8r5EOPTiZjbOI02JZ6J7+7uJFGD2qQ5KYeaW7pPbdv1BqazcTUP1sRSOfiD2NUfPoLuXNU6Q
y0qOQAHcJf8oRhPHRib0Q5yNODg8mEpmZRXXrdLjLbSQgYVal9ypUZR4xzVjF45F8Wja7nKCf2U8
sZp8zFemxtKAaaowvX2adkPebu58wsjN9srLOx+SlLapY7LNVKbuKBM6HqYJcQEA6WH5dY17Y5Zh
fEwXJ7psgQ5T2AFSZUIZXmZV95nkdqr5XP/eFqBNc0dIbIUxEh3PthuG4glQk7atSj3fK+gvbyOV
5CFmGUv2qmlkjx2elr1AnnRVjYP4PjJzJgaugB9IJ8IeUJs0Z99PNeWpU87xtRhbhvhGmrE2ZNzE
BKUHOZjRvJXUZpOCw5KaX2ViD8d8ob5gk6s7AZY0s0XZBVWQ3TGYHDMbc7Iia3bRsJooGsq2pGZg
fHBsraIlXbRwDVSPEVqgk4tqDyLD5A77Dl/KYwGqyePiJA2qcgnSAn9mimcGUvaXLef8DZ3ZeJlg
FiRASbTfZ7OEb12QA+y3qQ7lpe/K+tUy3eJkoMXbyCUcJn9ehB6AdajR4LeNui0gwwKfkktESdfd
YBcRV6ogYtXQMy8o8qK/c/A2XPU6uE6feQKBpnlF6BLRiQzQ8UowncH7ciLNCxNSrrdciVbr4BfB
ADlklxAeGGPWRecb7NpXlo3SWE0Xmb0VZp5vQydeLkDvOfolHJkk3wLDbHlLM/PXjd5YdIJcseMV
yU/ZAyo4PdxqcxzW58lOnUPcuNYdHBJc7lUm0pNqEyfc9mzhHscatTI0hAkHT4fI3h8cIzahWGXG
9DR08yXEomrNzslyeLu5Hh/muLQCShj7xgrhHTWRkO+2uY7T8qwablyO4aOYs/SCiWf05sB/6I6R
HplOkFUV4WHChtiTzZJDK0sqk+VeOpFFlebtcrYrG4XjGla485wheyGRjyIwl+0DHFduxYq6kW20
rX8Jty8CguzSo8YpB7XVTt4UkUJB1afquSVz+XoQnE+GbBsgpZKJU9vH2jVkzeh67JUe+oSJ5d9C
AsY3CCTXIEKkBVcCOnYQp44dpMRLuxQPln4Fa8O58ioxvhqUlAEeHfGuqgrFT5naerjJUaRe5xyK
RyA47IiELB9QIJUvjhtRTteiJ0cTHlp9V9eevmvIvT3Peq9/l1nUBWUayqPew/lFCriEH6Lu8c0V
4XjvIpa9XUp0WRvEnSPxqXEKMoCYr30mk3dPn6JvmSKEaUbRetkziQCfVITpdm6s7s4Q5XIgMGvA
fwUh9qJJXPfEbGrc1xoIlxVCgOvEXeatrYun2DDCY9ur+X4OtfRT4u2CIYXkuCFAboOKIHy3I4ls
0EYMI8G93hkcijx4EmAjHt0SOa1ezgU2dWh4au82CfVwBwe1C2CkH22pDxfAhKNT6dkZkhTePhHd
eXPviiL83vdNcWnWLQ33OCQXMUGTa99GopHNVcxe+5CHJcrnLiF61U/AfnwnqI15ndbVF6mFDKGx
qvsOSOtqWTKqnYeWRO44v8kobNI52TO+S05GNCBTHhK7paJt82/YikcLeQcPaKfMq61T0BNyfhfG
rReZ3VPZQOfDtzYD38qGKBNQOqKFnwCDehtFkijolNYMz16JQx06kLkyvwh+n1xAdoinMBLBDRMe
sqtJvTYtoNdh6sbH2lgK2xcTjn9SyA33m1EuAuEwM9FjP9i1dwYmkaRvSwVtk2wzanzS05H9CAEi
Z6fT43V7SuWPvFMAvvRuvFGlwKykGvdLJyr7pUtyvSP60B3Sa/KamSe5FPpse1ExYkjK3jq7nXCC
wUNEqEqS8yZrxoil+MyuZRLdPYOPcN8kk9T80Yx0+2jBaUXw3UbzYcS4IzZ6YSeaXyAmKLZwa2Tg
otYpTxoq13IzNt54ge1dT4OFCVy2bxd2+F5INnBSNfaHhK20x4WcjhAuqMZ9h2rKxzWpodHJdRhc
M0MQ0tqDCW4ikceGwhJDe7qMAde4gTNYjqrfTq45A6Nre+Tr2L4fKh6XuU9SJBbqWTdIXNfr5nFq
BbyUsi+ZerFw3jhFUrwPvWGfkNSxJHDkfRIOatsOo/auI5+j77UYBSzWdM90X1xQoFpb5lOOPxWm
fqWlCRNrGHF7c7TwPrSlczloYrp3+jK74p3SiGlFRiS23mK9QKDqg3SB7SQMK7uaXS1mTbrUAc9V
KDyEGkXBYs/zZdM3FfmwjBlDvyJgZGdXbXpHaHrsJx0y1AA/qKn7tFz5jSTPbGXoVrZ+aTghk8HM
WI0Yiz5Zzglu1KLftbmnmLs1/ZyfmXZE7jZLzDj1k2mwB6IULc26b+uuim40Iuno27iyRozQZhYL
+SmKZSjfBoJYbRRKLYSXbe+2EFJaCYrnG8s26R6GLIvZ5ePhnsLn3kZtqnMVylDbm4VCPIp7s4yj
fY4d277paMbFMXRSVKqpGmlkeo+t2Bk4wAx4Rk941bgH+WdP4ObGtE+975PbhTYau57DKag6Cxw3
0CLnhs5BpI+Zhx4SQliadEfBIsLdxfDQ3Uty+abwlmiWsNpBIBjG4zJyVO4gxfGqCX6wD/QGGGQX
RPybCijSskmIJiXNzHDobCe2oiLytrONFSEI2cuAKyQIzbqNi7TOD6kBvDDgtfuddBbPCKJB9Wcx
xn2yGwseM3ckM6pll4D0Cvc6d5N9qTq3X85tls3iwCbOig/MhwrnnFfCGPaApZhIbmAsGeGd5tq8
eKfpGih53mi0Z1I4qyN8IzAUs9azMbTcLJ73qeuQOZvFCCQPfWdiJ0+T2isAEaKF3si5M6sD8kgZ
XmCIKCmSaaP0R2bpkmO3TAfkzW0qQB6g3NFuvGXidRe0h5P/Pzr2O40+wY8hSGy+0MalpDoWr+gS
61Ong8zwydSMli2mlOrCMXDh+QXKV3cnTXorkswNsgsju5A33VSMF+h2GDHjYt7GDbcn3Ul+WES4
l6PWUiD1Evl3txR7NDGmTxI1dUdRyLekIydZtXr4yBij2Jh66xwHpofHAoT1WcJMPYb4PbehSRef
IdMMYnS4sgdq6Q4DUfbeAGPBbC6ZvzoP6Hzba5VTXkCLc+BK5rRu4NbKD0TnjxNEbF7LfW7nAoHj
4p2SujuZPahzJUEQ2Cg9A6oulLCgvjYgA9EyZKzY4p6JVpzHTy1m+o1KMXKnBMv6Y6+1u14sRdDE
UbyPp047OKqlFRaUYGXvbTJ4TLitZdC7zUqiXBB+FzpqX68fAgbjKIK7JsTFEYFZJcY5Do92p1iz
JrgEGapwgM/wQwK3NJLXzordnQ0QbJtlnTF7PkHuln65tEt6iHPnrCHHOaRw9QOwxfMOttQdGTev
icydcgMLo7kF9G7slR5lRzmK7hjPtfnQZ7L+ml0ZX3U0ZQj+STO4yReXZ1eDY9JlrXeJgKh5gXCD
+LUz8yM1PiiFmpf7PuKHO8R2aW0L7qkzJpbpC78ta0u748aWSab2IViytzhVF+SX5d9y1UdPqtbk
lm7DebcwD73pRcLIkg/22UEbulFdnNyjE0s2xmSoK8PI56BlRUScBLbTwlKMmpSCvkoOw04n9Xyn
1/GTrLw53feARDjESEX3Z9NDWDLI+tDJ5FNgTDomzXxtMVDckHv/aJTYWY1M46huCL8WAz4lb8KP
qsb0iO/HfatsNwVcWN00ZvEx1xYAFjBtW9KGnwaJkcBwBOy+kWpdQ1l5Vk5b3zjF9EpJr7FyhhOz
jmeIVM+iGwho7haWRNVvHWe4pQZ7K7hpsYV4PH2m9AZ6G94jIxl3xhKXzwvB1yVIRAPSaVI391mP
dn6TpFN+t1TzrTEA1NemQQ8WbayPxRBpuAdKgj9C3djOeWL4hBLfp3GhEZLite025JbdkxZQv+Jr
uENQf0dCxOOcAfcvUZWRcfmMBwMyVyEPCTrpQwNOL06t8QUH93KZDPMpxP4XSAuFjIhrQAJG2Z+R
nVWXBTTSk0EW7makrj02pkbfU8fTxkhs8hGWMrpKxn4XNa7x2Xg95RxGyXUE7LYb2UjCNKz2neRZ
pjwMuU5O46w0wupQ5exJTHCJO72h3kqFt6dtFFj2seaTKI8dt5PPnKHqZajHExrq8JhAjfCtgTjY
YGhIzNk4aXfoveo05yYYzrjOmS7CSWQIa9ij35vKukZymWG/sXobsxmq3xOdWxlvDe6XcZ/D3zpb
aADI2+KyhfI1HXDIgIhR+VOtpzxT29B41HMD44I2F1vWS+XJiQuqlKK1N41dPraRfEYcQnpZQn53
jotrIx3jqTAX4fNlrR1bCu0DHwrTsKRzoarp8snIjfdKxs02K5Aqd0IWe2qBIiCUwL4QeIY+vHDC
02VWiV+j8vZBRz7WGV/pNLDu8olFLTcNMsqTVKiW0O5GTwvwpH2DommXOBabvCxtAOdBVlHsD4NW
w3UZqQLiT8qyjcYxtW+trhv3GLc4yK2oXh8Ec/RBI0qtYeYGVj7ORs5BuEdLFdWnkdnvBh7rxYCc
4JvR4vJyIgbXKaACn6dOeXDw4vCMIAEg0CMbLHQ07OlmCI3F/S+2LAjnMSjH5GIo5HBiOMgZDvhg
KvPudk5T+8x3WH6CiwsZMJQ0KYT6Poph6C7GNM8eYiIGBAb/qeStpZB41+Hwl9ZTTlerw4qYgQSD
WuYyNGF1BFUyHv1Ftwber4EP67KtuWSPjrC/T8yQj5qHfBWOVdz1weRgB4Pes1AYDua9ZHm4LYzp
LTY1b9nCOQrTIFRjYm2HTNNBOpZCVvsRwdQJTVD/FDJJPVfAXEiLjiG/Gm7pg7x2KNEZpWGWwOtF
qov2ygCDIhoTCi2PcYnNL39cwnTeWQsOtb5JPgjYjrYMpW6N0rvttczlOAon6ZO5vIBVJEkHKw2D
7EwA+EhjPFItUHhqkMbcEqL8nqQ9cRusI8KgS2QTUS21+DUxIqSWb9Y1Flz8VAE58rFvs0mjqi3M
a+j2IwMg0e1UMjAVQkMCNUBKtsxtPe7mxeQMwjmpdih9512s5/qhFHhOOs/IP4elBHMwrWYdfT4n
Hapdzmu5n2cezRSr2rZ1Q/1BQulBgDKqvwnK+kVuI9FdijUe0RFCF8hFflFONUU0alYJ6Coz1YEO
bZeRfMSCd3b+RqL1s1jJxdQHCI5YFgNdCmRN5xetZTjaY+YAafRbqyRap5CJOZ1xrxj69g+SiZt/
ag3+yGH7WX7m8jYk8hdDwMLUbdzTv6hYQ7CaKSnM8BrYpjpBpZwe0lnhhS+qonbcEvqEpSCyvfjB
iKSt9n/98sYvLuf19dfESdMyHYBwoOB+FjCNjeuFlfSSICE7CBQJY1gkiAnCBRE7FjhnzfHqZ/QT
qbrUh9y40ZeaSYNo7HDLQl2LLyKv1r1Lox862//3lTUPFW1h8V+rGue9whOYRHH/Q/Pxr3+6TN6Z
GVVf/V/+qf1ntcbpdr/+oZ/+Zlz8v+l+VrXLT/8Q/EjkvR0+2/nus2P1+rvyZP2T/6//8TdTwMNc
k+v7Xg0QTPnbGDr8xDEwJd/S/5178P21+JVwuP7Ab4obC8ABclkUdmjSdBSevytuENYgmyEXln9N
MIC9JpX9Lrpx//HjxuK/8wcQotpchr+LbtZsEEeaBGma2AygH8h/T3Tzw6X/R9EN0CWb6x3jnzB0
C9Xrz5dcX+Pu1UjB3bQZK5RtXHD5nzyT6WFudgk2UyNmexNtwIVFX13LrJNpR+ExFUsM7v9tMjrj
BzbQuae/KqPmhOhcZ0baq8T9tMtBJJJJW1TEVzlDWopOnj80xF7odniMIm86Luyhje8m4Jn8piA/
q90ZqQGvxU1m/RZYlRUdPa3MFIYbKrnLKGGHvYWxtEAhHcZnwVZk3i3aQDPlIvZngDwXSPgx56UG
tWnZT1SaEePE9swCWeLeNUaaLJQUs9bchgXLZDoE6GJFoDekNwVDVQ3y4MROme3R/IDtsRrAV4uZ
rIJn7zLpVfyAW0ydY1tn/NO6vS/Yqzw3XQ7vxStdfrFuuG+7pcZQVL2IGnllAdgwd4DYmLMxntmZ
Y27H9cZDzmleHZ2PmGntcgyh0R+SZmz39lSll7o+XGuJgDJsDjPDmKL2jdVim8UTTCg1Dueuy8pt
olsvc0+xE+J7PcPScm4weoYB/Oy3UuYDg6+GMOCJae0cW0+es6izhYr3FAu9/Ionuz+FDX5Oij3d
rz0QVw1Sh01Fe7mJIfg+0wsi5O4Z16cVyyiyLkVf87DCryD66z6XGd7EtK+bvtiQDgrUfsKENu8y
p+OL2rS1XrW3BBot3stItkJ39pAtrIS8MjXpi9rB8RA58uZb4VCiWrTbPlgzdZ2qhHlVGp2Fjh3m
AFGpya/subopqW2jwJVDHQalzMhmq1g70XbaNJoQR+3VzNKAlzFrMIDQOx8yKTG7pMxLdRfYz6QJ
5usOmKu0gAnNNjrAxNb0BLsJfkKwQdMCF+mUd5dQmTEj1bzhskvhAbE5YdwsytLxZ4W6+j6OWxO7
tj2oF9WGrgDFBBXztKSxlV6yo8RvwRdOGASSzrdYj3VxBHo9ZCe7Jpd5LfO/IyQd7itZovyI5mlk
DoR+oz6ExUI2iFvip6ZbbuMa0I3dYweypfiGCQXvZz0bN6WN6YZlOqW0JKDKw/ByhpXm+usMoNva
FWFYW3Qu847WBlM647qye+948hLWRRuT+vkU7o3RSQE7KjZ/qDjnFu/olAGmdEN62xviKtyeZDMT
wKIp2bKo6M4y66sG48JeQOCxOuzNikAiNn6N9UQD7FTPhJw1LKGJCXO2GlugEykJYfkWNSl++CEX
NQXQLHIcSllpN+fckV27TZxcI46yt1ckAnxt1D2Dc6VVFavcdlS2WW2GAci/INOy8aUtvs9sIRIw
Xs47q5Jjpph2c0AZmEoBYhIUzQTO8+uoYfjFzNB+ElNxgjDRlDsoRvqbmksLNczIwkfjvrSmD84C
JhPtghkREhfFG3UYy/8dYRvEgUTKHItAgy7SnRIARgQIhd1C91rG7ZuiccIxbpVaEygWwSYruiWz
N+jeyR7iiRF6B61RcRq0rcYIpMYBG3nSvuhLw7jl5p0CkHzVpUP40h4/ebrH2728zKJlPN8zA/Id
RTIdRJEPkcL9GCzYAV0j9OO6mWYlOi6PM0YvAmhpgqy625uZsezmgZwLIDRnHu3azgw15+ymvXXu
i1icRJNo7y4Dfw7OCL97Z8v/Td2Z5EaSZVd0K4TmBlnfDFRAed/S6eyDE4OTdFrf9zYSBGkRGmtQ
yIJUQAlCbYCbyJpqJToW2TFUKbpGJfkoM8AI0o1m9v/77917biYuJRXAxSyXelWZgcnRGKFXRzzF
Fid9r3vKyvihEGqMvpHRrcIsSWZZQRiDxHGw6xOuO9BKTs7aK0Atb1uXGDuBmmNJkxr1oRFRq8Wd
16901ETTJuLwO6oBDALzVOtgo9MunGio8BZhLB4tL3GvWW/tjWX26ZgWFMdseunROCd8fW7okb4k
KgDGSar3T37pJCg0jP6J+pUpoM8AbOMTXrhUNT3Ym8OpFFfQTtLktzZDeAn91EZCadrJhqS3Qc7I
uD8BAnEdMBl4zHSmQay0Jgfi2lmZdWrfYfiEB8MySHQBIumlxORp57HF5NO0kYDbxrJ2oMtmfVG6
GP8qQatXg8N936nZHDxNNDOkTFkQwx0vAjETNimUKobadMtwG/NLJJ+z4JMY+qalY+p5oXFpNMVt
bCNbmyiZVahTtdfeQKBda1qsLgnErOe5b2/cjnRIm3Y94RmLJJUPqVSNJZCXQlTpSJ66WZTF4o1M
SwSayD5qs7VjKmPDKNpZb3XNWvaUfuanJEhzil/4eZXNNHin8B1aulYeYpNBYV9x22a52l3L8O5H
XaDjOsnIBRWNpSr1xZTfv3pvqQ3fqilTPPM0HFyPgXxrm+KMXZ/Vwg1R2rVROXZUwXmmu1utUPfI
c41WysStjWTLsX1hJAyBBrkh/oLuhbShZg8KfkmOym1eMKKLBUxUqbNAxNfcVl5N19ET9KYbO24/
t5XqLamTfZCm+CdFEqCUp4IWjuO7qyJJEbGBgkeWO2l798HJmgmpDjsvl1YGSV4jVEszhYSFrQ+U
dZQxZACFvrH8ZuUyYJ8y5WFAXSX3eDUXrp6MtUJQ+5GW+Zy0g7VPitqyDdJB1cy0ew495Y6uM2M9
RHgztNVXemNyLe3MShRxonU6O2+ef4HDjge+rXXaH6Q/jfpOc5HPuQHrkkqALO6U28DKNKhGXvdI
4JRzTyuAIZOiku4zk9IBDxHXvspMpTVy5kmpV7rL3qsRmYCEVkLGLHp4kJV+R45lOtXdCO2wngO3
rJkxkabBaxjju3mRGydcZkgLxXKLla8aZVWFL61WwnDsQqKceZZE0ihk2rXb29EDuIUOVzQNtS4n
MggdBzMkfc4blM4kVJ1LsyvpJ/hVtCv6Co86GKFqJaMF/ZLHsjjT8s4KJ7lXGDM1sYS9QGypMSqk
hj4IMcWRPke81h7qDky0AFNToJDsfQkwDzhPmr09iQ9bR5Fr46F29MyaSmXtx/SDC+dKpD+96wuZ
kaPjKbvqKy0mczoEFk0H1GbkprW/bCxO+CM1NJJlgar8ykKxc4kWqIV5qQTTvkV5jscbiEjFTZcj
pFHIsGEd2iGkXTSxu9Qpxa3sqkwMST+dNGpdYdyLw33TkV2SysKO9BlmAgrPbk+1P6/ltFtrtZZv
O626Bvn3JcOHtzcpwaFJBztKwHajVpkJtcpB69CGZTxMa26cgpFSiZ55bPr5vai3OV1VayOLvTtv
VZfUukQVJyTfOTuqFpE2UXzZFPTxHV5oki7Ehegp/Pbt/ujowiFE1LByjdqZuoa36HJhWeh+c6Bz
m0004HvTRhwSApOsY4jAxgkpsYlvua31lwisxYaErZdWHYRDWRoskkJ7SIUiv+QIpCwbOH6wi+Mb
UNRsYZ3RudMgLXJErqyuEP/LkIgE1YumvLXuxtTYT8Y1ps5F2NbKVZ6F/U3D7HNFpieITtnchhBW
5hoS6WWtsJdoXtfdRiSLPEh2as8b3SB/EDzRpE49a9b6nTa1arpk5Pe9NpWy93DiP0aQTsZGJD4p
pWSO9UaM9jZAxqkUtc6L5cvWJjF78VFzy7kL3mPS6lny6PXkQyCtNK/7Nr4RvTh6LL3qVWjFZWgC
ALfQPn4RixqFdeMtAFGpz0lQJCtNSKvrspJygK2285yWhvGcKFq1y11VvbOCnBQsiaEflYqt3YA7
CeGNJOVNJfbhWkBzTkhCbVVvWid0M02I6nkgicVcKA32NLkQ5rqcGUh3vGoXZjS4HV1sKOM9pIiK
Gt7SM+FcFSbtjVg3y9Cr5LmYqtILSnqSsE1ZgFvdxk9FkLnTpMMjFSCj29W0FMaFrEY7IrdEspSJ
FRH1EBS2GT/USivNaVshQjCTeUKe+ajGKDUlDzlfIiypxqkhh2PP7pnTGn2/CkUjQRUvefOs9nBR
iZVssCJZub1ubamep2UV7a2qnJi5WY3lMMe+rZOEfRWgLmB+U3mAWITgjiQSert0Yea8qNduGhSr
ToQ73aX23u1AxCRuKWH9JT4KwpW2binkJwkdd5R92RIw09SvGJF4uSjtyzy5VcQoW7eKs8V3z4xP
J53J5Ky5UEoz2IEh1qYp5uuxoDjWAWUH7xuKdVNt3auIXtA67SX5RmKotFHZOkjgAYKre04+Tezu
zk6sFdKtZuEnrnLtUyLNHAG+kC+14USPiTtrwxxlNJ0lb9LFdndLXC3U7qACET+qiPybSSoHvo6N
5tUHpjSltPWu0Pi41xzTOV3aMDovGbu9+EErExeupEi7TddBlCJYm9gWxJWXgRnhCIN0sVc5c3RC
ygqi9lcI4+u1oA0NYim7ZgjGSLGROPswjwTNHWmXdFOdrekn9L44ZLE/Eohtq5g6OsWzFgj0+W00
uTNB2FvM/CDVruOh/vGalkmInL5A4uYNRdvtBZYyypipKJh5dWPZNOypMnliMyUv7v2WECndxdwe
lE3K2TtNFl2o0nWPvdYaa616zJz4kaQk+a53UdTFmVqNAqlrn7lf2koovx6UvceCQ/8jj/PSThxQ
iz0NdcR5+hyXRQqcq9ejpZr6IdpryLYT3+oczDYQiCYhYBKPqCqYZJrbknBkt8pKDSCNeYpjjugi
b+h+m3Nbs7fIC65l2SefWRS8y8o17xKvnkjEpy1Ty9wSYEOPPUOI3mDkQFhk7S1bsxDV1PYUycqB
PknErh+Wc70L1LVEqmMVM9am2bwk5fmpjtQGGlJZFLtatO4FgoVQ77nGjsQyHO6Yabqx1JvkyL24
cuwwNyyrrVnAepJpFjzZRt+MvRB+P/KyudBZ65QI4htB99F/DbtzqbTTSkiDm8LpEBwZ6QaEUTBz
VCO6JZ35lsZRcV9UVrOr2AcmXVUrr5wPDmYqXCZS/BIXLqbItsg3ZDgCPFL8RlwwsYCfhGBqJAhB
MVHk3lwZaToVdHARYMW9OaMq/eBLuvbYMu6cC3K2CWtSr1hkaHnKveJQ2yv5AumZtOAQ/qQMSH5U
+Y+62r7yiNi8FkqyS5ngz1vcqRsvZqSuKs40UZAtaGWovqm22tzqNHUAQNfmuELbMUo6h3kskuGR
4wXtohSUlzoCFDEyo8KbyMwWJ7FUR3ctOTis225+5RdpueTIpk/YeIUJfLd8lKYyciTJMVchXZSp
YHXkFGgh2oZIk8ZiQpdYox/LPtYx1LWk7A5eRjwWWkI1w7jp97KqhissL5yAxbce+9rMYjw4I75D
NyapLxQ3ade/+sQ9jZhxQmWLxXwbCxF7JVPvUZvIMXMlRMBAQIt5IpJgQFRhu5Z7S5w7WX8p6eam
6YwHyiOKcqghl2mSRkuI/eomNJVkjFi1IxK9tI0n8GExpaH71nbs5QMKdVLUerwp/TadGrZFeiUX
B7UNrJSr3YcuSXCD5n6UohMfWZVlsOkq0Two4vYQllJ7WWRJuKBvHU2yqH+syBSfKV1lbLzej/jR
snoUHFsYi9D092GVtbw9AAoBRSIidgtGwhx/V3R/5RsvFpNZIYto+8XhXKf0RJxXJmfCLBXQ63um
yrmaNZ74d2NQUe8zSI0T8GAyiDYzWnR2ny2zKBaWEuLwMcKGNzpQg0XZvylkSH/4C9BmZbI9Mty4
3ddBPiRH2m9y7VsD8omoedkoFzKxnBT+mTONrPxKJy6BTsugLdI9jT2wiFYN9dOlRah7M2LEB2Zl
SEVfMgFsJiodzbHYlNmY90fDORBXe0HHZIQ3P6Zdl1u0R8NiEmILRByMxGfSK52BVr+tx4YW3rFB
J2NBQPQT2zCyVDtF/azDhc5d4YkdT5iiBxbXpuEkS0dulBkapF0XR8vUNf215LTpPE+IF7dtaKEg
FQ3O9qWJ8lEFxQxpz1v4LZ0lFTPdXBkMhIHM5LK0s2IaacUd6br3aAdqUB6e/OSE+XOY6DuUOoCa
eq25L0urGJ6tYimjkJ/TBN+1Pb79QFeP+EaxSJG0jrdRD2apYCAgCzuCyvFWrWQ07htb0dlYY98g
hcan8+rU88JpkSA5gE1qtDQzDGiHFjgp7gI1Lu213LlOi26qcBO0nVFQb+RSb28yN9aYQFVB1V/Z
Dp34UUTeIOrqQQ0yiLa1bkfApb/xFJHfrG4rIiQFPyts+mZW7d5nBhIEoohd5swWXKvHtgjQS5Vo
xFA46ZH52PQF4dApTdyHUGrSWxQmMC+yOBXaJXg63p3cQd8x8nE3c8BzJZEZdKEUNZtlKDicK82m
q2dGlLLkFQBTtk7T+TepWDjSEZ2SKewNvWmElZ8nssCmpygR6cAK2No9OlwO3H4GCh3/NdaKrdLk
srzKiADg2GjBoFunnabUU03Kg2TCoin1K8HX5XpCjCwBf7i4Kf97ZtPthjklaqZewKxe+kb3Vus6
gvumFrN40iIWd0fEyFZXdP6thVF4HZoG5xaJmz+rO50yLdralXEXSjbpfyENOKcJ8+vYQSWrwp+B
ITQKQpQW2N9wjrfGa11K/T0PQnNH/9af6/BmZYq6sHuQCkSWRGvWpDBY7YyYYqzwchBpozQ2yVr2
AbaR7Ov18VCWm1k5EcDZ3rcEt5R7uahAC3R5ayysiEbyWLTr+NqjgeRPHYR/0U2cN+lapCE0Dgra
lkXuRA/Enzik/jVptW3SnrEErHtZkIYkO6AHodwLU7bO5L6ta0wn0W2UGfYhNwP1uvIE7TqVOkKo
3W7TypSIyC3iL6XqU1uU2k3rpBwLWCRdFiVw6VmVxldR6abLAG8Y7U5a5vd9YRtLJTW1WYY96FHu
3e5NsWOMWLLno1VLMd1rif0Y+mU3dUosqUh0pCUNAG3ZQBJ7s/IhtNhlxTCZGSSFtDVbBpMjrW2k
VyxdINP7PoUyE+kkHiwirw7lKaV4pi2USkVhyENv+feeVyD79rDsFLj5IglAvZNmubJuiYDwpvrX
BGfVQ4pLu5fBD0dkcimMCdmMfNxRbflTy2NBIAWuLpJZkBgR8sCKOdttoCKZpacWeOyq3bQLoor0
abzSfQ8q2o3igrLIMZpmY2bNgVGQjViNezMbSH5jj7DSKeK+h9ZNrmhNr5wOkZdMFBJT7CRf4POu
MEL5Joh5hKJuCs2xbzpxxYzCU0cAG6g6CXuf67GuzYgMDeiroNuTG3hUlWNurVr0L5l3jBqOK1+c
HEm6oSFJqNsIlarqzIKw0Bdi0gq7nEiUSUpTEhSpSUInq7uEv0SqsyUOHpOYuyKS16Q+pE/9kNRN
SqSxyYiDnkq90jy5memuWlqkCS1CurIY7OnyRn0ycyocV2bWOit4foQcN2mZp9yfIRAcIybxXq4T
CJOQR2Yc5NhRpoYrop4jEYAZux1ck9b01Du2dMNgYBNJ0rLp3LRC0eY2b32et3MppywX7TAYU4LH
05p883FYlEAmI6+Tx+yf6Q6Kf4PTxhTUUUqnambUJVHmxtdYc5mWz0NfWFo6cgTauC3l7RedYPUi
occc5qW+SZUUJ25B4UyVQrAERoFtSXroc52SAA3lceJjsZlRoVtLXyRMHTI5EEgnkvcuhmoS34V5
XnZzs/Yus6BY5KluYT4dcthV0c92llk7W5XpwLgpCFXIAyvHFegggUnqgrFPCWJQYIu+FQz7kmkH
myKH6X1m8FSKNAGvUUFv9cyb1b228hjn5RISbEaa8ZdMIP4h7owDMDV5oqpMmVzLd64lyIALugDu
PjT8ZGrVqjzXW5nurcuHtiw0jbIVPKe9vyys+hCnSG86iw6lokOqpRsAg2sfpWL7wnobPdS5QTQ8
bv8ZKpwdEFVt4hilGY0FOgSTXAnoIimi1CyqNNduFN1SJYyRgH/kBsgaEv5m0qGavKUre2x05y7S
RMZfvHcbLerahQEwBkZkX8L6si51EqGunJR7SNgJtUKoVTnZi+SKolAKVlhJ80mYEQVr14hik1IR
LolUzifYQqN1K2TN1FVZn3mhTVgkZpLdYPq69iKKWGzB9cxktjlypUDCpAdJ0Qk1TKxGBJOpMh5i
n4QP3GJgHZsm2kK64RBo53MCcAr40nA6pcq5RO+TTHMpN6Yc4PyJGCndBCnUPI2Ex1yXlQXgGMo3
P7mHdlmQbw7c3JeaQ+NLwIPBejOSwtox0llC1jEq5K1TkoCuOvpLbGgMaYAU4ChhL1CCeovYhrOW
FPVLxbFnXCDtaB1TFK2yy1gM6B3H3ZQYPeHJUGP8ZCxaq7bWogl6QDLbs8B1b2uw5gXu/brOLzH+
4JvF42Xr64huv/2U57WtTcuwbfF/2CF4ilpS2XdBDcAgc9q50CprsYHtOLJSql3ig/SVbkdQ8Bh8
oC9Hu9voi6BrUDJyInSzZ8Ds+jonnhn3XCUX6Q+ktjMipHwQdfyFVOOX5IZDfozLr1/3jsUHpcfp
v/GTFuTqL7/FBw4kEooPuo4fPsiPXx6kKX/3N/PKi9+/O/4EU/lVmcjPupAPP6v78EO+Qhv5Sz/d
nb/8RN/KVz58m2+v+n95TQMH7+fP9CvXNH7/j/J48fqff//Pyxov6nldnHzi4tbHuPuZfXMWt2tA
en52uzbe8zH/JT/1PK4JJdOn10R9ULrJWb1W6oknb3t4PTgHBByH/HDxtxc//vHlkJ/VVaIl+/TO
bQ8hkLPzuqSPgOBfWQ+5pPO6IP3EprU9VLnHqKn4+hjy/y/ntcYPktvPVo9t8v67QXGZVed1XYM4
+rPruvSc43mtFgMm7uQVndnedWKZ50hUNIf4vGoM68Sq/kOZS/5DURyqc1rcZRE19WdP4DX36vWs
bpYsnlj+bo7FMTyvm3TinfrIrWTPeqq8V2GgWAbndeMGQPlnz+LN+3ccJp3Ded28waDy6VV5x5yK
d3NM4rPajmXlxMHrNnHO6oQiD9jqT+/U+78kF3h33r+7OF5c5e//Fr946ZndsxMrye0h7g/xeVUc
snpi3bhzzm4PG1JUPnsUEQjAFDtczA7Feb1j2ol6g7ah98ELdg7dGoIkP79ZUwpessXP6pD8rWPv
V07933r2zuM+nXj2nrzo+fDcnNeKPhh5P1spfqgNb6rXw8+OzLO4WSeK+BG1oHdWVzSEYn92o1jS
cS+e1SKhWOLgdf3sqr49Z6XhIT6WX//FX2maMwSCffb5xu7h9dvP+N9MzD//4w9jpf/D6ZR6okZF
eHheVbd6YlG+fv8urZ7DoVl58fr+XZS85GymX/9UXZzf1Z6ov8dMTXPUPef0SGonloBxEiX5sbhY
D//1Lr7/1+///fs/Xnz/uz//45//4c//9P0fz+paT9Tl6/c/vb7/KX//U/H+++J4Ub7/4WL0/vvD
W/7+h2CYan18ml+OwBL4EmEjoGHO6rdwYiI0Pjwn34ZGnkPJoZ94N4cm7/FwMX2pDiUP8nm1oYwT
++CUiVd+PKt+4alx0G+fuwJr33k1M34Su0CHcY7Jr5y7vk0n+um9Qswfs5x8qHX+h3Lll5Ltr1SA
mSfOJ/Nv2C8/XU/1kSPz/6wEGwL1fv5Iv3KH5qx+Z7WBm6cWPvfM5nUnrue3lMjhX2upO/Wa/Qho
egmPh/w3/wUAAP//</cx:binary>
              </cx:geoCache>
            </cx:geography>
          </cx:layoutPr>
          <cx:valueColors>
            <cx:minColor>
              <a:srgbClr val="00B050"/>
            </cx:minColor>
            <cx:midColor>
              <a:srgbClr val="FFC000"/>
            </cx:midColor>
            <cx:maxColor>
              <a:schemeClr val="accent4"/>
            </cx:maxColor>
          </cx:valueColors>
          <cx:valueColorPositions count="3"/>
        </cx:series>
      </cx:plotAreaRegion>
    </cx:plotArea>
    <cx:legend pos="r" align="ctr" overlay="1"/>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45">
          <cx:pt idx="0">50</cx:pt>
          <cx:pt idx="1">260</cx:pt>
          <cx:pt idx="2">173</cx:pt>
          <cx:pt idx="3">49</cx:pt>
          <cx:pt idx="4">196</cx:pt>
          <cx:pt idx="5">69</cx:pt>
          <cx:pt idx="6">43</cx:pt>
          <cx:pt idx="7">71</cx:pt>
          <cx:pt idx="8">157</cx:pt>
          <cx:pt idx="9">19</cx:pt>
          <cx:pt idx="10">175</cx:pt>
          <cx:pt idx="11">41</cx:pt>
          <cx:pt idx="12">38</cx:pt>
          <cx:pt idx="13">210</cx:pt>
          <cx:pt idx="14">55</cx:pt>
          <cx:pt idx="15">73</cx:pt>
          <cx:pt idx="16">86</cx:pt>
          <cx:pt idx="17">142</cx:pt>
          <cx:pt idx="18">44</cx:pt>
          <cx:pt idx="19">100</cx:pt>
          <cx:pt idx="20">276</cx:pt>
          <cx:pt idx="21">264</cx:pt>
          <cx:pt idx="22">156</cx:pt>
          <cx:pt idx="23">240</cx:pt>
          <cx:pt idx="24">149</cx:pt>
          <cx:pt idx="25">89</cx:pt>
          <cx:pt idx="26">146</cx:pt>
          <cx:pt idx="27">239</cx:pt>
          <cx:pt idx="28">245</cx:pt>
          <cx:pt idx="29">28</cx:pt>
          <cx:pt idx="30">233</cx:pt>
          <cx:pt idx="31">168</cx:pt>
          <cx:pt idx="32">129</cx:pt>
          <cx:pt idx="33">208</cx:pt>
          <cx:pt idx="34">254</cx:pt>
          <cx:pt idx="35">204</cx:pt>
          <cx:pt idx="36">9</cx:pt>
          <cx:pt idx="37">213</cx:pt>
          <cx:pt idx="38">87</cx:pt>
          <cx:pt idx="39">57</cx:pt>
          <cx:pt idx="40">209</cx:pt>
          <cx:pt idx="41">263</cx:pt>
          <cx:pt idx="42">119</cx:pt>
          <cx:pt idx="43">232</cx:pt>
          <cx:pt idx="44">160</cx:pt>
        </cx:lvl>
      </cx:strDim>
      <cx:strDim type="cat">
        <cx:f>_xlchart.v6.5</cx:f>
        <cx:nf>_xlchart.v6.4</cx:nf>
      </cx:strDim>
      <cx:numDim type="colorVal">
        <cx:f>_xlchart.v6.7</cx:f>
        <cx:nf>_xlchart.v6.6</cx:nf>
      </cx:numDim>
    </cx:data>
  </cx:chartData>
  <cx:chart>
    <cx:plotArea>
      <cx:plotAreaRegion>
        <cx:series layoutId="regionMap" uniqueId="{31ECE710-92A2-428C-882E-59F956C8FE49}">
          <cx:tx>
            <cx:txData>
              <cx:f>_xlchart.v6.6</cx:f>
              <cx:v>WBL Score</cx:v>
            </cx:txData>
          </cx:tx>
          <cx:dataId val="0"/>
          <cx:layoutPr>
            <cx:geography viewedRegionType="dataOnly" cultureLanguage="en-US" cultureRegion="US" attribution="Powered by Bing">
              <cx:geoCache provider="{E9337A44-BEBE-4D9F-B70C-5C5E7DAFC167}">
                <cx:binary>7Jpdk524lqb/SkVdDy4JJCSdONUXgr137vxyZjo/bN8QaTstCQECSSDg18/Krppz6nTPdHTfjx3h
iG2+hNBa632fpb9/X//2vXt79b+sfTeEv31ff/9Vxzj+7bffwnf91r+GD7357l1wP+OH767/zf38
ab6//fbDvyYzqN9yhMlv3/Wrj2/rr//2d7ibenP1a3w9DNHE7X5+89vDW5i7GP7Lo/+Pg7+8/ftt
Hrfx7fdfv7t5iO+3U8YNv/556Pzj919zVv76y29/vcWfB29fe7juk5uj/uXT/OP1P1/19hri778W
9IMgXAhGBKOUU0F+/SW9vR/Jiw+EcPjDGC95SfPi118G56P+/Vecf8iLshAI44IXiJYwiPD+KLjf
ByIKWgiOEeaoLAn+x9zcuW5TbvjHbPz5+5dh7u+cGWL4/Vf26y/jH2e9vxwrCpGXmBFScpQXBBfv
x7+/PsD0w8n4fynN9cp894W2GD1Sq4rDsHbdpRu2WOekKZU0y0Sqv0zR/+2hCN7sPzyW8DwXghPE
MStL+q+PpaInxdYtz867oT3Mlqv15DbafCajGUXdoiUluYW+uxcLS7Hq9cwe87GN34py307euoKe
KUamu8hK0+LTOEeaP69ly5TMy7D+WMxmLlnZBHQsWgK3aPHU0kOY46qO4zzn4ynworxRbl4+N1EQ
VGXb5umNLfaiPARut49KwTRUeVvScMrYnJhsOsu/D/C17U2RI8Yrw1frqt7DWObKZeNIM1kuNOt+
RoNC84XNTWEn2Zoc8VAxmO18PEx2X707DINh5rzDJw7dma8+Kz9rYWcjsRINmqRftadtPfJ8Ft+F
y5pUuz0fh/vcOPQtJdx+cdqMw2nVo6cP3LjihiSe1DMcWksjVy727OgnU6xVmvHqJcEt/eTwvD5n
vMt1lbawj1bqpRiPQhNfBjnNC0OZVL2a1anXfn0YO9/wo0OBH0TOUKi1ntHFBIsq1EzsjZIqrdSc
5jUb8cm4Prsx7Wq9nPO1GGU3UJXXKLjyo0s+9Ue8+xFfrCrTouIumwuJFyHEoWdDE5mkuZ1RFcJM
0v1oeNSPmvXfcp/GJEWiPNVGpCBTv5dfR+u8lW2rskUqOjstGZ11rLSY+7nGe+RB2mztbNX0++ak
LfBUyHzs7WdNyuVLZLHf5bzhjddINHaoh4jJeEDZ7LXc8sLsMq7tOMre7AO6QrFDx3JK45PxS/ml
0XzL5FLCvJ3c4GIhszlOnXRNp0vpReinixXucRaKqKudbPBszdq3OaX+rZ/tzqTodKMqHah+C2hb
SK2QziumhqGeNMRitbsxvxhdoaZq7F3XyyYnaq6o75Wv8qZP1361cZMbodrKjpcrloVpzA/Ur2te
TUXjP8+7poUsQhp/qKC8r0tkxsuh36YnMubTdFx2lhNZFpTOEvUpsXMa0nDqCRWxWreiObFmgvWy
87aZpN5GpA6dbXpSk1nRB9GO4UcvhHlIqsmDRGvvbw2n7pmgpZwOexbSdeZbiCZurX9wFKdQdTbF
S2Ym1Z+WONpjq1FIlRtXdsI+Knhwv+7Xord7U+f70C2yK1xaK84Cc5XY4XlSNEUqZFMIUco+N4uV
dvPOyt6mEGWfljBIXax2Pu6I7kqObvaP3JvxvrXKLdJkfr+Z1n75stJAvzol9pdCNCOXa97OdxRz
86m183C799mu6s0n8XPZnXASZpcVl1h1xS55mqbPpKEcydSV7BZ36/a4bSsEcblE8UC6cnu28969
kkVoe2iaiJuqc5lRki8dsnJD3XbnSJ9vFRdZiIcxW20mux23peRrILYK+aBwjZDe+krgReeHpqUW
He3MJ2fqsqOWV11DW0QOE8rN+JNAsHyyVDH/Zoptn6Rie7wR5YZjVXCXx7qg/eCqsR3GRSar8lz6
GZZ7le/cI8nz0FOZaTKY475tBo9ypJ7ORzvAq94oP1L6o2clo5dBTVMwNR1T4etu35t1OyC1Jmtl
7sUISxWtihh15Ps+porTaWHrcZlD9gwf2Uxy9wsnlS0LXR7G0DEuIZ7ypU4txZZdMLcNIR6zkcG8
HLMUePmtnLNdn8qyN8wem9HYZKUf+QCpKFc0o/Wu9xTaG+d3M9TBp7hXuVtwuNBDrklXzYWftSTr
tA053LooYn5rCbcGlvxSbuI09j3HGmYjK+1YF7lujmXuEKqSYHa7aLK4Ol8J7Upy+V6icBVsUQp2
MbWzKw877wXkOD21LfLXLJo93WxBFF0nURtC+ah6THhRFcZj9J5VB3Yay9Kyodq6vF8em8Xq/ItH
Y78evG8LW+M4+eYFmxR+bnRqnlNeUiznbEFvLl/H/DwglSbJOjTbamsTPS2NJlDrqEafIds1P/eQ
9HVsUf+ztQ0/tzFOsVZZRoZDaPk0yNZRhuQ6NvMN3yxpa+2LNT+oNLiH0kz6ZVQqXmZIx9e5j2WU
GbPTN7JF0Vdtv8ILL5Pa1KHZR2ykalM71qWDOi6zhaIkJz+iJ0geXldbvrhbyFiZlbB4EWTcTIez
Z7hNByhC+SSXZWqw5LworgassZbdWvBcGjaw12ltWiwpGwnE/lrg/UiT27+HBmq/DGSeIbxtj34U
XPvHeUBlWxVQ6KzcO8se1Oq6+VBueeyqvBhh8Lvo0HdfELdLMXbqk/Am/7busKblViZ40XkbVxSr
KVs8FN2SD/o4dlrTqhzsBtlGt+s9TZw/73aK8YCmrqf1aIaFHUAsbP60uqJfKh+mXtddq1I4gG5e
vqSCQcpy7aa57ALBkOimqW+qiDV7ynpql6PoQzkeRGZxrIWJRZKLY113VNy1X4otUVoVQuU/Vghr
Ktt91q+qhPiRPRlEXq3KjqtE3Ty3tRCty+VodricuJbdktUOtkb57lSVc7sSuWaFXSSkYBPlVDh0
JfQqmmr2BjQIJORlrgdhxvKmX3wHVWhs50bmGaQvkDh7CXote3+2L9FYntuFZC82FQOr6L7lpt49
L3NZrgRPB7L2brrgSjshc2Eho5d+62K121yPsujKdat52qbttBtITMfNgf5Zt535moRgu3NIbiEH
TgibT9tO572KhTJH1g+svDTITBeU0Gypl7wRSJpmLiEvcci4PpWLqXTbNNcDnCykjRnGstmapajK
TMNKXShr6IWiQoQq7Gv7ktJoIPnmpl/k2uPwY44Zw8cV78sg16S3reqHLjo59Su5a/HC75dlzS7w
jnCQYqWQP9S0oQqVGb0NhR6+il6nGxJLyN1tZ/dbWJrrV4qpzo9kXdIqSeyyS74s7CNaSxQl3ZR5
G+O+3qWdZvG4jjZ7gTcvmeStWh6zDNlZho3RWOGgVZTlxsmrY26AEiWKN4rZCNFJGtxW7Rp7yHa6
Vx/Xoc2+8pb775tvVVtpNwsvp8GrzyuohbumSfomhc2+wNeaz+NCzSIZn/AswciNPwez722dZyZ/
9NOOi4p0K5vqtVt9OrnA9lMzhZnWM83EWi2Ot18SWLtednOP19OSuGog/rNlr1TjHJIdWmxfuWmg
fY2yyD51rYvq5HTZDBVIfAUr1K7dCwepQmVnIcVIrdoS9CBIfchgJoNIMqhotYTc2DaV2pY5l2ws
FJUFnaiVxq3ldZrV/kA73eqqwWTpZbGLPByFM/bO8JD9pLnKLvcFBKNMAbPPAyz4u9C15F7EyM8L
62mAybcEV1qrsoOlkIVwngRLtPKNKrjc/F6iihSNvqU2irehV8XXHnLNUgWdldkRDQSSAgUJbiXL
NjIche0nfAbPZq/bdX0vPTxOw7F3c2ulMDtfKmIhOci4DMgc2gz3Uw2XggqdomumA+9L/4BN16PK
NGoQhxTp++nTPJpKgKCLpxnP890wZb05gJKBNWiE8x9DadtQjaUpju0+QGpiAx0+soTF536MC6l2
sxeFVNswnV1MLTm2KpTuOPU4extYo/qKGzX3121jg64DPG+XlndtqiH+dPmJo6YYDhxk4ip12+8f
S1T2WjbGgMjb/aSQDO0S6LUpvR6qpp34Ofl2uuvUlvmqK1RsZLClLSub2zTAF6PiB24687mHIHha
i0mMEszNKuTINq6rMWv6b4qz9YtZAkw3x674xvd82+VC8hhqiG/0ddACdOuYs0ZCBiBPPsdNUzVZ
4+6WHQZUWedgPLY17TdLEAwiXxrxgJ1tMhjxyB+7CTNWJ9+xEwkLHUELpQyWxYgWkCB4nqY65Lsv
LxgdfFkVrRhE1Y0IfE+csv1agUbuD6KYU3/IIK0OcsiCKCuTz8VFnhVRQ26dFiNToeexgkhkTy5N
Zaim9T1NmcFBNdQkQ+oSkj3MrxBb3tdQjEV/QL3KPs893+7bBlTIASLKLofIGgyTnEamJWgqCjar
3Nrt2HahM9XQF6OSbdJNBHOVu1OBF6iIK8MrqxRIFy53tOwBVq1ePwewIoP8d1zw2x9A509e8Ae0
+O7GzRul/yQ6//j5bzf/BxT9/f2yf/7/OxX656+P49vwKfq3t3jzOv7HM//lQnjcn89/B0r/8uM/
0aW/wp//7sH/Hlwq+F/AyftA/oUtydnPww/zVxr1fsGfWAl94AT4iWAIgetmxT+xkviAEOIgMykS
rKRl/g+slOUfCvg/OIxzUByowHDsT66UkQ+kFAUWPEcE/tKc/U/AEkiwf2E8tOQMBoZJzuHfPMcY
BvhXtNT62WSoGJ83StB9mOihF1kCN27Q5Rr4hd46cqnL2MqEoWCmLwU/9Q6MSb4e52gPJf20FJ/W
YpMtt3XcOlHlZgORBhcsecWzh7h/Grf1iHx/6fqrKTbXwHJmEBYKvxTqssgfcPbaxfIij82h8GWs
QRJmzw7/GBdcx/1qyi8GVlQ0fMsmfzXvvT0PnnQ1w36qXIvi0dteahwPjLdVUzZ1UfK3xkNQ4iT5
HExleeHaem7arPJCy0l9bLtCHEiYzx1ppehBHLa3K/cPdH8whcnkWKpPWg1SLelyWrJLwrXMMlHR
Zcolti6TfYz1NIdCIrwT6aGUabOcGj9dZHE+eYhmFrqTpuhqClY2y9eFLb4GNblXmchqXaofrudA
MtqbRG4cyqvBn6HySK9QLjvRqWov5suwwPjDfGhBwOJB1RqQ29iySmfZMRlez6GrUL5B1fiZOV3z
/uesiwPZ3cn5Jy5+6KKUezlZmXbxsBB8G/EEeRsg5ik0wNvsfGNp+bSvZXlR4L6VK+LqKCjMykAl
JUYWs37TIQGVKuueJi8ta5/bNB0nE+QwtBd846PEG0j2LGfTDTJmlKZVl1l/nZNXu9LP4JZAWOXZ
l73/1oq1zthNEu68JFscijF2XuL8WzPvw6lDZr4qCxJu593JYqDPM8iDpqSVKOEjU9A6tK+0ouhx
SmXNVPOMh67GhuYHTV9Ks4OKSbf9vAAUJSxcbnS/ExEcqOFXg8MGJv/cqaymnaJXK1nB/ExdcVOA
PN2WdCSJ1CteD3qfroDAgTGa36amgxXt/OVaDgfkxnMBi3TS/id+L/G8PxGwJc1sjhgcvhwJ9lVG
11WqfZZFw2/Krr1MdpPT2NSssWBprc/eUWXVE9ZWAqkTXjYAm1MdB37BZnSAr1y12XjAXapXD+V3
zurE23q397PooXSITa47FHC+nbKRH3JiPjasPTAwIf2C73NSVIh/IiZJ5FNeKS/qLNxwUpxRGirP
6UUOLACqwaUBpdAWdZeZ4xC+B/cY2EGj50avMifreWu6gwNFeodFGADmFhWg12rbsquRg6VtRTXM
X9cRHMFwP9PxnAPXwwM6bKkcPxa97+Wgt4sVpYd5pSe8u49kxBVFXhbEeJkN4Ek4ekjupTHZJQ5O
th2tiV7AQPXhiNbbNno4Y5YUQim064Gln9n+YtDnPGHZjc10n3pbj05HieZ0zLPrYT1H+mCDgjLc
k/kY53vcAjJD/TGPlytJn+apPe/h3kHwm8XHumwHkG/9hdGbbNjHfFEHU4KVylUFKrmVm/0G9Vdq
cCNVswK8NuPBawj3tjwXo5eg7u+c/VLq/GejTNURLeflcW3M54ZCNPB9gFX1bWCpYgmWSOFqH1e5
rd/i2FdDYw+9hkgDjlVNOgA7fOoTeDoI8xFhuU2pWve3Jvs5WCeXjlYjfVjK/BTb+7ZtIEXcgswX
V3uBP1PTwdIeqgWrb3gDi9GFJ1dSV08MHWhmr3sa5d5eajCB66R76Td9yUm68x7oKyyXPiYHMGlg
kun2YiHk2G1pqaH9sR51Awlwb+S8vstZmBp7H/cXwV9FNsuUYIb1cHQYHWDdiYNCy2maXAODJ5hU
2WSbivXLT+b3y51n1/v6Cemzjic0E35PivExRFNr5b+MhJ20yi4sbhbp+qE8d26CHK+A+11z7Ak0
PfStpybeRgrATE+m+wbs5C7L6SCZmO5YL74uELXQbrmH/pWSRYm+BKg1frDrV59MW2WDwNfKhsO0
qJMonJIlAZQRnf7Y9/Q+96UcKCUbvJi58q299U2/fRUt2EIQ/E0fbtJe1kDayuMYzXLrHNA57FJ7
afP5OO3xHb7j+QAtH2AZKjwATsDV5iPMHWLdeUqoEFUL8vO6GPX6UnoTTkp0/qkYMMAmKLLgP8Pb
kkT+glGwF34F8L+UgVTU5fazH0DDkX68bChaazU0dWw6clhCaE4h9bOEFwR0sFyQiX/vR6yusuDV
GXpMY9UmYRrZzvNlt7D5CZhorDkAOAugc6ucoUttIghnvfAXXQzSaGirKGGeAxBhiqH4g2u6p52A
iNRAZvETyO+DoEi10ik2SI6fxQZz58lDMKU6Wb+DOOfp3O05NI7Iy6BRM8gJaNhxjVdKAQdFK5fM
oeEbnkZ2qUKDgNmWM+C6RrR7BQsL/IlDCuJJ46ecNpeAOK42oi9W4MERgHmzr99NtLyGNyDH3KzV
RsuzYOMZR27qMMAHZnNfT4M5EChKVQHevCpjZ46g0esI2AwN6bOj+csIHSBlvZFuWM66n+760R8z
F148Syftva7LfPV1jhE/qmG6cODNY193UPvBRb+XFzkiQNklnZKuSJZd9KYDGxVhMk0WL3ak5LLP
VxEI1c+eC3/VjUOokYvD89hk/LhtzVpPNBQHPGdhrkQnNqir0RTxBD2deB+zYqx7EsjHjrFmP1qj
qanB7syPA3H6QFqjvpZk0gCHB+9xNWoCzZVQUlk6UA1jropOjhsk7dGwBFR4Y1U5j/nd0BAQRKYN
N0Oy7OTJRu65t6aX46rn52YsiT6XkYz3DS0cULyiheK/LYW5sMHECrzeye4T9JbyTrEOUijXnRxM
0w6yyZy4ZNkIihJ6daKTc7D9pZ0gjgDNZewKojp8tIKzL2TLJgndmXhNgD3MkMKA/Q9IO1Z3fDff
oHHpoc2TzZ+BpjWHZY4R+CyQSHWcxbgg6aG+ApSJ3TWZCQOtaOMZciI9kEVtR7vropcxZ1BF7Xbq
M7tfAZVS93mCwhHxNtxkcTfSku9ePFqWrijIi+cZKOI5kgSUy2IlAXQU18XapE9Z0OsXAqO/LTUU
pATmrRatYAcOEPne7Ru/EWF19zCU5gyttwfWNUvdtxSyVOuf7YbFuRUdl7SfSZAwgP37nHJz6jA7
jw3tgOnxBtoPDToGXYS6XYsG9CC6smOR3c7YDd8Gg4ZnzZy7pimWEHptDjyUw/OGfVO1C+PcV4U+
FKTVT4GZdG3G6SQwOGBRHGzW9ce2YBlwFz5domHwdUbtk+r8y4az5iQaBX2OMlNV6w8ButFf2bi7
S9Xl5uAHuj1mu3WvfS7osyGhOThn00VAoJQ7rANgha055hsvn9ggNPQHXH4hygZX05QALvsetNXG
Mw1QRd2LFlO587m5IX6ar1yxtO8dmu/GNZd+iC9pMUfD7/cpfNHqcXJ7OiAg8TdWj+fUGgcSDrOL
hqZzoxr9MTbCHkhaHg2HVujkwwwxKvQ1WcljFmOqdjTdQPMWDFDDTYVpI4fFmLcpgWkYzIZkYdl1
Pq2fvFsr8i5IQBteMAuTO2Ifro0Cwd6Z78os0IBpy894Zs/tgoAtrfG4tPSuISlclgu5bu3PDr5l
vXXmoWlDvEMtVOKmhf6HN5k9tGp/oVn+MtAVpC1gvquop0rlEUD9Ih46ripIg1eb2AdotqX7kqKX
YYl3sQjhMoYZ3AG0NxUe8pOYwhP0K7+4d9+Sg0lRzF7ifPLSbFlVlsneLOUKNkQMYJgEWddaM1go
pbjkgXWfIJmCKPZA7V3WbwDwZ3r0Wf6szOpvekPyc4xatHdMhLHeYd2+tVRPdaGb5uyzjB0SzvjN
2mzQnMqom85QZKmRvhHpCEEfbizQ7ltrTHual76Fht3kLERGL2qzTkOtPJtDDQ1VBrQdut2y1MtS
TWLBhx46NeCjeJ9fb3t0OcxJ8D8AxmYJWI1DdQ/rGyCP099CnGC2C305boD8ruPSGbkP0KCV0Ou+
GDPfzMfRImqugFhKsl/QYtw/Z2i3B2gjnKAV99ai8eTnidVWuyhHXH4BU9zKbF9fleuWKmVKnP8/
UYnb+44WLP5LouJiSK/D61+RyvsVfyCVXHwoWMFh90YOlASaXEA0/tipg8UH2ICAqCgZwzmBrTL/
RCqYfYD9OzmAGIJKhCj/51adLC8/CMAsSMBFf2z++Z8gFVyQf92uAwwfeg0MmAotSkxhmP+BqSQe
FfKxHyX1+7rUvvDBfsu0ZVaSDicgzKVVsCsDqif/mG0Iok0KGvh8l8bWQH92yjZcO6zarlYwCejG
9NkMXlNB4/64AB2iBxDw3XwNuz+suEQxQNng6xLiE1tFic7F7tWLgc0k4QJ24sTmRiTVvaK0T2A3
Fo2F7LOFvxZFD44ftmHcNSt0H1gLpcE2wX42zNEjdNOAlVhtv5AF0HJNAc4KkUy1rwAeOOvaW1j0
YHFWaP4xDMUXMmrxkg20+2pCNxzINHd3vjNDxTDgGRB4PczA5jtZ+Fbf8W1pTLXBJzXQusuyCr6a
HSX04DI5zxl5BHE4ffQ9QOG6m5y6n1fFr3ph6Gkv9/WWDe9cfm9jB0oWXCuGDTK3OMWwVHxayx8I
SoPIFa4YGqJsksd3QSXmJEuNOzqyD4etaZ2TZJ7W0x4tdP0iyIdLROe4AAJy/GNgjfkGfhZaTqx7
pOOgz4Ne1aNQ49jJbOLqoigTP0DfnT+ZBcF1vg/tgfLmp+fjl95b6PDOe5LwaYHm4JJUaVsXWWhB
z1mJu1OvRvtUFum9HtbaQZEAUK4wJNzuHRMN9OiaebqK0NQ6wQfL6h3S/JONE/6oG3xjnH0yxXvH
YOPg8vPV/G92zmw5T2Tb1k9ERXZkwuWBv1cvWbLlG8KyyzTZQNLD05+B7XWWS3tHVax9u8+NHbIl
wU+TOecY35j5y7q02ZXNe8EAuYz2WzsW5S5ozXqi3M5lEnSmuJFTMMMVkm2dqkqhNsW52ZRQ9O1d
N86XTuFuzaAERFI3cXEesjbADsGCp1iORRp3VOyoqPS+cbI+xkWxHnwx+HRYSHjJDOshCY7LgWu2
N2MZ43iojPIZIA8vQD3p6pirhp47vqhdNPIb12I5lzpermMvb0Pv+BUp0ABWBjtV0bXodw3LbzI2
NR9cpextVvfVt1XAyQSENtizQRt2hBRZwjYr/It0hjyuzjfYLqLiawfMB/4Br47O1SGUFlLdeglB
aAnYVYvLdl/yqDt3FgVhEaz+4hZdHlprr1dtmxOoDp+IaNi20KkpkorprQFmDW6CVR4UBpqzKlxg
Vrfoy4q46D6A7KCPPpjYEeyTP0IYfWZlDF0KC0ciq7pYUMi6y2BDerUGRbNzjH6eUJude8tzlAbx
tCS5QMNfNxIVpWnmu8jNKN8KXsFtG8PUxOS4rsTe9UHoDqOv+E1Gg/iuy9166wKfQ/wPu6u1JGuR
NDYW3+oc2tAChufc+bm88mWhDlR1n2hL8z3abLhgCqVvRYH2KC5fcgbrHw3aJkhOcdVHhxm3/pKT
gAPs8QtKtlx8cJkH4hUXrTpkQz5/6tc6S9Zy2YNewi0vysx8jmZm4BLhx/oWlSUVc5/Wa453a6Z6
l5HwDuCdBQ1QTDvXQnqBHdZFSQCm4py10u9klpuPkxz4xU9UXGkQCTBPNb/UNNsT1X5jo34D/6Lu
/TIUBxuEkE7R4ORJ5+ruZbYVqERVeJIdcqFiTRLc2lMwOSCEcCmDaXjrqIasIykeVL9r8/lKTS6j
uzx2t/EwDZAf85Ce+nGuv2ix5KnpRZz6SsibbAQitKsM4QU+rqePqkPjCWOLy1bv9ajo9QrIp04Y
71De5xY38mHucjS9MPWgUEBg37nRHHg93Mxjcepq0pxY25yN0XfBOpgkw+MH3W6hR2r5TpfLS5OP
F08ZCrlWX5Ny3MeZehOiuVQC1IOC5ddDWPZiORFT3OYMuMJYo6rjUJ/mDD218TsAEGAOIAdTcrBT
hq/rExz9JFLLV1E+kQzrXBS+QgcDoEAOtB2P9chuItYeHNryyNg9t+iTq+iqqTqgDOZqtPwqmyFB
W5z02h7Xwp+XqjkWnbuNWpi7bZU2I1jCnB9ctt4tfNm7CT1uXGD5gG8QCJPQHmJgMzdNSlDWBmHo
E8ohNOoge+TVjMWBnfSmgLvsejL1LhDLfR+0ydwT8QELXEwTWMtZgl1MwBljZZEqqD9hqga5PHC7
EWlDw/fMFg9+cm4/Ru7Oc35d59WTtvoAaOLYBlW785awU0iMuDUmLL4FTKzrBSATfaCAJ85FoLud
izL57BmE1r2m+lkpVZwMYKakUpw6SPCg6kYspgeIT/YQxibY97rRaZurcB/28XfmPAg7G5N0dfQa
xenXRmJJkfUE87PIRDou63CO5+ktm6v+JgOGl85Dy8/aF9mdnGugiIq3qeP1BUipAy/QD3sWyvAQ
V+KCZRG+4YQuoGy6aUfaZkfr4pQ38V2t2iUd+qHY6SCCUsjzZl9nyu9h9uNN7sdv2Vrf0HI+q0gP
b6vju7aO7yxf2Smb4hYvU/0UkuwpDCzUIR986Suo77YdfRIaqCyxhGpsm0Nh/AHt1C2dyXoD0WIB
TDE9jNgX49DxdHZYTMycf6zGMd/No7oMS3fJs+6B5PzaTwyL5GhO0cAhGbfEfpwsiDpUEdOp99rd
eLeoL5OIw4uJvTtmfda1MFbn8sC9gUDZD/S1gOLbSCziHYf3vYdOiFJobKLvHW3YtbTW7kNfgjsd
SPA6qfUGOwmahSFycZLVsfizxClJR9D3+MHtsQZOqQuhAygpPmcjiyB7DnQfTsRMyaCMO05F9Ern
PEwDlT1NJmYAYbH6SU7EppmMza5uuzyZRG3vJRtqiNg9mnBsTGWzfsxiO6Vxa+70uiagOYLP/dph
DeTgdlt+PU7Qck3XwkoJXmlZHiLih7SIukMxewN1kT+Eq2W3tuLXdigF6EsK66FasVKw4HvXwHrK
1+lxJfpxCGO48Q3F89tc9UYegqHeARTT36HX8TQAXrfLOOTLHCZLNcb1SYN32RUoU5N4XCSKuj6G
P06W5670oHgNCjE0XBOkDP4aUfs9zCoG/KCKTkvTXEnVxOlk/UdZlWGaj3UDF02NyZBZyDqN5uVu
FMTjMxVtc9Nks7msZqY7tU4fGEMJJa34kkV0TkrfrWc9QgVVo0+DkT4WXXRXVSFPfebpct0Wqrvv
lGoPui/oHhWx2fkskEcd6fpbDqvfpBTI5jMlfTylEjTIl7BzbTJGGzha5hY+nwuW63qe+4caVwxo
h/CA0WfywjLwC2A4+a5a2XpeghFfD5NfQRTp2EJNz4U+ZV0Y7PqhVs2+xD0FOOPHhVyM9EvqrS3y
ZCm8hPvhav7gOm4+iyDHAcF43mWVbm/6UDQwYOfsNpfzet83ZuUn6/w6pY2R7qZbmP9MgDcVCWre
s1ZkwG40j2dfgKNaWBYmqAyiazTlYdKyFc+2CjQ/2qjxBxTe6jKr6lNle2ALjK702MEtvOpoLj51
i0fBY4yE/Bj6wwxjZh8V5f1awBOG0/U2g1s/afAv7j6HCNfswqKNxhc6R0F1bPpMYdEO5HRZ27ab
j2Ss6tt2GZargdIglAmdFwI7oaud6o7VXK/02xyu3SmIy2K+oT0lcB7r6DETpZ1OcWkWC6J5bp8L
yDA4g97RL2PsixfDs3VMAzOH18AkAmjWYuyno1V53n7jgZYS/GyAm79QVpi9W0TFL2Swpbyp69q5
K6zVsOawjJfBLoBw3ycthHiTgM0CgLiOPYEGQxaS9cdWioocmIJnntSl9PFHN/uoezRFi1tSwLUL
HueuapuToLGA/zk7Vg542SVQ6znvAnVZB1Asn/TcUHFqZFTCnQ4zBfiqcN3neW6AxStry3anxyov
zgrbDrsfxdpjcV2Xzg1optCfJX6V1bBfJY0avLB5QdJMh+GbIJn94FnQjmcpsdI8+dFm7BaNJrZp
5aWert0y+DyJ1aL9iG22Hb+4oXYBIJ9BlA+FjWEv8ALCzXltedSextLQZF3Gcob2rpvhaspQbvPW
4nNxKkAFLR5kVt7nuxZITMKruvxzcWN+5j3Vb6Zw8a5Y2fgAKDc8R4uT94WNSFoPK/QhLYO0Ul2U
ZqOE/QilON5Fc1Dcz2w0H8o82hlVpHgsz1EYrFBiVplUQUd2WgXPzgTwG8cD01SeM94B79Vqx6uu
vsO20cDORjeLpMSnykTNXg7e72uLp0fHw0F11D8OZdnXqajjWz2N9lNdR1+yDggEgLIXB1YJSA94
xkHU9J5lvnjKiHwyFufZNvYZKGcN5RDad+Yvsc3h7AzTfV+K3dQ09MBNcEV1C8sl4B86RtNKNDah
nXmBTQoluZz1fo09TUktHpaav7Y2vqBLyMCZM5IETX1kuv+zB64818vLNMW301J9hKAqBLIgcw/9
oHrBrX6Fh3Ff1DACgsB/MfV93etz6PqvFalPVi7X62rD01h1r7LCDZjj1PYr7FaVjhJ2at74c+Ub
LENF8MIcefRI5hQjvQNlSJPeuguEuz9J3MikyeP6lgXdkzCbDEnsfS6mR8j+NxSuTtqNQMDWZoT2
111lit33cwC1nPTfYwZhxOuLBn1+zXmBKnREMV/P+zJAKiH348Nam09LHH1Gdz6duM7O0vMlVRId
El5D8KrHbRN05cn671VmEymzexNhK+N8DwfmgMUXihyRnw34kWIwcwLFEO5QJw5BVh1XtBu5id76
BdcjXM4R468LuBA3TuXrUnQzMKvyvKzZq4mqr6J27IoS9xn6x3lpwedjkdzZJV/3rLYvc87IfhDj
cSDqS5AVZhesYKRbWU6HkUwiWXh9arELNnl/Cwp6BFbJ1i+9wOMI4R/nPdp0coM4DzPDu0xkOsiV
Q6vHKTP8Jta5V0p4nSxoXAFZm28QiQ91X0CSxoKeMlpdzYZcRyrYVQ3M6mAFXp9YOuYJ4Y+Tqp6d
Dh+A6h19GLYP5cjQ8Ue4ypE8q7g8M1S30TqkK/5db95r1JunJuhOPQCPRrljXrEngtId4YDbSs8v
s5+yZwChe1OCaGDrLY/1MyfjrumjSzGSc90Ex3JtT2qVp7b1Zge5HSyaAZ7euSNh09XYZ6c2Wy7R
gBhQp58NI6mMzB5e7Rla9BOLGvjgk7nQttzRUZTXSOFdeiSXSCnOvAueM2QF02Yo/5xhge21X/mR
iP4CpXmfs/iRLxkSBAtecOzzcP0KxC2ohvUFhcIs7X20BtHdKP0ddJQzJJtPVVd+y1AYrtiid1Gv
s9uSi+GaTCMFIFS/tsXCr+KGuRNhatcWWDGq0dFdVSzTrmqD+H6aXJOMlducvw4As69f5nlDbDlS
O+U06x3PevtgipxBLmiuyhbbb9ubJdHE3AEAfZIdeNAqSCoJVqPMEPULD+sUx49DXkC3CIB7I9ST
ztRD54iPFgy0gspzWRtxoSoHnQSPA4T0CQIPSWrDAIaET/2K51Y0Kfa2fOcDf7X6SBz0Aj0JssdD
BsoI4ha6cCiUpzWANpMF+7IaTyGQ66Mn6sAmm8EZD99WUXzqAhh4utlDb8KLUiJOIbS75RVPWxKf
NyoU/VCf5FJdlFnBt8YoappzFQEJiMxJzCS4CdrbtvbXdtrApAU9Xa8hi9Bop2MAJSL75hA2Icj3
8AbmRFj0uypbxpc2b3axzz92NccT2x07bNk1ekYVinus14nz7W5CGA95MYugGg9uWKgfsyw+GCf3
S/9oGnVuffQMjH43rvaR4YKLuD0PDN2aQ41OUZIyfZBqAM2wEmiFNY+TMQsFevN1OqAFr1FD+C9R
se6Rn/jQTmjFS1PJA81BQQCxaNKO+NNYM+DDwWml63ckmVIz6DKpWmnwTmfbAeoh6WfYUWq8ySlO
vfOooI18LMBeAlOO9p0LoQmS3iNH4b+N3gEimj5r+O1myg49nREmWj+2jXmlsU7DrEGx0kgIM8gK
DcF0H20x0bC/Av97M6HmgPGNYJV4mVcwopqWHyur70bASmLorpwXt2UFLiu0WDvCDCJGqyVgiixH
+iJ8XVpxp8P21i1sTiiLYccQBADanp5RSLw0dXQgNUrxoX6FnnaepT2CiDKJBld9BpR+TeKOpB6J
NiQQ0BLOA3sGQL7rbW7RzPU0kXq+QSICfLwrgR7b10iLzQSC2QmePaElsUCPwksfOnqg8K6Plbdf
DIUnFI4dmJRhiM60qCCtUvEKKh/yXJNPByMgcbsSreAyNu2lQaZ17wqHWIsu35AzBekQT+o4ye6E
evBVdwFJadHupfHZDiVpk45d/GAr8+yyIZ4+xWijUMqWAvZbf0A8YzIevxW2pNzNnfK4macIBK8h
T7YrrKH7IGrmZQhSVbacp8NYOH1YYVs1O9aAizgAPc4eO4QUOQzNuqyvRLXq4miySjyvVsIcCAHA
KbiXkn6wyLLYtBQmKPZlFqrvcDlHbJ1YYRGixJPxrVbZNB607sPvwF/UY72O06MniPRBlQyQO5xR
PamkixqsEbkRIMDXJli7vURUDCmXnOq0aZegRicVOex0dtK3pWzgLcQje0blHAtAnlGHyNVSLJ9m
1QBMgDMRGAQ6hgJdfYF1AucYlc9szoDKd1mHiCnyMEqm+ezW7KS9x22M5wpQPJC5sPVHV6yqgwNe
S5rgtvMZieNugKDvouA4L7X9zCrRP0zgVO7orOHRO4qaN/3/pttP0y0kf2e6pbVFjLv73XPbfuCn
5ybEHyFMNwKAOWahijYg+afnJvgfW0IcgWLJ4ihiEf3Nc6N/cAmpFP8N8kfwGPnxf2HMiM4LRmK4
ePEWaecq/E88NwHA+rekekS55DC5kYkRDOcnY5z57xRz6ztGSi05iqwBIAkJwuXU02h9RF9BHnmf
h4dsGkK6R5pp/EocOuJMN/aJuS7s91VL1jPav1djHARokbd5AacDgthIXFGn6DOKjWe29T0kJQvv
IyzUjUPqoEbWVkJLDbt8+IB4V/YCfw9C28h787lpnb2uXVsjhyUChI5tu+5yJeabOBTximIta26M
JuunpVDiaTBaALLq6l1pi2fso/XHYOJILhLThNiNPJVHklUzzH8YTvDls49lWLuvc9yib/rt3v83
2X+2XbB/TxzYLmjIGYYaSIkJBjEHZf6XC1rEli7GLmFShoZ+WJHHvYQC2RBYHlP0UC8d/dbryewl
/Jcunfppxuqedf4xplZ/XHQ8fV89/CbsNQ1NbGaxl4i1fAIXPSMg78R4qQoT8pOe1vwfTh5W7vtz
F6EUEmw8RWvN3o0tMIgAG4RFkR5yc7Of4jA7OrbMexmU0d5XJdn9/cWif/V7f1ysvxxwO6HfxjPw
jBSFmkyYWAm7oiIACDM0d+CXB3RzAkqyChskWCNoDfwAuPLarAZaMrugBP7IsnHfRW06g5X5+xPb
fOZ3N1FIeN3AemMVI3351/NiEFsmPPBIGs4Z3JjM1pdAz9nN/+AolKkQWDbUZPXuUUGj4CGtNXhU
grC/BmjW7j0fxn+4qT9mXLz7MFIirECEhIcf8nevOOd6LUUVy0RVUQCXqBaYJtDQLL9i2PVeiqGg
0LaZXz4S2ZKXNpSBSwZJqi8tX/33ggARK3EEBHnzGiZcBSgcRJXVf1JmIO+JNYMyOMyy2A9FAFtE
FGAnSWz2U8Zvhjgf7imHhbSvTN48jaZzn3xTSADmtoXqDUw6L1m9ZfEGOLgrurYOG5Q5z2RkMDOq
eT1zx9H0/bj6v2Ivv17V/5WxGxAcvz2I/yV385x/cd/+woj8+IFfuZtwS9dgV8Kjj30B81z+tWEB
HwkRw+GRFEIA+cBO8muai8AwF0G290Qp7Epqw0f+33b1ByahgKuIQ0pCJTCD5T/Zrjh9v0QRbHyC
0BDnEXFGGXbN31eMySxVx2T86L1a3bkt+yiArDgUE7KRc3Cz5O2Tl2gn06A2GfDyJmQ3ITqRIFlM
XbxC2UQowMqJVElLZVkeezbAJi6WrQsMVLxMianoBOPT5hDJIOBhWymqdfpETA3FA1mCBZU2pIso
6YECfxhh88x75tF4JFDC7ZdF2hwRhlys/tpDhi+yIy9Ij/SJRo42e4jXVSpqwLO7DvoWKxyMOi1Z
K45F1jSMwlvs/fI0LXlhrnJwrKkfodhjr5wWnOqW0ZWw4irsCSKX7ZG0bNHpOI0jttqOAWCdMYAl
P+YlJK2UjJbgpbfUfpqGQCHWiDjlACZuU0AKllXfycDEJ4/o+62eLdyknGULNuIS02FSMHFMJmzF
3A0obHXrD0QwqPQLxNgQOToFC4ORqXJ72zXkFC/Wge2Xlf5aKUx82bXNmiPMl/WGHkZw2595xfxz
M3Q5vJa8bjEvIfNqX2M0A4WT01TIsQhcD+jBTXxVlVSxY2siWr4OLNNf4YMYRMtXDxWrnCDmvTIS
NK8VJqDoXZVzxnZLMZqzXaiY9sCKw4+u7NcvCtwN6ogCTVhqbEmXlIhpntOgMQ3wADS+2cR6tL8W
JXaiLTKpSOnDg93mr9DEK4+9NmK+jvd+jbu7zStrdy2e+s36m7FhWbGs1yrqmdj5yc76xDkyMrvR
U8DgrqCzS2TXIdeu8ghhSqymoEli6iJY/NVKMXPC6hpttAsQw2riEU6dDMUaJxx5asjoGN8BLs/J
OEr0XCMkQB2HflctXfEntS4IkH5aoaJwSmFfTdCBqzSasKGDfQr1lHTTFN22jKGznOIgbpGqqPri
xvFKv9HG0XvwycYezRyU36Kun1gyxq4o90iTotW2ij1OyHHAquHatiC89c+JP6BMt/k/hdE+e100
WIfvufUGU4LYJOG65mWOpyMpfowRWgek6tIab7i+CbZJQ3m0DR0aCIQoxBa2YUQR8jx3cI4woigH
ixMCJN5GFyGsPX5qUXTdxLWlzZFgyEZ+cNSVIZzIYOxTp0RLkOvCVCRmo/nb8mNUkv8xNilX2wgl
MAWFOTkqaHiGB7Ac+TZvKesL9aFYS0xQWrd5TKgHxikJpOnjfR0Fnb7qVTCUe7Sh84mB/AYcPcRl
lazhfBvNpdQHq5vqJIxGDtxG+fphmjqUo0vD4u+kyfVtnPl1gWUU+Q5EG5NPPSunVzIWoIKIj4dl
37KieJmIVqCSmbIiVcLvh86jhEVfDuG2IUWDgrjy/rFGZbulMjC1aV9FrnkNMX4IcLof+WvhZPXR
W054ajFIAvE9DbkkiSC430+S4bkLfQsGfG7CfNfFG6AcIyh/WzUVBmO0cEsvbV1GEIkXPL4HE6lW
pMg36SWlDdDsI+375TuG9bi5uw4HhazYQXFdw1/L3GQfSYFxN8nQ6OlLNpj6TplQgkRV6E9TFA0L
POd+sDfVINAmzCCTxJE7j0FUvUZQPhsIsnFh7DhyGlnbIZkcRtAVM1e2TeJEUXUPghQy2LfQEAYg
zhnkjYpGtNthYoqtThQ6pkUQR7fj57kNTZN0YzRjqRcI6LzFEbrgg+yL+avHOv+Jh7F6I87SR+mK
6MCh/Jl9PLdrd1+HjXBt2vE2P9VBvQXyTRl/DREBC3e1WvV0iRD3GZIlB66Hx79yExJrY4PYkA8B
i8XITe+hLOFyzHPV5glOSco9QoPr515ZvBIqLtiaDrkBfsAkppbAcGdq2GMaUZAfWCeKfJcZmC3J
FMYAThwN+qt10BSpjppML03cA4Ah8KQufLsECRRqTPaQMe3o/75KCaPw3J+u/71JR8f7d1XS//ne
ll//UiX9+IGfVVKItj4UkqsY9QimRm0g68+2HkGpP1CfoOBBSYSoMd86/l91Elf4LwKUVkAHwPco
/Ne/6iQu/ohCBp1ARIJystVd/8pl/6WUxYjAX1//PvZua9T+XfID7Q0jxRlKMYy+QyMTveNoM6X5
DNEM1vi8qLhNkWYI/VvZZhzDcAI0gPi33y7Of3PEv9ZlOGIU05hH248itY3i7K91mYJT34wYRTgt
7XZANVvm3zC2B3/GEwylYz6ZLnj6Dw8K8DhCg0YkmGVUpO8OCv93FLWZ3lrIg/6t92MfPEmDpfop
HtoV2zfm9/wPDsqoQsgcQw03Upq8O6hsbTW0k8JBaxyuAIOswRTlXN9gZozQNwSoBQ7995/0v9xQ
KAlRjL4cDwe45R8yzm+Nso6ExvonvgxhGeEWZqgV/BvyuvjYmR1yBDH//njbh/j3AwTBCsU/GkZ8
SCURmRfvHqC8HzWLxIooLBDNt0qOFQ7x83YWSA7i85kBEwDzJMJXmiUhlvp/fKb++qG3B1hxFAME
lxtnQMm7xhUDAzHQooxFUvRlESFi9ePWmtYRHB9TSbA//cNT/O5jC04kdDeoYdsjRWn4To9ApL1q
VeTGFMtyrfVJmngMADa107jUZ1XRFcOzooLM+KsgMMGqA6mU68rj31/+v75NEVoo6IUxlRAgGIZW
yneXv3A85tJ9xnC0MVWrAnF7wFPHcYXbEvWthCU4jv/wiL07JpYstIGxilDAU7xL6t1nzwOyoLSv
DBLobgyeuEUC7q2MnAWzs9QxnvVlrCdJ9n//UdFP/vakYSFEdxhisaRoIPH3+5tcVcUgM/QNiQ/K
KXgCM6ZxQIwKXHCTMyfwMte4aWOf/Hzcy67ZngWDa4Lv+/tzeX8JIIZi4UUXi+GWBOvYu1cbFWKu
oZFglGCD1a5Nf16DGQtY8BSM3Pp8X22m6D+9bdvt/Pfb9kMGw7hQhCtCaEERIe9uNyu16HwMxqZm
o8RxSV9hlhrIBIx9+aeFWrH3VxyjDlHjYsYq5mFsH/PdjbaLIqXqMaIKAwkZLvKsJoyk2ZtuiKU/
YG7kHDy5dezxb3UBWIje0hqKWHmslrAmD5xsI3A+1HmEpyT/8axgXszYA9lFcHx7NeWiu2m87tHF
4CviVrhX6A9BlOd7FxCPv0gDyIxeAPHFM8NE0GpqJrRthGV0vpFog/HzoYu3o/7r4E2I+VD7sJRh
NXyE2dOX4OgwARSgA0NLHN1gpks1xztVjhUekGGSbntOyjXu1bEmGUHyFOnJmHcJmlpMB0KtDUoC
dGJHI1xmBIg7HK7BIBjdnSnUyC7AAJp4+2UGyTEsgEUnV4XG3FTAOGaLvf/btAR0qK5hi1FVfoBR
VkaItfphLLvbyJCmZTvZxjV+BzPQfYH5xV0GkUEHflrk3a9/ZDPbHvd2yBv6CREM03xkg2rw7b4r
8OZl+IW4alUxGfxbA2UAj0dYqQznXfthu+hQyxRu38+36Ncn+/n8Tq7aNiQI68Hkj+uEZQDA/c8l
/dfFxeQ/POW7PoBS3RwNomG2P9oqqDCPcwUyiWOzTmnlDzCWFlwlzVbPoUTDku/al5/HaTvL6xtA
wSGmdGRgqf02zsEIPV0Fsikmfc3WSRQzhor8WFQ6XzCJtqzY9pZfj86v6wGka8Iph2Jw+LwYN7l9
ABRUPnha6w7rkgMRjkvQIbE/qGOFaUHbXZq7UW/j2igEoVPuGzrUKS2HCfNRfShJPiLpNleANcst
zvaCEZvR8vrrVwE53n7Hgkwz/hqbusaHHjKC+ORFAarHlf51S3KN4RGY8/dzpepnTPYIMZAMXPqf
gIwbXJ3Q4EV5W4YxF92uyertNfj17TFvIK3uZ25rfGMJ0AxHq82KbfbQOLfg/zB+z0cR2Ok+gOI/
QDzWN9E0VRFmHPjSanEQ8MaBHfz6fnTkWJMOP2+CCdl2OceRbo+IcquolnOODUXfUHyxVUkoAt8k
ZwE+Q9/n3rZ9GlQNekefMD/qcX7WMrdcfYzRFkfBVx8t8YwYYw5/q0M0aYZI+LbE2VSHl5FkTLcv
GAexZNG3pV0szZ+miXV2ed5077y7cBcCWXzsevTBmMhZdyNlX9piBAt3/lk9GW0RvTz+epDthOFe
KHH6YXsru3qOmmVPMVfSfw1tgAETCEtU4Nn3S9sG+MZfL/rPBz/SITaMX/9DEQBBSrNheINgqWyX
eJGYsDBej9oYXP7cSmQkXpCxKDAqA0MCoOI8+CLaNtoAfsx2h/Jhq+ym7c4+Zmqd1HD1qxzBZIR+
u5WYQoVH5WfFG3Vx7rsDIEzdMCA4mGmaHyOEY4v5PEBmGJA2Z22d8ZS5JsLCtDHueMQnVlHUWUi0
4a5BV9zeuHBUDJ9PYh7f2sOXN9LcwhMTDNlujhfr1ppx2x9Kj6lWT1Uv/i91Z7YcN45t0S9iBQkC
HF5z1mjJkjzohVGybM7zzK+/C8rsakvlssM3oiO6ux8cZUvJJAmCwDl7r91G2U7ZflxUV4HLCrjY
dKozqcXMAJw7bA7AC5xHCndudq2UPbOyyWJT8Hk0hSV2ag8iNtIvRgO/iyZFv4vCiHF4VwrkU9dD
US38kll7UDq1QyIMEIi5Ai3nVjZV7eaHPtarZuSGaYu4CO/n5M/7Wqicx2jIWITQrlnqkV+ngz/3
7jVL7do2V7KiNFLT0JZaQeGU4cSn+FLpszWoBPMpaKD1T3qV5vN5fpvyJZ1k7Pm7AIGS86hmQ/84
G3nFH7E5xwleFtmUQ7QJJ4mjwTh+BCiJIogQHfS1h+uncl08ybDmcv8wRJlVORQnk4aPz1Gv8vE1
sDQu40S9BaeZ6RthZ2G0kdVUHsymnjnTwVYS0QrSWQbpIbBmSgz74/XMVaF/G3RGU9M4UVU/3MTx
6FomRYDjyVN6Me7iYFoWCtk8G/oqF0vMfRqgOXDNYAknfGCofBNceeM1QXGwnWlq8KyY3nA/htjo
kJsHUfLU9h7EHzSRS3OR1NReDvGUjfW8cd0MdE441wz33XEYTGNnM3ckWHiza2xwkgPTjCr0vZud
nnuwmIweuNF1z0+0ucfEu+n8Bu/BZionsMEHu61d5/F4CxjZgz6HNB9d7uNIaZG3XMw+Y6ou5iWL
XmZTSw8KmRcRT2Skie9yG7fxyEVaZAvZ9bKmr8otrGmbZ9fHq5iaOd4hlFVjEb0bGqsMs0PQhTPD
1nCSRV+jxWJvsJnyoOXj/SUxe+Pg+RHCla3vRBU3Uj8I+nOPVzidAz3YQjqtOBWKuvM6zCJuzRuG
MgwlHfwjLppduZkdFiqQDkZDj+OUGT9FSwfklmnezOI6cG8tCHJ8GEYxr2OsmpVdXcMKKPlGFlpr
b/rY9oE+4TmgsADIO0z0X55ugAOsmjMpEdGrqV0JcKj62avSCCCOMho20pvE6TwAVdXIUD+d+fG+
GVqfU2yO/9JSYeDjmV3QEl8NRrk48QFwbAN0qGzR56PpmSf9tB+vbpGw/MR7CdXJw901GBG2HQs6
tMJWwlrrXz8XlKrjqT2N2LH0LG5XW2U5fwkZQDqPaIH11+B9wiRSRM3EDyRZrx/Jvmv0nY9xC3F3
4bMCfLw/no8RFIEvzryXGS2ZhoHrjFYApz0GILjrPHZRpu/IECt9CxEbC/6S1jvys7XRhkZ3ljSy
4MpawLKs5s+wq1t+MDUwPKPRCqV+d3vDFMgHJ18Gz/rSipmG4k2I74NvRftTH8aRhoNoxwp7Vmir
eobu1vzZLm7EOXWjZcbOjsfSxIHGqz5l5nKSDvLUKs+CvAJPe5rAyl5PqAOyG33nK0oS8fkI1Sf6
bNZGaNTbKgv0P+VJtXBxl9wSBTM0auYREanXWi2fpe2w8Xmem9bgrAewiqHAWdbWvLpCf85461iL
i61/i2nBZMVcgBvhZcULrGC5rmmYg78DxV021e1p41LNUCmQ4CpvSbN1a8RBOVE8LcO52pV9bLNM
YH9f8tE1pUdeSZ6XWHx0GVv6dQgSU78xQZvo5bSSg14+mDRcCkmLIrK88GyAaFlEt9DPRjEhzYtn
vrVXGmHNzVBuNPbb1tAI/D3Phlc0eyujHppctH6Tc7xogUvarPO4Q0kFuDYSoVzbI1tDWCvDoNcE
2FhrYV8GVH4xRmH+0MhSGPGDBvbChuPXT2/vgRUJn8l0rX/PLAQrzdMlyyKLjUtgsJsw1/nIV+r2
lhPp82mduTdZ2XuyLWfEL4xXVp/B0LE6oQCjF6FqmiP+ErK13hAcl1R1NrIuOccpb2UtsOTWRRt4
OnQ6+4k9nhsG2PcXRpDHdNtTMWDZJ2Nf8e1O3xVveeEH24SuT4mIGWcfly/EGJXANMbR0me7IOWZ
qdaNa9oevbW61ueIDi1wXbhH2D3qjWaJEjlROkUT/Anyf4RklcugM5/z45LZmht9AsJuWRsZVqqX
0UxnLqdfGr7eXkRlWjDQWGt2fINEf8mnWkld5RiOX5xJSU9PXTXpLxDrdcoT87/+qCrD08VtP9bf
3JflWAC3l4LC8VYyn+o7OtqGFypceWmPjTqxcfKzlXkpaJVNoj8Ws13FaGRq1gWBOW77BA/g0PTN
bTj7pV4wvvx4GyZ6JvBfSmKpCWVGXArU7ng526rSp+BodiypBY2jd6DjcaN02uGy5LN5ZEzCDFjZ
ZTw+/EKulgg29gJFSkafJ2/W4zOFUcvdqvD38Sk1znDgNt2UTv14mcS0OA12vnRrAtHQbRsKNMTe
cbF/Gprx7Ph8gDxeh9M2dTh+eJAMGCK3hixrkV8aYqx758JrSi/XbeaXffQQutiLdwvIo9pl2aUy
wNHPwkSp6u7/VRXxFyAOW6vPYq5PdywWltRl+a+KkqYebX7Q8KyXhZ/oH4kW0wdetVSD3mv7lc8W
AMyHLwN4B55Repj8W+kzvOMYuuQdeFkqqtVLpZNudsRnSEOFTKPI2VoBYZc+UR7tS1QkA/plZinG
UsFSl2OfSqPH+yaPJcMGJoW+rIDKuayFG5p8Oy+aBzdYG6G5oL2dlslghKMg1i+RevKt1DoTSRtK
uXdl1PELNbtwL95GJaMBpKPo9O7qNGiVTRAJ/sm2Uh00RGBitLQdXOdetKGaM/CZYzfo22/0BTM1
YtCX3b4VwFJy16e5IWLZmkZb0VemR6O7byomRzubHf44DanTiplGoN5JTnJxy+RMOiF1wu3xnE+D
f3hZ7Z+e+9zBZcNj7LM/gVTvdwPqWLYsQ4JxxswG7if8fr0b5a2sHx2gCBWiAJveP27P4wc7MwiK
4bxn882HtC/1cNcAiO7ue4r1ZXR7/LnxZTME9ElvME7TkJkO+pfwueoClwMjgT9SFegd+KnqCCVP
l52HKtOlHKG7CezQxKJ/0rcsfXmHBdFUvyfBpXEW1AgpL63tacw5shEBXwHjVNBfwrpOudjSYPYH
+4gdo/SL89id2NxeRRUkernpGhqY1edlmFgY7lHz68t8+r60vG2LsBmVLa240pE10aUPxdBpVliZ
Os8/q3pIUNGOOI2yCe8Q43tG+qWYx7INzsJWuAMuBsQBs32LfwdGz7WITf2HUzUd3+x0mqchXB3r
K22Z6TnbRC/JiravWP4/l0VsLN2myF1dizyVME7PtzxWZ9AN63rh6Q76JLFM+TpkL6xug5fuyM8r
mK9L5iht2IdRNqZTgNgGmMvb2p6DCFjkkrf3cfscHEuIpxlwZl3ATf35IS3d0fq+fCl4CqiWU0AR
No0gab85aGYKYxgDLs6p6lCiIuUyjsfRopeq3EMMkLptMLWZqJa7/lgNkApgR3Tw2lrEya2Ff9r+
xn7acYwNXeRpaNCl2iSqsAvu5pYB3gayZQR6LbKY4dyweTUzhJaa2ZvaVJP4vAmMShGLtDdREXjP
TTBYTr82CTCocdIcS2F+Zej6KvVuiw+zj6/CY1esZMfE4Qw3Vy63bXAqUoDYAOkSm1pwgJMDlAB5
rHfI1fW4P9WG7NTU+7TuOEpOFQIznLuw2gWGm4GAI6ZFv/wDZ9RPll498l/HssFij/r5ivsMqepo
VPqFtny/aFlgpfNLx79LXQoXXISenIZvMg1nKtYjcUN879PajTUfLTc2tL2lNSwwXwDkHYvK+Fn0
ocK5SRnH5dLqCeb0nYquojaUQbdjFixsS68rTkvLKUZGOK7i45t/gAPOW+fUCirtloQ03KS9h+wI
A76JVGAOEMk06yhGZEuR5DiFn1YMOex8fmGQUQyngwJD2drnIN6qut1Ox+/HvdcTyGlKZWVu8qW9
Wur7lhzfxKfPhGCgZ6NEFfrrymbSP5LWfV76EMnDDLJj1Pd6Xu9NMxVoBbIiwXxYT+jmxxcouz7b
sNED6/QGOJ3tvAhdUxXHpR+svCz1qTlSUEw+FQUTAcUXVp/G4+kpf3mw/gMCxf3XUse1tf8DSHBm
qO+ml79pE2kblN836V9+/Nhzt/5waYHotpiPWJ5myV/KRMP8A9WOSc+d/3lQucmE+avpbll/sEFB
fYhmkM7Hi2Lw1HR3/mAuo0rH/xx8gIrZ8jd67sJB5vjdPEijxZWKz2eD7dA8RT7Cv3/XpIVaOSs3
+ebSznH2xZgZl25SyPmqJyynZdXuN8uflVvO13aRg1DFLpkg1Yr96NoQmPzdSICHxckU3IT5FHxI
aD4/UjavHiChRrx2RW9jTFQ1WNEI1HWxdfyh+7M0KIutjNFw5pUpopDqoFXjfkzV0L+rOgPtSOtH
HWwej7lqRWG+vLEz2fQHYHYmZVSjtj+TVyXnL0UwN9ZH+hlBtG9a9o8YGLWR3CEz6MxfoHkAZ7Sc
+qGwKpTArM8s58E2RArKCDnhTs7pWG+GrEyn7UCLqU7WRVlZNuThavZxhEVGfwYTbqiwIPklySJO
YSXvW4p/ct2Fk3ZPo064NMMwvworzPu7xC1ZDqQD7MMXxdCTgR5Y2+47uMRhWqbvSrSi+xEkY3wz
QFWKwvUcWA1Kno4iOx4hkszmd03fomnEquEwR+Nx9UHuRTHEnpqFzuVMylywlrXb32eWorfrC0Lw
dgvSO/K18KoO7XMZ5NAbLToZD6qd1HVcTDFIvzbCwb5abBH2t65tW89+GAc4wuXI1NwVIUQXl4IO
FYpxW3eVB9OThki5A9Gu8G/l4bPEZTevQKO16dYfJK4e3jUWGNOy7LsVzZvmzkvxiexV6A8zuz5q
bKgz0yBdG8JfojPWEou5n5OkvsSwGJEUN1T472szNbK1moPwWx+0sF/7tGMUED8TNGuHzJiJd5CP
ob2sl/oZoVQb7ZH8i2TV8qaQKxc1FyIrs4U9ilDdf0gymNRDSWEEl11OssRCxI+zwfkcfGqzirQZ
QWbIn67yLmJ/Kqo9T6QcVpi/0rt6KDmxNpVpvR7tDEI5FYHs2leG+VF4aGwv0mzAFzWoFs+xwO/0
4Nj9mK7H2cXaTNEAdxRqrPzZqZ0We6+OtkDCFkyEeXlNmG073tTXJG3FX5fYg//cFnFJkmAe26y9
l/KJNf14EUZQObaBb0T5xs5V127nOis+TUp0T0mYIngoo9z9KuBXttiY/eQp9OGtzWlBjAyoV4iW
dWoDFBJQ5JFIVg6WQ3cAr7ZKKhnbqxQ6/dmQImjXjc8kuRjjGLuxpUB0raO0MN6Jgq7WBv/WOG8S
uxvPYF8MuyxsIkSk2CGIYTKmiY10PNvryu7IKuz6lrtad072iJA5/Qx1E8bxFKeQwuxQNk/ZbOcS
ojEsYtzqrgBElbsBtRcxELaBb8whsETQlYPIzVftAPvdkRoZ4Bxequ6pWdhSbl05JNZuYXu496Eo
AVcVmav23oi+GNacyZKbXDdwG1PXGQ+0kWpjDUo0+JrR2aesaSdhg0neBEBUWHanuQFTfrv0RnQl
s8oogHxkydcpkulDBD+UpADGfbOC452/Z4XoE+pTzc5+SUAWrIfGzP7s+6h+ZMRM5tZMU6880KJK
UMSGQXXusnEXLKlC50H4ST3iPvYmZy1VQWM7twrjgnq/+krljX6vxRbsEig9ajyZZRVuhzYq2J2w
3W+xWrskGpUIKiCQ+UgSIaxmw8YeJpyEmsJz5pQIwY6r5v/Ay/1/LfRDOD91H2whVCLGi1+95fWv
nPwHgtc19QSfYA+iOnCl/UtZZ5ssAHhfe64HYsw0bV6vJ2GdFt25loedjphZ2k387r+VdcL9w7Zc
tHWsERxWAeSF/MZbHvXNq7c8Ph00Ey5NV74Mdl1e9K/f8nY42KLC6L0KiR+oq+peTgbo72IAc7Nv
FLQhT3kujx2VUSJqincVU9HFmNTpJ5IQ/cdJePMXFutkW9S+QHPupbXA+B+/G3rDQWoTk8NTdDxc
SfTRc+INM+sTiWL2TkGjKjrmUbIRtkSTbZJO3XMsRThncibmZoeUpgfrhXJe9J/6pr7pQ9tZExAU
beQksCkM+b1NU3ttT438oNvGJBYkM7DMrsvZBtBJ6Pd2pkNJk1wE8BKsidAdEC7l3RRR0lpHljOI
laREcgejLNqyCU+0azAkGmw06+uwcHOmpqa7MVQ+kI7IflfoDihO44k6Q/hBIB/u7y0iMzNalw0U
lG6kJPss6xojrtEOQwfMl5b12qakS/wokEwgjZWlQcgzlfirEoTAZecEBufK8zl87KU9+1sU386e
SXGgXlxh5t6KRmtLwqoPb+nfjVfgEqBpO17p4ve2AbYJe/byLdlJ4f1i+XV/bU9FvxeB2xgoBbzw
SpLHCaYI4FrpO/nVmFl7jn3bK5S2+NvpHc0mey8T5IMYy/CSobMd04C7iKIaDEvjnxkmEvmVaIND
DR15HHEDJPEmRKAg41nuIlcbEGpXXuAl2FYpQgETanGT3mM64KUdNHe+0VW7eFiWW9eCiWka8Ud0
QdEVovFk38S+D/sldwRdilmaWCfmiEWcB1chf4jMnLcj+JGoDIn88Lt5YxTSrtOjbu63ZrOfzlOv
Yoz+MexIH++vtKP/jggjy2WV/8/52Ndx+LX5fip7+fnThkVB1UWaxmzBjoV27l8bFvYr1Giw9xKO
LQSCM/Pf+xVSs9EfokCUKGqpp2iV8mm/wlaGBCP2FoJ1qlbcer8zk7nqdbEIZQHTJUFKL0pP9GCm
/vfv9iuIDOY4rMstcEgxXMB4LDWJQreHxrpRz0zFSbKma2m6B6OaAYSVbd2Z50hXAmNvWyRSsqQZ
5vQmMPwhO6cno+Qzbvy4vhnp510D515S2vZVAShnrIOPWeV5RGs5U/FFTR10aTrqVz4QKm9Fd7mK
1rS47PPebMrwaRRWFVIJt5Zzj3LuXphOAIwiGNwLOlkmzRArB9qFEbFxF7X1zTTxgcywlbiau2Zo
DyoG6gsukxYRAc8sXUUC82u7tFGar1XI5v/bvFSze+kMs7ViD5NUBy9xyIKp0ByHW8K2jRGvcRZJ
VteogXWCjiKItKg1JQ9SfjZI8BP0dvFYLGPhywPaus7edglg30e8QIQGZAorxbVT9rYFnKlPiK3O
nSglWojilr1yDRU8sz/sP9bpTC2kngOadLNXmLt+oKG2Hh1veD+7IUths55luCGpJbpJe1ptG7s3
cIWUpMFsJlFDJgfqEhBmYZpEpwVla22apBLvq2bOdx2GtIvAMeEGkzX1CSi97eqGT3LdzQYcKRvb
2hdwQum47iiM3PltZQMtTwmVHBtyaolKTgj0Y1NGBDAkBxiIMV5dBG7NGStB6MipL9B2RbOJYdkq
A3mdZhFo89hnV7SRSc8ec+za9eAt71oRjVsqchNp2rzXGnRg7+NKVl9o1fJabOoxtnDLFZ9mIkIP
C88X/dLJXT4sJI4+Fyr1rXVBpEy5jT0TeIItQ6tfW8TxbT0rEnc5LlryLY2yBJgwEpaLUIQGDRgZ
W4XlfTZ0BECwkHD7x7BuJrJdQpzhoCM7ZAoMRUcnQi+h09p/Ym1jr76i+NAu19USpfOu6boqRIjr
cGMNgehAPxdpuTNbWd5TAkguZA1PWKXO5VBOV+gPv/XEehK6CgFlDoCGRll8FuqUlcIIQLrHqt9g
BOq2k9dfZu2IxSjKiqdENfcomZqtF4Ym9VAT7+3kel9GlDYbexIIoWq479YwKG0G93aNmvahIFQn
YgF7SCAGrytoVGR6f0iR1exL2bVQccBZZHOV7QEeXk6k0eO7T3cd53yYEf+h8/sQmGyagES1kJFW
cANoicwaj2Q20zZdzOd2Kj4ts/NUO9lFrIOAJyfcEQDlfV0y+WxkCwDj4MagfHZXNCZFuZH8PHDL
PPtBvg0qbHq8sBMCfIE+ZaP7HJoAkxz27atIjOHGmSCTKfIVvN56t9QTaZ2B0a5LoK+rpRvjp4H7
fTEF/h6v5aXP7hQYjgL7X4YfuzI89/3wkd383ZhA0xjj7NFXXUBtlOSAweivKzcJP+NnuhXCOyP3
0D4kVoJ+BKs+XfVq3VXGuzAKDkmQfSRNJ1lhBaWX75sjIdVm8JBaufOe3uKDqsbPRt69G5d0Dbnn
wkwQpShNoQ3K/IFZvV6DaSq/OYkFd4oFAvQPxWQxudN8TnfzfTIuOIaGgcyFcHKw8LGRyTIs4E0m
QRAt+UTMUqEIrzHJ06gcwkODCcor7Brojg4pogUNqUOSdY8kFQ67RDnPKJfSq3oxEYv5zQ0V/xEM
lG3Qx3b8S0B1XBGX3emMc+jaLKiH0C1537TWx2w0d0mJcsJnj3bb+d0hSfQOs1RnLesarPCfI0c+
FT4GwyrxzU0mp4/dBBMnnxCBhIupdPcIU2GM3jIllI6WQUILG4acoewN61FYCBUpPCK2r2wKwxdh
LZLzHpoimClMhazlLry0vSO54KYyEqaQKo42vbt8Ubb3PrdUfe4MsGVHd/yUZWFOooQ9rbMR4jDY
0HoTd0IcrKA7CGvAnddkNuYzMsgr09zENmvGSW47kZfbNjWSz2wN9zhon/Kxl/fDSBpMTmACDQVI
wwzTpLb8Q06RaBN1Q4WEpnmgwfWcO+VVmsYXRTUnTNf9hxzoXOthpmWyMa6nDnswQy5bd0Z1m8UK
yKaYHjpzIslPQkgfl6tST/Rjtnf7QIBhJiItJd024olaZW6wj2lrpoSSHJyo3XUlqQ3Shgis/A08
b0ZnbdwM/fBcmvn5HNbXtlWftYtpnA2FvGV+y6/dhXNGzAQ2KabVqVT1PBfTgzKLb6Kdz8mgoexR
AYol7YQsaX/fgKzYLYVxSyYtQFa/4VmfjLO8lucVaPynaBi3VZBP67wcqYEJlZB+m1FRXOovZTnf
4MQoESt1X7ABkWccxcWFBLWmc+PLVdeKXWqG75fetzduC5By8J+NaXnX0aO/LRN17ozu1WJ5yQK+
KfDyAvlcnrJXDyhAeF8KU3X1N7Mz0/uuZDCuaswZJmDiweQO+KMtAT8v+BZK1zTKL5M1dZJXimu3
a8qei/VBRvm8C0K3szpQ7YIxtWvLrp6+AP1d2niVdcJqiu1i5dVCccG1e1hZixfr99jooQa+9/oU
5GOXk32GDQk69rrocOI4t8Kjy4AnGllYX34TVu+WOSAvZIbLtqfIQSZuAD7OoisejskGnTJOV2Tj
7SguYlzmy6OkrzG526ApJs/aT2wQM4EpEhlhsg9shFLFvu0gAOKPbYsD5YlBPHDzRDlcz1g2zs05
8m8mUOG3iNfNJwq/0JEq3hWCbtyA7PQOhAbSiAPxpboykg/2ribAOFRkVhcZEa1hOpE7XkjG0G0m
eA6NbWnYo9mdyaQMWwROk6sMeCUJkqWNYcoqzD8FM8XpjVeWD6aVU+lG4kcKl3XWe6n5eSqykU0c
WggPkCFQLFEQM7KZe4l4+BJxh0eUTkDUunxPAy7YxLEiyDVNUQoBPc1ShTvUDsd2T2UHnhPJ31bW
b7LAbuarXJh9TUXQyhRU+iyv4PER+rUUCih1VLnW1mN/mZO3nttq3XoZAoRNuvCiuY6CpmlvCMdq
mGQbVte3cz6T3IR+Md9PHZkR69D32vhzYTWYNLMqfrCAyrh32iodwjqUVfkUw1pLtiyhbhqjT3if
LHq7uAsaxHZRa5BPlyOOHF1eO8uIFAKTBdLqASYsZWemgizsiEdrVNCTT4ZC9WZMaUV/6sp8ys/o
CE9YgGuWZesJTdpWyjhON6AMpuUeuYx0dkNrjMm7xUN54MGuajx3140kQxcxYox9OuZUa2EBJ9PH
Ihft+yCHnA4ax4Et4tRVRukL3qu8jqhulSt4sPG4LyZ8CqhMkg6xdmY4h8DPapp7gZmYPN7S2kQs
mdGFAjX1KCH6eQHXDXLaGLGi2fCk5/mmojIJ4dgAdhS2oDzaDlzxSpVWRPGdvjN0e7qC2RmCUCE/
RGNHemFBxAz5g/nS+tvJjcqSizZ4YJJtounGEqt6PS8drDTDaT5ZHvh7MYETar00O887Iqx7NYOT
naoFFIxdfe6zpGetZpdZ48fbqVViP6YJYWmBQWhINeU98TpTd0bRm+pm2xmXk++WZ8SZyct06MfD
IqfxzKCV/J7cnInaudGj7Af63XG5z51lccne88QB5Up0bnpMW5ylsfWj1tu4cCsJ4iYD5ODUAe+x
JUwvPFiPazfI2p0dOwREIk9YtyZNAK+s5BVw1Qzit9tD9DGSD8nkmpcGZr5vxVyzSnRZ43/NAtP5
BkWBzhCuMePJ63s6p4Kn/HoiHnNr5UJRK06XDSBvdg1W6fWse2JBZSFPdqndYkQg2/AldnU6oDBn
A1J3mNIjtJF2+VR5oHfaPkNtU9beDayk9Ik9K7WIxqCJUKbJYZrKSK5xa4cAN0gzVNH8ZJTkQzVp
Ph9U4ycUx0ENrI1+SrZxyMRohKlzFnrS3M314BEHWXzitZOt5TxVn+RMSqSfkjaUV0H0oTLzaeNl
3YXft8hQMvzaAN7ZnoCbh3TWM98AGLWHj+gygS7MMehstlBrDzH/Yaq7r61XhztSDMvbcaxvIFDk
l3AHXPZktoukknd5Sul5beUuKZAEJIkN+ir5QP/mgSZ1dJaY0oC26OwkAXybkmLxNqyAZlpoLVdJ
Hcdf4E+xkXXz8iovrHRl9VayIUM8u6tD6K5iBM4xyqH6yJmwRJ39HtJ/PszsJIm5JH56uR7hY+gg
EAqDOCz2NnWxDWfSpbv/VNP4p/Wa/8JKjEuN5J8LMXj+CcZ+7dfmF46VGFhraLqUSxmGcELayH9V
YmznD2nbxBo7SMkdC/nMX0Vly/uDXZ2242l+DTtDfulfhRgBnw3Fi68YwXgQfotp89r8h9XQs3Au
ecR3WdS2Eba/qcIosuMiw5Os2AyxG2mpbsnn6H7LUcrH+sy8juA49CpwYLypWlP6LEU3Krli8qw/
dX42HXQKEHGmPb0ltxvzzXeX/+boXvxnC/rLAW3tz6AbThEMLtvr05oWt84BJajVVLf0giaiJDso
G+cpjIpfHOpvV5AYBJ/2O5o9LiCe2deHmucuyQompFXPHPjYEoawDo0quv/5Cb2ROb2ckbSkxBDN
JUSYwPD6vlxmOdjuSFOEjpb61Q0mSJRHYjSaOwExeo1IvfwKpXaIVrKnqDFZbr/LrLb41NqOu5M4
th5//oXelu84Ycauyf+5wJIErtffhxyGsfR7vk8ilUAH7QZUrduu/TPsRfILY/QPj0UjHYeqNtuo
N8cKCxYARTLyNqTc+a6qx/6+Qty7waJinHAT1HZ/DC94w3g6Xmgqp9RGPfgK6q0TmY79PJdsj1dR
C2Xeavzg3lGht21AcVwpdss36cJWMDK7aT02FsnftWl1hEFq4b2ROMgmh4CEOpEMF9BT5p2sgu7i
5xf/B2PO0c0oJHespdl+vr74MzcaGDaB0iwAim1gI7tgUd5vfv8oDlcBVZ0D61hXkL8fcmaBjDfy
qBYCnadx6y6SOE2Hvc7PD/PG9q4nB0YQsxnZGY5Q3pvJgVgFYLwpCZWOQHsKtycEOmyJL+WckKye
UyBk4yR9YmqFuPv5oX/0VHkmqY8oqfTYst4UoVlUj6yuCZrBn0uQRdI57sFHQebuUABb71QSWguK
BqHWvYMsmCxderaF40I86Z2x/IpioPz9q86oQzzpcu1dpv/XVz30CvIk0pS5MlfBLVkz06ZqvfwX
84lWRf7b9P0yynUjUAfnKVMwsbw+ihHZYyEJmCHkw8gPY75A4TPjBnRQ7qhlJ3mev/z8WutPfHtE
T9C1tDg53WF4fUQqj5C141CtQoKh1lzHkEgApTa/fxRfgjjhlQpSwH8zTRIXZLlLCLXBTxHUVQsZ
9XOJOOj/cRTaxIIng+HrvXkylnwQ1pTXsBPbarixkF1uPXQs735+lB9MewAo6Fsw0zqwMN485S/V
3SrnzcLCQu6taFTrAL7vZiQL5PdPCKCrK3gSTN330cPlu2aMi6TKMQCWrXJ3DjbwsoINAU/lL550
fVneDAHfBLagGHC6h/7mhMypwdltdhylRRWbm2xUYyvd2iCYy0bcgWgCuG17N0Pk/2LC/MGl9GmB
gQDUFEHxdirzVJPVRhWrlaSvvapUm+/6BXeTaIpfMVj1y+jtSQqFps+jV++CiHlzKfPUpdJHqAZx
Kbusd4aNbxfwOsKePGdxXrf9/IvL+oMnC/iNpwmHOFLttxOowuBPNavDCoVth0w9ColEO58Iy//4
YvzRJZRMz8q2mK7/RvURTl4vYnTlSrEdOtBiiXZ9lzfXY9/bv3iIfzROFIoJKXGUeqb95iEOZT4S
a2FIsAIImvzQE8AZ+pHAY2FdJmQproWRZvfNEg47s5K/AsP+6EwV7z1N0mWgvuWflGj+CgeWHvkB
5GG5hsyukOZ0V5kVVr9Y2fxosCjlezgIpMNi/s1zV4wmFQ01cOua8d0UFO/nmF0mdPFvTpBcemF/
6pX/4138+1gB+ezzdrG1TpSa7+vRCdEABDjeD6iIuY3zNqAUGNdq+/OZ60dH8Wgk6/WJp+Gsr48y
QRTpA/ApK1L9csqundgBxHQvf36Uv98n2tCOUsJhHjZN781RFDKqhQR6uWrK2rlLzMj/0pdj95wF
y7L/xaH0Z71+qjXD1mbdDRhHQEJ6fUYijRpOlR0Ma0MXyzecOuo5MSr/TWwN6p0/osND5DoOCOnU
YLdkiRHZt7FqaplAr4b4cQFWgLncx+AGKXOQBKf6U/ctNsmX202oMNp1YvU5ujLiXT+nYwS70gQF
OOxKv4mvQGnZ6UZ0w2gDyTHqZx9JjE1t16TD4fLITkQ9CHUfzB0JZSlW15K6nMyzXUeJ8ylwrO6b
zUvxnVJF8rH0RkeiVOFb832FQ0q6Vcj7qFAs6bvML1paKoH4TKQmgSEC1OGl7xohp+jUIbkTXpRu
GNbkj45+aywrLPwqXPe2msiyz3Lpnf/8BvxgRFkWEmpXg5FZJeqx8N0LKpsSlyo2cpeBwtpV3leP
3mwFZz8/yA8GlGUBmOWJZK+KMuH1QdIKB5cLvIbqfjpfJDahIR4Rqng9s/ZXA+rv4wmWFrUAlOT6
UXwznqjroDNQCF0XvAj71EnR8QZEXtKfALP6ixfED5a5rsWrj6U8Dz27xzdLbKRTUTlmbKAKt3K/
jBDVye7IKv+G8uUI+7BG/rp2fWImLTwPZLd6Yn62I+wm4ZQmt7Xyu19c6peV9ZsHiisp4PLyirRh
i72+1n1lyw6DIeXDTmTnHUYXFJ52rA5G4hcu8tXMu6oVo21lg5rx1iORm9fYRXybWNulE8TZKYyI
k12wDyNfKritJ8+cf3t+5n4jCPQk0dCKUs3rb1l6omyLiRVLUOfiqa1J70grQ31j0y+gzVn/x955
9EaupF36v8yeF/RmMwsynbxKKtkNIZWht0Ebv34eVnVPV2blp4R6N8AAjUYv7u0QmcEw73vOc+xr
El76H5+fhhz+uY3A10d0cPBrOTTo1bgC4l5XlnGJCc5cFWqi7Yg6Vq4/Hurv/QflIgUFlboUgsdf
tKY/PqtMS1PuVzDXrZiLrOoCHfac6QvpaT+QElw7YyVPvNFj35iLehFaHxcQmOD7bxRsrFWk0VIu
IWtvhytSX+LfikD2E0zaj5/u2FiUmxahEfs4Loz9sUrUMRzCBMd0re7PNEwKgTUa9aXS0Pj+L4Zi
KnsLG83kW9sfymW3k0PFkUV22rhzCpXZkXNz68xTp72jD8VcNMF1cXc2D3a9UcJqoITNUXZWjU3F
vtoBJ3JTEDkeWb4fP9axZRdbCwUuvHXL0rj/WDGgOJxNLEgjSsEryA1YGrgkv396FAjL3KcIluB8
fnjR0fCzD5pgeYrxmd1kbVbtUP7TvvovhuE5PDr/C+7tYMlBQZHSv2I60O5xz8oYM79NYsnu86Nw
KuFQ4nHRVRdS+Z87FQsZFTD8OTjSxPBl8vR5FSG1PfHhLgvPwfKJ2RKW2lJUpnZ78CwElULEyBUL
rDRCrsEsfoZaf4sX9hLkgX3ixR2ZcqxCxrLzkluHYHD/kYj3mcMJRIbPBmM8a5Xjbjw1HrdIpz5f
2aKUyuVd5aax5GwfbMGTqbhQdaB7O2rkXgoaXuSIimHz8W905O2hyja5oHGWW76k/QeycOZVqeQu
AyTN2blK259NxWTeA2HBH2uM+oli6a+V5uDnooIG1YaZx/OpB/vIhEMU8gFXChWvT7IEGutPlkbu
mUJB+ousNfmdLpp2r834Jf0h6ofdyN+3/fxjkwdDKQEWscttf/+x4VoTKMERz2/IqN01KaIXJ1X0
x66LkUOF3akgi2OvmZUDEi2fA5LMg3lT8I2EueSpo1YFl+/q9saDGfLQyVD6LNjKl4+f78g8pSOi
kn4CkJXm/cEi3A4TxfBfdWJF9BuXdizio8heU2p7/i9Gonq2pNZgKVpshX9+5ElKSKdDXqnfIXkI
RkvD2k+s3AXqqfHTpQtUuAtKl+351zq8PxRxjQphrnzTjWreCqN0HlEqSFxx06kuzfLzH0xSNi4s
jvSWOGYfLvZWjOJBDxkJyWV2y65wjwKPrHsTJpQfO3axGtTW3kGXcE4sMEe2GUpc1LjQ6DJBDw/e
bTchRHBYM4d4ckG3OaGv57E8MT2OTEfYwAvblBgJWjUHXz0lDQ+8JmuL60y57yry2YGW70da/EOE
4+cXaOoXLJYUEFyO+gcX7caQXMx01kw7SgnO7AgIt+IMe2CqImeimnJimhx7hXRalk4iLS/aefvT
hIhyZbnSWbC+m+kuj5x8OxJMsft43h8bxWHzQv4Nawm1yf4oHLYwMJXM+1zGD1gN+jVksFN3g6OD
oKhGn77I0NWDE05BPpNoQu6hVR7PVzYKwetW1bT1x49ybLGg6k91lachG+tgpyGvudGUxrUQxTru
1kxs83xqzHRVaSQ5fjzU0QdiEYTwCuGWPWf/rcVmZ3M240Av6zDlqjx5l2mvWCfKxcsffPj5coqn
tkM3jhrrwWqLGoc0zZ4ZMCVVsotaK4JU4FSbwZDyDC2ctXJQbLcqIroZU/6JveXY6+T0xvGAfYv1
4+AZo0Sbo14d+ISLTH3MaxG9Jb2n35SeEX76CuFy7AHWuyz1GK4Ofjk17SPi3C2Oi/BrAmBSwz0R
DTnZmkN04qn+XhIZatGIU4Vb1t+DHWVsdLCJUCz8QhmIMxkNqwz6prHeEmVyOn9YiuUELy4tw83H
c+bIyNxbOBCzgDBJtYPvGZEcACBXGL7rEoRFgmJ6j5DOfeAO6sZ+XBnJmtNespIz8Xon5uvfvyUX
Qg5gtGnootMj2p+vXpmniNMotnSJngTLxWzXZWl0NhM+cGKovz8NOPEcRlDRYSvhv/aHCkO3tSqT
khY5F84t6KfuLOyGz+8vXC5oOdEp1fjmD5ctiqw1KS08kDkT8WzNlhLwt5wSHRx5FsL0aJVyKOBb
/1WF+eMyDedmZmHmOK6jtNrZTYGgczG2fTwxjvw4TH1WEdqmXNsPmyiWXYH+rV0Eh4UEH9JB78HJ
Sgy7MOXZx0MtG+L+iuIZJAZQVTeBrPxVNpqRwxcjdfKFCJh8jfrevZvjrn9DHamC9Gni9RDr2qc3
MgalKclmRqOGxflgRkSOhx95osgZhdHrNCM9hwgevX/8aEd+K44ZSFIWdxT074PlSgPWmRCBzIzg
Gr0RcjZXNIXm1X8zCksy1yfufIej1DCHFALLDL8t03DNz4aEocjliVGOzQjqllzNls4qvZn9NyZ4
PXHW6ThmxkGuKVtKRKuuDKj8jCeW3iNlO1bDJeCBIw0nbO9g7R3pms0zhTLAqxWpLUmF01FxcAQR
IOJpS2qahbTdtNdCUwj1HfXiO1dVD5T0ZLZb0k/JHmyt8S4Vpb4ardn8dJ14Wa09m/2PIr235Fr+
eTBv7Wo2J87LvjH2xc5Elc1fkpxatf4+STIK3wMFH9qlvMz9UaI2DBMv4xuMnMh+AulenmdCgpLL
yeAK2CCTEz/xkelq0szWl4YKt/DDkuDsdl5UN/zEdWSrOEENuYmtdD7RUDk2CoehpaDArY0Yyf3H
0rH2E7xpAxJwCuOBP+O5D/tTX96RYvSyEFseJVVEF3SJ9keZmDKz1S1djEWGWqTEmduER92Ltiux
YpD89VRkxDG3RYnZQY3y78iwe3yqQyquIDkWJ1a5I58PlYZFKUbtiRLvwZSZW9cCsePwY3K5vDML
J9lWULPuzU7qJzb1I0Ox+VC7W5YDolsOvlQzBzDXAvTxiaKPbwo0nJf2jD53lGF74kM4NhRlKKQo
qAS5Uh0MZVRO+bsF11Rug4O7FEA6QvgoQ05+1MfL3JHPwVrO6RQDOZRR5tj/RftRmUOEMFQ3tLDd
NXJKr2PS7FbJYCsbMZ9M7jwyT+mZUmhlzVuuhQe/mGdyA3G1wqQqH5JDVSXJzl5wSB8/1eEb5J3B
q6ZdSioWxyDj4KnGzmo6p2WUGQHxrulie4UrO/magqj+5OdtqCCFOOlR7uen0g+nIOBP5PJZTsOb
rl2gZGqKgByIxccPpB2+t2UYSsHEJ9JbsNHg7P9OZSckhHWGcYlttwoLo0/qG0m+khMB16iDJcaN
iUAx6P5on83wQRKyIqN2VejVp9/uAkUix54OEN/VYQVFz+dBqg7NW6vMK3wgps4237nbyjM+F3DB
N03Li/dLFQVVhs3yuf/YRDF0GbF7i6KqTs+BMYsLoeO0+/jt/v1yf0WY0Gj91WFfnNN/7jxGnjdF
wqdPaII9vWrWLJ4as3z+9CBMSdtEasoZk5m5P8jc9LgeBP6jwkMsHgMUAzqSfPbYQqlOY10mh8Wj
Sspg+6MAA+7KaeSFZYbbrG3OtRfEYWSnJr15uG4s4yBCMLhZsfjS390fRxcDaFMjM3xynaxvFYrG
V4BF+au0K4foB92pf3ZEdDxkwFrejFFr3owEy5aPaK9PfMIxAPzg1oIr1VTOfMuCZzU7dcyd83yY
VOcrBoE6A4lbO+0WVJpyFsmqjnZOUne3vTY4Ez4M+kFnnIHLy7JMC9rz02B8m/NMkVgJZmVXDhUG
YkXORh+UfCqC4piqA4rD+N2vWqT8l7E1NrXf2HH3YrQh5zzgkX20I0SkBvckdXdHtofyJrBsZ/4w
FKkZTLqdWBt85MSh+7k7z9GOXEbVDioOpdHN5PXZdT478+NgalUfdFZl3ZC8Y4pNnoHM3sC9ljWB
n7Nsz0DeNKE/VUXxhH0wvscBX8+BZ8vkqmgb46vqdtpbPeqm8HEjwfYRuVZgOeLoEq5dnPBXHAiy
19HFlLaJ4snUNq03ad5Vk4ase6Bo4YimsCswfnKyi7YhSXb1xnAnYk0zUwc5ouCrKVYdPC13VadW
PGx15FbRQ9yMEwYauy5wAWHSvygmGvkr4tKKirW7r1K/VpS2Dmy7Gd9qtdYejXlshiCLQw+uVVl6
X02LZISzWFTyWwwsngO0N/V6wPLWfrFIfrw1B/yoRNVPxTPHFmiyY0rEQTC3GJYWK4fTBFbSYmuO
3Ly50hXDBAJSEpo5WXb2qPK/mefdYO+EQjgCWnG36TeySyGcQKtl+U9RNeerriB9CcAoMmy/rMYR
S7FaN4qfNLr9Hqal/jiESVvtor7knxicasJm6VjNd9h+cXiFsgqbbmEoxtdIzVRgKEUaPjnNPIQ7
h3jDOzhO7m0dZsZZOvfeWRKbLfa6gRggZHP4OwzjdVZC+5ESvsDDZTtZ4SsQnNoglEa6MLmasQmM
FOY6Xh2tmLaCysZ3FfAzEJdiyRslHGaxRRat8s7elj0v0Mg6SPsm7wMXyccUeF483rXWIOtVU3Pi
9AW44eKc6lkEJExbymPcfjNQ9tHgPA6iSjVf8u9/G4aJ/E4ZutNl6bktHiwcXTucXXnoM/Uwiodp
qwE6dJvpezflzvvYoezB1quG7YYszPhpothQkoRqV7c2Qht3latVa/izNrmYqPKyJot9Tus+XtOu
kJetmxTTDToK+y3Gw56vRtDfzabL7K5bV52NwsFsSte+TGFYjzeWAHjwlVB0CefBJTgRUXPeRUFp
poWxym1vbLGPZU75BZ2EeAE046pbrBOJjh7HGsKXFC9TcZUQLzAEg9Jmz63purUfTSQuBmWTzE+5
mJsK/FRWpe5rIxW50bxkqi5LuyAivEZ5WNKtE8NLG0vsb40z56wPXYmDELt5TDAQ2Mln8kiHu0iz
4KN7vIszMlLdBFGfcJPz2up1ueq0yLH9os5NGOgmx2f0OvnE4Quzx7gCRwZZTi9hyfoqjOTh0oLD
okHS7svLqmmL1h9wfT0OmOVfC0ie96z/4rXuAA2sXKOxCDkY6kW+VNcv9QAaa2NA6vHWRqyTOmxA
6yYawBu7GwKPLDD9QOrw+xbcK3wLYwd5Jll0O8x20vlzp0s4ebSoc+re7twBCmytn7lXbSIAzG9a
Yka3WdhYGAMLtQK9P+W8EyDMJSG/XA+weocxQbaNdLGvF97UhOsuSowb3LDY+Ltcgq33Zr3UfYmV
GKscYt9oVzgin2FodHWvn1EXzaM0kF45AjQIhy+494kcgKzvmo+NCdvPT61OI0LC1F5bMHWAjDVr
Mt5su+RocTYQrDBuoXKEVzPf7xiM5PG8KIAPSCnRE90JUHxm1lrMVnZLPY252RjgrDeZhXPQHzQX
UkXj5eJLQtiQQGSR9S6gA243xPKQRrsetXS+bj05yBWED9jylaY20xpEqHkNKb/+mkhHzXyEcA52
5bgffiDhkk2gJsZ4n80Tao2nvsyb+KzpWvNh8UPWrX3eq0bxc47aesabasnzLBtG6UN5x66xNJr0
NZ+G6IOe+3wJ4YigE98LVThBg6Fl5wZJSlPQlFAKrE5RiRxRG/V1lKwCq1SZ3XclRrnP8035j9oM
9Q66P5SnjaDYDYWqMFH2JtC/3xSvih/IJCIcdTRcgKgRHxS18DxP4MzKOmUCF3lir5EeO3cyoWvu
9NB4V0jyw3NDgb4WNPgdaRmC1ybY1Lbr92QEW7J10eJA1zAb7h6y6JMzErnHeGM0haA4a8bDkisr
MRhP8IhwyU1htm3GLPnSacko12xhbe937mzt8KV6966aFRE/JBlkvkr/yVppEUvG2mTJ+1JPiVaB
nOlrYjoqQ+Hb9xyJPV7VlIslDBKmnGx6EAxp7H2R4TCZgH+b5rrPp/a672CFB2Ysw7WKDt4LmkrY
t0x0OQG5ZYP/phlxDAaSKj7m6gmV35WYsiq8Id9+nCQYvtD5SaSQomz6qXbVGw1ZbLoWWEzMV9J5
unzLtHa6G7U3E9YOjVl6pYOE11HB2zGIEzzWcZDYdj9vyBwy7WehZ9O8JuOub7Z6ixEdObu0UtKR
9Vm78wgD0bdKFsb6GVeeqj8jzCWvNxrYXGsTAkAfiSnKx7e27sb+ZiYh8K6WYRjOhJPFprvDNzxo
69AJmarciK3ypU8G4+fHB+K/LmnackVDK0ATn+vaYdsLPLNgOZ/xMQDYXsd6YQWZGWU3jj1Gtx8P
tdyO/qyGclpdmivLpQXhP52H/dOqYmjoRgwJmxKVKfuSbROuZjDXzc6bNi3ws/MkEvqZqGe5FqIv
1x+Pf/RRES1Q4FuEkIcagjFT4ywuBNcYUuU2TWcZD6RpLebVtjnR9vjrLsOj0o3nSk/MNzmyB9cM
UJGVPrvIkmEtAe3STFKU6m76ZImCF+pSbVIx/9BeQex28EJtFWjyyM6liypbpw6nr743ofF3anPi
6nvkt0PPudQLkDHRbTiohkhcz7KTyHfzzFQpZxMb7VtJMvtubBvXLGTJJpV1fNWnTn0+WqH77ePf
7tgL/dXMQfKgUwA6GL9JFQfyGZdDzw2b7TyH9ZqonVM6z2MzBNsLVQusQ0iQDu73dV9IblKj6Stt
Va8hAxKM5XCwmEdgNZ99IIrzNDPoQCCl+uuK2HZmTwKWi7Qj8dK1pCtwZQvL/fHfjLJgyBbxJbqg
/RkCqYwTDBUnX0/QVevEaa/GKe1OTI6/6yLaYglBDM9/sMAuXt8/r+5J4qI+IM8B/l8+3nD/dghC
KchhlWFN0omo3esJ+gonDcAudqHBqJgBRhCNlI5nrhgGCs1RQnvVK080Q5ZPYH/NoZNvU3ziiL3I
QQ8+kWJuwDpxgPZNaatv0WApG5UNeNOHHNFdPGqdb/fxKSHI37OVUZEHLVIhKrWHeb+QUfuKLXVZ
6bQyEBDX2Dpj48R6dnQUPHe05Oj124eNLLJXxo6VE04lEQkbUYxPKki1E1WZv0sMeFMpzOChxnXE
4xz8tAIeb2SzP6DfJ1ym0/rnshIwcUXmfKkKbfr9UJ9iEf6PhEFcGv8XMPi//19zwJusJv+zAz6A
AN9WVfknjXD5N/4FIwR27tIzQviLtdH+tXf+Tix3/6FJY9PL1CkBLh544z8WeOMfPB1IXMmmXapQ
y3L2bwv8P5TxgK1TzURygkfe/AyLcJkDf35kS1AUywuaiQWoij1tf45U5HYB8MhRN/Xlzg6FvGiM
cVinVH02f7yT29//n3/a0g9n4++RGIi3gQzQPPickQaDJiuhjpWuHgdxY6WFD3M72xSO+k7XRz8l
eT1UESwDLu5BgI2LVu0wLlz24Rhj81wYKsm27SaMymk3zT9ndwQ9JJIWIumgm6QRtp7y+PHDHnut
9MEXAQPdMqTs+681HLWEWJSEe0Oi5itRmy2xe5roypVaZVF+4tUeG23RebOJLhIU7+DIQihDV4LI
WdWaW+pPCkgjOKejW7v+WPfNcOIseOy9ui7TEtw/R6RDiRJil3is8mrVOmmxpQamrLrMeTaz1DoL
qV0Gbp0at5nOf338Tg/3A37PhSGBQ4WkcJr/B+eIwbYwBLvVarC1KJANpa2ss4PUNr6FLelfMxyU
E5vjkScFOqAyjTii6Rwq9n9FUPSiddtipRmlC0KIqvEua8L6KnOkWJFwql1qqpQrPRr7q4+f9Xfj
eu/DNA1uT5iVaVwszv+DGUTnpzKnTN8QYwcJn4sutF9+/jH3e5aT75Dkwqu4UkJv54SEAm00ejRn
cdirX5VJ5XoyOgIuZQNR8W5W9Fxdwfo0fmidHB4s6OdqUIOtk0E3Z6pOhamvLokfiqDpaX35PrZo
B3yv0s1bxbPbaTvpQisezDwzKp8oThH7QkxRtbbcBlUQdbnBgTJVzjdUeoa7GEo6Z3M3Lb/0TAui
A9vcCtd5VNfnil4lBgiXHOQgadgGRChTWvN6akVI5iX5RHqgUP6AV9loVXVB1wmI1GZqMf4TzmRZ
MYeNwgOLGGCST4ftXJs27QAD9ADoJtxLftqXoEedYSy+d3k7PaetksAn1pLsziLm0v4yeLW1Gc22
KVd1DINoFY9SD/IGwN7KMJoyIX7Y0YWPKXdod7Wed3zJbpk/ukqTpRsld+TrgIMpDhyTZZ2qa228
VIPA9AouEccA+WHZa2TbLDQt3kfyVJtSexhrzSy3nuDWRkaiXeablLKssRb6gH+MdlN3bc2Tbga5
cM0zVdrdD0pm3bzuXC/9blREm/oNVDO5Zs+3z4mIpICaVuZgPhpxVKY+NPysPCsgiMa+RO0/v9Af
BIU6zoOlPXuYmnQNo5xwimsri8Tst6OizRWVSFHGj2QBV7S82C9AmVI/iuovEj2bcjE3aW7hfutF
SjknA1XaPCtZNALAiq04vh4qXQkhDZZQQMZrLENmcwMMOm7JvyMNcBN3NIdWhDhJNdCqyR5ZC8te
9Vaz2rnZncplJD7HET2bV3E8AHgWhutVhZ9YmYJOHSwzrEkYcZbyHBe8j9JXwbSgwIgLkNLJCjec
Nb/oEVCtS9dp9fxybAwxbqljD813jPdQTYN4op0u/dbuBio+bsvvcq2ZYRJ9U3ul0u5NdwqNjZsn
Ca4VituOtbKKeBqfJWVy2689tW1WutWa4QvfV9v6Wa/q0QrsLMYTcnScnz3kSKIzuyzzglmTI5+j
5/ZRoJK6xXnaHoevS9CY9NXIEFi7kqgjK8Q25+d48KjPwR0D+lsX4Rg48E5dPwlLct4JoH6ujaS5
6yGJ1oEGRlejskOdEgV/Fl7lTmu/EPccbgEZWMBq+2qu/RmII9BSQlGv1Vr0qp9XC8HLlAtbCpKi
HV9G7sRdHrmbdh/bmnwoQG19U7RJe8NLk78YrCLfGp2OA6SNcKSwnKo5VMtYfW+F630nw7V+G/XQ
InMjb/tuQ/MA8VqOXwI4ZmErX+yGYFbggJbxjQQ9Cp06ttj7kjZe42NY5X1KkHSPIeQmmFK6KHMS
4bPsp6HHVh3keKjeHMqcURBZSkWzbyAQ97VJDMC+gWOB1C3PBrNMX7R+BFumoiP/Pk+AculHpTJe
U0BKVgtRM4LqXlgv0msq/Ix9Fnt+YaUwW+Sk1kCwLG0ObOKaYaCKOCxXY1IXj1kEDt4ftVxBN9Do
deTHJT0eP4pkR7ncDKVKDwK8ie/qGT+cV+iaWM+QA8+pxnf8OBTQv1Kiky6R7LHs6SAN1nPtZtrC
+UQ7s2pDImJ80XjOXZeQFYGFtgmZ76ZZvAoEHx7hC1pSbBYaYE9OSax0a2K7CLQqRFlUF2E6N8WV
68mQ6qISw3UjQ3G+CkXxK5DGie5E1mfSL3isM9ep6/gmAWs/rgtBQGm24t/LCZHUy3m+rdu+Tc4M
ra/bc3BtOhkj5uSM5yb3BHsrdPKryYxxq3BVEcgLKVjBW+LrZKtfGV0Whl+90aPqT/kmL1jdS2O4
LxLzV7iv3YLVVeaceTcKSpvkg7ZzoMBVyddJbJndGoyhS9GS3m4c/fDqIfIeotqJostYJddmI2Pp
wex0Kqu/ADhE90+vpzz+rpliaC9bUtILpDOuOZ9pDa2b1bQ00m6zuqtNotA0h7Rzr6pd9uneK3Zc
XkX9zaM7eqmwrinrkPMgHRBPUdXygpCuwrziuaR8Js55Uv0OKd7MdkKvubsDatfrN4NjRWLtgl0k
StV22uHCBk87w8WBhrlpFC/pRRCNRhO926VOIZCFwITFJCg3j2fDOAAr7AdR0JxKxuS+clVp7GqW
PgrdUCajPhE/gRfGdyMhJhcIMZLR7ytF+S6aXuwoqk8DNbgKCD2BXCZBiaQk8+WZiSDaq42cOdCp
dFpU4S1lpOwStReVaxXc/LSCarEADjUG5LpOYtuFJPWtaEY43wa3qZtgijyx1ZJOsejzWt0LYQHm
I0TOMA5oYLjfxFxWrD+JaN7HmK18nUEBRkoY4WTbRTRczc04leGjnc8hyQNVRHgkvrlwekYhPmHX
s5Xswkh7d/m9R5mf1WpcixsSquU5uz95QH5o00sjYLztL72eCJkrukeadm9MsfuIE9aLSSJ3XOqM
seOKoJTjoK9NmdodojrITPcDAkvwwrQAnVWUTDQ8mkxzivPBMYfiqio1bHB9Y3XFU9JG0gYB6fS4
xinzJr5Wo8oNxskDjYya6bmRnfdmdbZyHY1ayS9Jd40UKTN/DpvMhsGnJnUVyNYo7XWMPtWA940P
35/sqaOLmxVuC01EAe4B5SNHnKh0ceFnyEPqnckqn/sRnw8hKvm8vFbFnYZA2MB5g6gaYClbznyF
413yww4cfujHxcqrXtv6Fa1sqkHYhH+Z37OqJJzClt9NWYjLimKpftWUhK9REo4dZWNb3VQEShG5
7dOo9B3apAQ81jsRq165xeoSEuoNglDZIoOTHv1AiPPnAB+n7HxSkPcGHDCacAOGW0QbpSNAjr7z
3FgXTSsALCZWDEK7JTkwvlCTiWXGN+2wNtZFD8IKFidHiQArDx9GVwFEXQBepEzBCEjMZ0pgUQjt
tEu9wICfkHMycEqxHkUexhzURHROKIhjBJ0X1+8UxmCHRo4+cyD15iuiPd123YZsRZx0iszbaOM8
x6uiy1iG0ylJtBZxkTErVFfD3v4+2okGHjerTPJ1HIdUm5/E4A7tVrcnvkk1iZP0qfAMMsBB6Zix
+81LQD+tc6bYI7K+6l3xrJTH0elR+7rqVFlgcJN/qyJUCecQONGmp3Gs/6QznFwTnDG9iKYs7iRt
JWO8IxqprVY6bRlvCUvi/tQhuNoAf5+3Ehe7snNSEV8Dc05fyWUrn9CrtOBiTKO3V/QR2LXdIUpe
qcjpURCacPKJRCH1fMJV8tOWVf7FQ5aQbbyqbV8afUZ1AQKcPCPb7MziUurpfBO3AwdA1t+I1vKc
RRnm7onPXRAZ5ENxbuZ10s9Ztx1aFAO0zhp60MSB628ySeVTjhmnDJTZSb67TTqYa61sdH5D1SLt
o2mEw4iN+9bHXnPvmQ1eIH56dddpVVqtOygVt0lRqjYbfqtieK0oBiReNALpDDXlHdxPczbUJU24
aVy6gsRaqlg35oxsIsQkt+ZIFLkZQMgaGmXLXh6fGYIM75WucUXhyNUgC9CStniQBMs2hBQQZIsX
rtcLn3Q0+EueqRe3oTp5UFtDYTzTohuf6rkpn8w8zK45kWnlhoNodEVqb/syO72XwhLVskvL6PKv
BArLwtdMZLxBOrV5yp6EDt9PRiV6Zbky6rVnDPHziEan88lBd84TJdG5N+mh/aSlvfgiRim/dlHG
Juk4akf2WUTrC8XdrF9YRWnFm7rVILsSyG18RQUUE8Vict26IEPRdFawTjM3EInXIzDGKWtuQzby
L3kdJlVgogy5LBYLbdAberekLOZtgl5qNr7SseIagAWgvlbJ+C4hl9pc4koj7y7xWNGaFWE6/UtX
9f+Lg/8LxfUfl/u/ghW3fVL+eEMMI8Rb/2eJ8Ne/97tGqGjGP1QGDeg0qkXJj5bQv8OXFM0mYcnR
bfpRaFcc1qP/VAn1f5CDLJGMiNW03wzNf1cJ1X88VOB45NH/udSfPpG8tF94QRi8WJIpQdB5o1yJ
8Xq/DILwYB60ML2JVJIOSQrpYNq3eqmihjLosE5K+8ANQDvlHDswDv8el9o4ZSYaOoticn9ccLJV
M5DOFEdrpGBXg8WNvOhoa49414sfJjnfIoRVjIzu+Y9f6Eit8tjQAJBoWFFmwipx6KalGU+0fNPe
DInRks9SN5REvVJuAO5SRiThII6uXJlUG4nxi4Y5V/0x4J/VoxOlvV8moP/UgX69BHPhpCwWOgrC
hzihURMRV0RO7kiruEFhgKOemJvETI4SNYfvCqm1iHhK7X2sWuEgryYgLtAQ3AHjNNz4Qk/Rtvu2
Lbh2ffyajkwMmiUUocGm4Z1dcsH+7B0hi1TsSXrXYEC0kYA3t2xXLDzFwzxRaF2jgFSri0Hvynr1
8cDL//HhS6HE4SyQKmymh54ma3bNJVjphtuG/s61oHqfiIkiF3tKzlH4aU8DIcKUrprqUbXT6ERf
ZZl3f41ON3x5YtpSh0r2QqWGZAnvmti9mKPx1L3DLI03UaefsuDtt4l+//hIqWgdMBUXG9f+C0YV
MSGmCq/D2FAfXE00O41g4e3HL/PY4yBhx+Rn4tCk5bU/CIWsiFO6cR2FZo3hOZoepkhV113TdQ8f
j3TscVy+YwBjNNbpbO6PlA+61SVGdtMTDP0VqXBz45AgePbxIMcex6VrSA3MoVJ82DbsMwtlcJ7c
lJq31MssPBOq2Zh3adXNJzqUx54H8ia1WJYJ2uuszH/Of5SQoRYm2Y3Zyn49kNDYBgVOsenEfDs6
DI1XlnG8aKTz7Q/TeURxdlnCy8ok6XCEM4mkLE98y79MlQez2mL1QNaloUjBJb4/ylhXUU1e3U2V
qLqyapxmKDdlKLyAVk77XBpFdz/q0qKQPBH2gfjGLdygrWk8bu1Qw7P28c945KHxw/N5LWZo1Tx8
aJnblUW6xTU9k/YsI+JkNyiE2348yPJMh8/sYZliOtJlw9O9/8x1kaNabkih1+GIpRh+uGaXTyhr
31FHnVB8HHkglAmI/heMlwNEcH8sp7MKz7Om6zHMojMCSOaVakTWqe1iv2Xxa8Wgo8g0oWmIXEc7
WDFSynOemuvXtOv1c1CTpV+0dbxiclXk36oiaELdXOvVTDFQD1Pr2bKlsm7N1LiUvRKe6Ukefm2a
Lr3X0wiicqu2E5fWNL2zei6KH7/+5Y85eP2s4b/iJhFTcFDZfyVmr+Pr0vVrW2+VG0lh6d2OrNpv
Z5MK3Ryp6NlV6+7jMY9sHXtjHqxBXaxOfdqZ1ymOZzVIxpTC9jQVF7U7SD82apt0hLxzhkCzKCfb
gjrmx3/AsXlAW4cLy9LXgZy9/9B9LbyEReUa/QJZzUorrqY4Tk5MtmPHBj4bULCYDDB62stf8Ycf
V1Rao5FYec25wjDW/VTp/UoHJYySRHrDs1WI+EWphbjvvZkTjaTDNVAcd8u1maoKKDbSsBUCcQsS
gj5+/gPFye8pykfnsjgTgofRYv9Pg7ab1ksSBvOY0mhbxXdal+TvlLP0tcza5JEONKFPQtBrYh+f
nqfSovCSDAn/y/Nuk3DSfuZFd0ouceDv/NcfxkEGXRbHbLRf+3/YQLbjKDz1uk9S7ZxUDIoweTYM
52IQ5q6C7nfft6J6scupumjbMXkyuOlHqODFrPk5Z/i1HbX62VSX2XlZKPXXj1/csYnjIQpAL2Bz
nTv0v8CCENin1GultYimIWLKTzP3ZOORZzz4JKEKILLD+MBvdLh7RrNGvy0arotaG7JVQ53noVBR
qSYypLJXptMpB+KxfYfa/3JBZapC8Fj28z9mai0H3DaauJ7UvrvgvqsHIkvN19Ye9duRcB7PJyUH
EPesEkBqJtq0g2003KP8p/P26Te8tFr5bFx1Yc0fdJgRr5Ms6rbXeaQQrZb0P1V9yk+cGY4+L/49
TnMkG3AHPHjertSNMIvFddFC1h5dsm9IpG23ffV/2DuT5biVLNv+StmdQ4a+GdQEQDSkSIoUSXUT
mBrK0TcOOLqvfwtU3ptiiCU+VU1zkpaWKQkRAcD9+Dl7r51ab7NFTmy9ad9RSGyUe7UE5NGuy5Du
ain1F0qlZzYLbytbUCqwK1in258cJK1lDYxtylmB+cXHdlUPk69/SRDpErpy6D3rpQ3qmacYIQzD
AV59RHSnbIeC1JPeadora7LJumol6Eco+hEipiEk8ebMrlua3Yt5MZfre21bJy11Q9rMjtbRJ7HV
HH9+zzngbe/8hh7/lQvF1IogzKsAq98Zj3cdB4vzZ4jpbWVB8GKz7zxWAL9AJTR8MCTudFfVbKb3
GZF7d0bauH/8TVA/wiuAucOZAZvx0xeJ8XAJlnu6qpQtv1qTW5yvKCZeuH+/VtdcxAeVZEKsg4Fz
Ul/UCNo1x52uBn0yb9thBVmxrrWI8tGpqhdex5M4gsefDb7UFjm98dB+0SYuhNiREiOvvDKrl9D2
bXGTzk72zurned1Nsz9HJmKTez2pgJhxcvm8GGZ6HljmpehLh8wsDxtTVA4z89YJqUOx662+neLf
P0K/dAv4uTEbY2KlP8IK/cu64TgJuZXmVUNSH+CQSRlrDEo0e42UJasjv3cycreCoMLtNxFVFbrD
shxJuHLKP3wGtk/COYE3DIUY4IWTxaWw5tJPu+UKN88aUYYy5EOB9MJ9OX0GthOpscFLNzwMHauT
88ji+0IbhLrCDFJEcsqnS1efwYvU+QscqRO7PFXydqXt3EsFA/DjlDWvZGVNAw8AowF5s2pu7kSb
4/s8wzq5z3rM3Priegc5pTeyHtPr2pm0hwE7wznWt/WF/feXmurk05yCCDImkq7ZDFe4CfpLNpH6
ujMnda3r02WngX3oxILZw4XjrhgDtAxw9os/G0fPFSZRpXC7X0K0nhazp5/opIDeACE5CbtX66Tp
Hc0h4xuJVyVhTG4fJoVHnBO8ol1RpBODre5PV7Xt6qaDkJ1Oo2HSo3i64Kg681Xm9FdeZUyR3w0m
llKnemHBOT0jPF6EpQZUCTBa2DxPL5KMWifLgkcAVu5bvG3JfuqWSxNNEo+3jJepnl8gQfyyQ2+X
3EDvGA22JoJ/UgaUWp0THdtd4TvTmeRNpnlR9ct6iyilQR9jDKqOTL0RlAd+9pbuf2bEHJqhT1lG
g9HvhdVl+xl/Lsm2jwNEb+NLoTj/BXdp5VhkjLLnxCKC1+tY0czLRtslaDjXPrC+GSHSQO8sqG09
mglLZ0Tk63sOBvV1U7Xd5xc+zvaD//pxePERcsKqOaVRD2PlN641XA3jommx2aT9RyProRSvVJV5
pOpgumy6pe92M62gLEy81n1oxTJ056QQBAxLbR8LlJYodcizxZpDrdSN8dyuuuLhhc+6Pf+nn5WF
mSWRxZAy52SlYtfQG9zBV6NXi3XHaNFNI4btPvdrYqCII2IgPlSKPu2ioNdxRhPa92CtEydf7mTl
vrBTnBY/263cjmU+d3MDr53snrJEoeWO7ZUBhTcj/lWfDi4Ji+P/5pGB+eRDOkCBxuL59KUpfQun
dLZ9b4txzpaDlZMSbZUUVUXtR0lRYa7sGmsNR1dhUSJdGSJU21nlVZYIIqWTekK59Pu78cy2sQGJ
KVFQgWxn0qcfyh+kMFc/uOwZOV8IRug3o5Gmn7K1nW5/f6VnfmbGd9BiaJpyWjpdqAFi20VSapfN
4s1nNkbP3Vx02gvLxDPvAV1GmCk2qx8ts5Nyy6MoRwviX6KcsY9JMqu4pl18A71FMjYe6/L4+y/1
TJUB9+ORUMmhfTMnPP39amx1pAWNl31m9h902Q52tNZT3YaTr+w67FPkTNCcAvKi4XGWJavRtHyr
x4TR4u8/CuvO6YtFTca8Cfn6xo5hRvL0s3B6Smel2ksrtTHWFdPYiZ3FnOEDOtXgAxPS6R5NLdOI
tKD6+so4ctKR/HRDfz3TuoI3I+zUuURPmPThxnNAK5GkgUK8KAj8M41m1d7rBEKu5wvhOeeasnot
DNTAb6uko1YgjJUY0bkM85WxtsVtlzvdV+YB9hARr1G1Ub8i8iO4qbarGDtQOu6cytO+KMIBbsZM
Fh3JSm33deh1cdVM8/LVgV5s75qu7I0tR9g7zgvj0jNRFXN/ObjjPO075VRfFzIptWigGQow0arU
2942ZBIFJSeM0FBmova6JxThwqZZfPPIxhLhNBra2w5Kdh2NCN3GUKd4OSvyZvrY1tZSxJmprQ0z
czLiYm/E8I4J1GwJ1SJBMhTr6r/JMqvpIi5uFlGDVEmdzzkhZJj2LXUcaqZV6Nfy1MM93LkILzk2
s6QdgjYwMFz5S4NScpCZn30dCh2/ey/YReJU2uwnJoKJem8VvrZEBC741aFCjBSQBTCmBMnxt7xS
YGDXXS3yNEv5R+STpnOZ+G66kro4Z/M+UVowXwf16B+spOePB7Yc1LG3EuN7nWf6luU5zSIc16LG
0pmIqQv1bXlGzTNVIkR3s15VFkFykcmIvkCoChMqlm45cwOLEmx6YrD63w/5RChtbtvFHcJZqeJg
7DMXu16Du4BYSczYHV6wbmcNgpziEZVWEq+BkDeEBbNtmm5p3rhTaRpXdk+2PZGqo1tFldMb5W7t
lZJHg5v7kZhJ4UeDSRYa3vWqTqLcxLLOdqXwlXlBZjyATRAcgLT5U6NQ95zXGLm1g7AT+RX8Gbn1
eOPrCs0mOsaoEENzO5Si6ePFhiMRDlZuGBFiFOcat3jxVqwdT5C+lB0JW10LWzEhvS9AORQ0ImYU
ylMdJG2vR1bvT8h6HSuf981SG4IurzWaYYowSEbjvKApUJOBYViAcZC7tNJs68IsVa7itsnFZ3tI
B30vrNq7bdxlvrMWqKx7O8vTcc/Aa8Y1nM/FnT73PvujXiB15tQ6Xo/JNN4YDYM5ZOhNWu2yOTC/
uViAIWeMgbmr1mx8jeKzPVglSl7iiPtjI6zUOksc/pmoCxI3nKY2v3e9xSB+Qcn0LkMdfUF2kfa6
c0Vah14PqiCsiBlxzxqtHu4GFWRv5iFBCY84p5vQBKvh3aD7tRWRTBuUO7VONmuIQNoRt/aIaPVx
yfuPfOEvAOo/rf6/yBduswcpP//XxUNTU309wCcZlrNv//3jr/2tXtBfUSrDX8XMypGA0du/1QvW
K6BOVF9kb1D5QKD8R70QvGI3IwWERit9oE2j8LfFyUW7YGwmJw4XHpWm/UfyhV/qjs0sRS0A65wx
JwXY070K40BdJat/Riy48XlhZVxgnqjhi2GnzQsNtV8KD0qurT8CYN20N77u00v11Fld181n8Fd6
envQI3Vn8F+o7p6/CL0kPBgYe09PRGZrIiLP5rPWcIEmmOh5tbz7s6QFTt7bN6FI5VeDEAl06ek3
QS7nr101nfHnhm+uU+rHxrSmm9nukhcO+adfx6E8J8iVgTD9X9p8J+MAt9anNJmas5z4rSbUBFyg
qC1YJH96aq9/FP0/28+evwz9GXBYVOCnRLPBnQIkxe1ZlgzWnUrZsNlDhxdqtNOyiN+Lvry+wf2o
cRHrPP3V8mBV8zLZR6fC44DF04I20YMniAs+1dlitd0Lc55fvxUGckZkjO8JXaPUfXpBsw+kVJ51
dF1iRAaOOxEtVX/3+5/uuW/Fq01XiUY9B76TYs8bmintK+s4ZnYR4TVKQn2Cv2JrOt4LWbx0p35/
OffUgbvxncZVM46knjt7PadLPrTV8AYJvb1nHelemMc9hkr+fEjkpm0xNygp+Qk5lpw0UVZmfKqZ
62NJL+FT0+nZl1atUFNsEmKGqMiMBdNL5RfXszu6IjYTGbihNitUT8IXK5u5gwxU1KX3sa2QYsde
k3TQs4oAwPpaNu59XwHlCNs+7Y+qKfTxM5o/AgDkbJpctu+7P+N78z4hrgAqALyPWREv8MlRYSDN
yM46dUyX3jl48H0uKwYwR5qU2R+egrYrbW57liLWI/p0Tx/AxPWlXi7kgopB32mW8CIll/GBatOJ
xmFt5xcWv9PF/PF6yCEROm0t7tMHvuwWo2+FPNaZ18ec05eD788TtCWqld8/9b++Wnwz/O6YN3Hg
O6cguDnvc1eo7sgcZEWm22g4V7PxhZPUMxfZVnA2P3YM9oOTG6XIZIZM2Ryt2dMOtge/KpsqY//7
b/LMbwZgDuGey8QJRN/JqmRamWYorzqOQ9NGlGpAf4SYwrxzuheGW89eadOo6GgSWY+2r/vTLM8R
dMe1uTnmvswucgOVObbpdldOqfUC8P25H45j6Tbf5kFnwX16pW5hNGeQ3rqYGuLnCoMVhCH1wnb+
3NehOUK5SmYOzZSTr4P/rNN7rzhOmP+ott3+gImeLaRW9vXvb9GzX4fShPBMlCiEGDz9Opx/FlSW
5RHryHJoJiuLJTDWFx6201Yq7w7fxETOyZax9cmfXsTV18a2hvzYeFga2nK5bD2O8BNRJW9xqSzf
jHZuP/3+ez17SXysFBDWRtU1n16S5E+Hs2V+LFYI8jm1/Z4pbnV05VIfSQ9vcQ1q1Ut4TUot/tmn
Szq1KM5v6lF2LCSCTy/reWoQtiwPPVZhfze6k/61bzIX9TUv2xQnBWelfODQRUuhHbC6yfxLoKUO
Rlur6eWOSla/apt6erNMxQpDym3kuTu78gO9vZyJDkuQDlGhBReKPSHZj8DV/F1a9MESFTIA7tS1
TLRu+tS08Vp6Ul3nYzNme6Osi/4tUyG/DIcO839crnJogE+ZFYYRpxjTzwBIa/2tmdmcxuHWuXaE
ISR5Y0oj/545QdefJws/N5YHrcHtq7XtnqaCXsUZrDV9HUwV4pXRL3VT6d4OzxCsN8+opnPo2F4X
Gr7aSE9VMu6MoJizsxG/6RXRD8lH11oIaaiM0TyrycH93tlObx/mYlg+lMr2hjgvC3/k4+TigS45
yDqshRw+ncwr9kJskgEyGXFhNhzeQ3KUR+Ye9YxtQVRz1x2DtsON03YygHSWepuN2Ct8IxLdwiKO
j2CZ4mL1QavRTFnyKPfczIzwLk0pMKXV/jDqqcEfAZ75Pe2X4grDCaC0xBqS267DeBgJmGF7mJJF
F2n1bHyzxYjBoezd8aMujHbdMdSa8c4MTJ/roF6+aUtL4ySp+hz/bFoliHnzsns9LIZeRHCVMJUk
XT24RwEYpI6bYABlV2vgF+O1rBdcma76GEzFQMqkji28sQW2hm6V412+eM3btAVDwEwQM5V17GZt
oQtjTkaKKSlz/IvRy7P8SG5tcbPaTWNdAtnTdm5qGM1B+nNpRCvarYNsuztXAyZ39Bf2vLYbWn3P
sNedwnbs1SFNZiRLjKOWtzR70SFaQ22d464t3i2Ov34qRWVc+vMs3lP1z8XO1vKi31HhO5iAYZDc
CXdgLunQgfhQLT5x6nTM6RsqAjX7qPWkhvk6ZzzDAzn0X5ZEeGM8p0aZxVbuZvg8cudbP2S4sgPs
cmsEjqCtXudVwSteOXi7Q0he5XfR9ixrfVmaXpwPVfp5xUVuYPVwkuy+1Xp+7RXLOuCCAcVjbJcy
v3WmyhrAbQUoBIrB8ppIsaT0WF6mWo/8VGjQJh19vcQSRNupqxbORqLu5lihS5xj+lDagXpIaLEa
U+2d5VXCiBPluTTS5q4kTlEOy7r3MTF/woqb8SLpajmkrGn9LiVPisAcYgkNwGaGpsep78r3ACGb
5ujODb2lZSn9dxBw5zbEwrPa+8BeQTW6YxG8W5Q+t7HVZeAtsAfZLd1JUQz41cvqvgVKih8lMOgw
5Z6y4d6lafUVMll2W2arg5904kW/aj2vKmNCiOzv2MSwU6193fKfVSsXXF9O1+BzNfjubuXj0xut
gqUkI7zuq9tnwo0Q+2W0HIemLPet29O8Kc0Sx43npuMQ2405f819a5j3bebBBJCLuWSRTITESps6
5fRuHltyT0BpIha2ohKIYnLByNtTwDBTk9Ak3AnppWv2/4rD+U/bhf4Jx6j/mSlz+1A/iM/l044L
f+PvjovxygIcANyZqCqOZNsw5QdURjO8V9TjbO9Ur1hGUGr803HBSgJIxSb+jG4MzopN7PK3X8R8
ZZET+TgvofUC4+3/5hjhUEDbAIMR8gD7ca7/Ux3YJHU2L1Vy41J5fnClVd5bgY65y5hVZkX24M9f
mtlLDj/9Qv8fR3xGMRzicBWgL2JQfMpU83yx0EkMbkakOCGm4Oy2W0T2Qol7Wqk9XoQh1jZWJNvq
tKJhI+58Mfg3hP7aHxZP9neF6ODd/v6rnBYw21U8ulb8LFwG6/rTAkZBSmOs5N9UCvYwDnNh39h+
NtLOnVDF1t4LZdppoft4OY6JPDKo2WknPL1ckRuTtyrvxiiM7rU+W7eYXZ2LXvnTC9/ruV+PBfPv
C50yXNw6oCaZPECz0oix77qhLrWXcr5Pi87Hb8NADj4+osJfbAauoDxIU/emSvzgLX9oBISA1+4c
57i2X4K8LCObPnP8+1v2jFqJe+ahv+KNhOh1Cg4sczCsaenf0Coh/YPgOLIGB9uOAZBa+7UJilsl
g2RXe6X33vF7d+9YlfjC+kzim5WQRT3nbJmeDLrzKS2NhPNmVWcv3IBnfxvGz/QoOXJyrnl6pxXt
oi7IwX+prmfgU6x2xCgCjivs0++mtQbXLdK9F9piz9x1CmbsaJtLgqYiK9LPx8JFpamdTubNnA/G
uSmnIF7xk//5i4l7hZd/IyRjBz5p40hNjim77U1QjXSpEoKiMqleaoWhceCz/ny0gN8FE4i+K28K
kLjTpa1NRS5lm13M6+hRgjvO9CEA49KcMzUDTpT5AXBqrNkQ0kfTUDnGWMZ+8JgtQx0XXe++0+dM
RLxib4NH7tkbpanmlhzkCpglziFmX7hAf4N4amYtjwBeum+LaSmXEI1Dcr2iB9HYlwfM9EGQtffU
Be09x0VqwXHu5Pd07AcVOsLXRyh9FtNMsc4F5bjWWu/BLAOGnc0hv6OE5ObDqj2jdW8NO6ErA3xI
lvVmTFsJfz2MFYyippovhDZZUGB9ED11kxWfHSPP5sj21hwMj+caB7+zrHuGbxAyFi2w3kqrs+Dh
1q0FK8KQ1U2u8QoeCv4HEyajZI7bT870yTVaZnSgd3Q9dLq24uAEcrCC7ZPxR7ohGR7stO40uESD
9lUoc/4u89w+8+vBy2NncsCP+FJLb/kdgzNzrqvgzFjBnkS8YuK1S5VWneF2GO50CybVXtRDclbr
3qRFbW9uXlcnZXadFPQ4D5ANxiYWbl989wXe4lBohil2Gf325sKcMgvwOUvYEsK9IaBe9FJ7kPPI
+FayJhwDt8i980TZk7+ffcf8VCdk7DLentcmxgNtUSiRHc8pb6iDW/K+u2tRie6qqbhClBdeeVfn
bgA0wdf8ezYVceBfx+nnt+700dcmdeH7aDvizirk9Tr2mO/1QHxOA6+igMzT2ji4ci4+1Flf5/us
cEY36u1ZXWSAGosdJheJ2hi9RXLQqULbuKI3WMRpMLX41XUSBVrXBbLr+bIzYscV9efMGNHjWlrG
+B2mTful6hNvDPvFaa449Q85hn3sE6EKUlBOa864O1zWQnx1Roz3IWpeD6N8LZev+tThVK56L9tZ
gK3ee0z3qnhN8zkPaYkka9R0IDNi2RjJVVMwT73spsnDwOJMnNnBVE63Q1YMEKYb67vOE7pcF44x
vTYF1KEmtzojrJVJmBW0l7ULyyVdpxC7XFmF9RrgZK+BUCHNwLSl7XNnJZEgsBkXR9MgZYbVYGnm
aB2U/rYjV4FXTJeTiowRxk08Bs24FbszHDChp973ya91wDij7+61Xue96TmCYLB2ObDHJciifJdY
av6azYZ9bxZl/2kauuzWmzw4CGPuLm5kImr4jJitvLe9yrkpILt8CebKH+PMDnoZ50FTnDUzT/NZ
AInoCiZ2kx2y2m7OVNVoaF+BlXzJzIkbxJm5+qLrifjIJ+jf16MHGs2tV+98NNFVxb7RBJ8CwsaJ
fBwJJYjaYKgwa65q+ZjUA7Qck98WlrkIigKYp65floUuP2X2OhlRPVf5A+gSMgsSox7vcHA0X4n3
Sj76QO3bEEqn+NT2hv1utuw2C4sgr9/ktRj1UMcjOkVO0zD7hbXH6aHnjl/7KLs1iFFe9hHvfnpp
9mZa4zNKHDf0pjV190mzymk/VR3EmKa22jrWhOfcQ7sa7/RyewYxDLyb+1yDC9Ajb8fu30KAG2Z6
g9BL7emdMbvJTbe0JeDrjMNpuEI/zw7YsCywIWi8LnUrQynpab6zxE0/2gzpk5qhP3IWIwefkhnf
J6kcMgdZlud4kb0IYjYw+O6paU7XQLJQWzbQJiIa+sYFvUr8S844WPpOOSZTOeDbIiB2oi4mfqax
vCl47v1w9tuy3kGSda77qdKsSAxivSe7q7bPx3wqzjCjeP4lQTiq/VQp2aCysc0s0fZBrWFsJPQD
K4wXbSa57AKhC1B//NtrPRAQ4lToY5QnJ+vWqQDYIRfpzasBpYdgcbbSKtZGWoTnUCzSnl5IkWvk
UtS8uU4LxSDy+O/JbnsrZmQOfssDEazdttkJybJJkyGGSJ6VuJc887VhZd73ulGBvSPgYj2s1tSK
iPFD04Ok6dpoQl8BGTwb9df0jMw5xPfmfpSbvcpudWxHkM5GoiUtV/s2Aud5V44Jk58edesjdCr7
pKqquNbrcnygR2c8UH/bazhDzmBSKNN0OlOJSPMYSFQ578g1tW9aM03rnQXATjfeAerR77qNYha3
0EuyY+fPYtitTlaAwbOApaDvkMuMfKJaSLuYS0fsvTK3vjlzbsCA9mgzHRkigXmavRyHyjpBjjha
ZVvQq/Gld1VCw/OOg1/mxm6xugYmVtBp2W5si9KKxsru3uf54M0xLIbqPaB58gBo/eB4SQIen1ij
cV6Etb09WbbbOTDSq9b1QttKEzduZvqVVl27n2c5FfUuMSevZT7Vj8gWxQS2RroDOQMOPKhxP9sV
iLR5IOg7tNyi1XZ6DlgJ2LkC6tfroGlAP5fJV2sGcztMpQ5JLZG8O4ZkI9pTepTJbjETLIJUMxLY
VpDVuN5JN0lCr4KuBD96qvqoGFeEMzB6RiPMOFYM6KaQ9URTxlO/8wr0cZgcSRjDt1+KLsq1lG3e
lUnf0Zycp2HfG5M/HpK+YadyCYPJj0DPXO1CL5sxPZ/ZCoJd4xT5fAacznrP/Mk/I8OoGuOBgIEP
OqXCFA76IpKILqufxnBR+iSqYWAGd5Vls/+8gdqPHKaqpHOzVob3yewm3J6ErCzUJyv2Gt8okoJN
yKpKKqapoCcDwYRvtlobbKonMPENoiEoYWSS5h03xaVwsKax4udMRhshjRqMiiQL6j0AY3XWhdKz
UTn1j4onLxc0LeUmhGKurtTRfNRHzcibDuaSaPM1MliUPBzZUVNpzdxqR3IRqlv3h9RqmTwt6n5o
sHqgjOO5ZKiU3idLgkbLdtagOsjAEGuk2ETqfTlIBZaMF8OOW7o+aL0edV/jDxFYOiWEn0+P6rBu
FB1SsaBDh4EzcGjnYq8QBBQw7YuLZi7q81E02ng2r7YEAh1UlYgmYVo1j4NoEUAl4O9sJ5UkFqva
aSLCYYn+QQxN69JSi3GhWjcfQ5dKRUXUwMqIBizMTEa1joPYMKzum9xgfw0RaZT3xRrksIrnVWNd
hj2QHgC3gKLyU+1uxr8MjcGFhHTW5kEx0oHN8g8Qcbzyx+TnP32nvzYj9f/cdtp16vPQyOxz+V8/
uCU/N6C2v/qj/2QYr2w0r07ACZ0DNErbv9tPziuG6PBS0arjIseNxDGsbuSQ/vdf1qvHP83/BZaE
SbvO//Wv7pPGv8dMhb+Gr0S3DJ78P2k/Peps/n1I4/MwbKIABA0R8NKgnH964ESUZrd9DWQOK6a/
s5NydA++tbYuC1FWf9CUln+ivEJP2S565UGH6ur5UNXGIC/LVnhTXG1z4dB0JjB/s+ek3g6RIJV1
7/VZ5Ew6Ieoq0NRXQkC1zw61X/kaJkffhqulo11ZwROpndRs/47Ex8SNaH/Zwz7PUvkGcXLAVmv6
KvSSGnKAVhKCtAcSiFiZ41F9odBYdpjjeOV+PNfAtcVD80yL7OnplR/Gdrlt6JB12n8Il0+kHMJe
Z6d1fLb1ZDrXs0Z9MAxVneG1Sy/KXDMOecAqzzikEe9/eo6eufLTHsCPK+MxBOVCk4Q7fDLhTA0F
vsqDNYWJJlJuOxD0YbQvYHMfzaI/33go9jx0CK+wi2z2hJPvB/dvkYq+fq9yIMGWxwkC62rh3OiA
TsmXcsheRZ+4RUDdaKM+ciyt0wzhrKYU5rBpdWUWzwr9URUuskVk2eMLvLA1OEthQTJ0j/yTo2Go
Sk5T+2qxBy80anr3YTr1aI9tp/PujWBsyFaRQ1eyzM2EodizM5axGjbO1yAsxivjYt8WbQOysi3p
3+s/0GAFMSNvUW7OHyU20Ktig4hJkKmQAh/ZYnRw9c90dSCOpT/oY6hTYmIu4UEsS9d+CdaeSBpS
jLB/ocXvziviBSmNFloJO1muen45g9xZ6fpX5Af1dAPEDjBAh9wVBSX6V18++O64DIQhrr65K9aE
7azJe68MPVEmA0dz5epHG530cpPwtF8Hgqz6qDSbMd/ZrWl8MPsxSaJEU6TPZGJsHjag5Hwcp26+
pUTV7UMFLKsDXpWnWsy4MwtioRMA9rrYTswRWEDO4ZxCDVCsxAuQcMSUcWbQ8cV2RAneMEj7fvf7
B/TE3kWTdeua82Ci9sDUpp/6E9BfZ5zTvjV+2pw7ndRuxnmgmk99g+QFKoMVPGKo+MIf8cvORNdZ
V1UNWHnqipaOTyp+dM3+swf9hdDvp3vzi+T08jOs0QFG5s+bz+Pf+bH7uNYr6htcjjRZgf8wYPhn
93Ff0T1jWcOWgeOWPeCf3Ucz9FcbToQdgR0Ls9oG0/l7+zF1ZibONjZxMcQ94rf+gJd1YiAj0ZEe
J8czjC4mF8K69XT7WfOO815BxGJdeMa51nnzPSNzmca1AsK4YhDd933nxnk3EAw1NGv+eaIr/r3r
0uWPFvzHjwIFZPtWBm1xkvaefhSaVb3mexmvTCP6I5DzldN9po5eSx5vVNnpcFP4IvnazRypfrpp
z6z4T2cYiHoBmtEiZa9HakIv6ESE4XY0DXuL1hfKinf+YKxhUs8P+ezvpej+zLr/eDE8VUx+WAEh
pwcnF2sX6Tpa4QMw0uwlXlL12Wq14vD7b/R0D/v7IiicEWzxjPknFyFSSwqIsW1sEql6pjU5FSgR
rLe/v8r2dPx7D+MqSHt97hSSS+I7/FPTawvyG0apGuJibG4cjQz4WXR35G09CANXwtqe+WN1Xcrg
hQXwEb90cmHycZkKYtOCbmWetOkbN5CaGFwF2r7Rgkh1+Of2xeR37xO/oHpJWMQRADTsQJi+L2et
Ce5Sm9hG+mBNgu8wr/KYRRrHitVN/v2ydYKjlv7n+8xiRwptU6ObqREiA5S4M7GfENU5cKqaoRLC
lL5LJVjRSY1YYWThFslZVy8rhYLjmWemWhmFmXSKmrABP+yFoxL0fGmV4eGwpK0cIMyZ9q7OrXeS
n0wcra0WCPFresbOoePHeZiyEIOMCw31haf9l2eDG21shS+nIyRHp1yDxmkbrRiFiqu6Ly41PaH8
y7AY/v7Z+OWdgjUFqAtmC+/zpnF6+joP2dxXxmBAugVxGQeD3LbGhE48feL9uILk/P31tnHQ00cC
UeyGFQBXg0jxdA7palDXEUsPMTZZ7pyqgd27hOCJNteh6jakxC3dSwL3Z74kxSlEIBP3PxPukyKO
IM5tBJMMsVeo6162xXFIwUNPVnBdL9mfWea3141thGG1zdjbYOs4KUwZexqjRBMVk1CoIhx2RqwC
Ykd//0OeVhe8yczcuXeswSQaGe7pnTNalPosXPHkFPWnRykgmQItB3gA9f6dP7YXmpLoi1dhFlW0
dF61rzNOAMioTO/OBeH/BmIvdpzHD/afKuMvj5/4NyfdISVFIvv8c42x/Y0fJYbtvSIEbjs+EqqC
vdHjIPVDX2GZ2FY2bwQGNwgmPKP/lBiG/QoJL+fNH7E89kY++leFgQuGLBj86yiXkS1zCPuT8y1K
wSfvJVYoXgzOUQgd4IogeTh5mvJymfXBxaYlCtxY5xhDnWuzdcAQ0JgW8lzmABpQLdWNu9GmrRSh
4Vis2sdeShJqZW6b8kOH+U9GdQCegCSLUZnydUbb86M1BTTf0tnaojZwt5P9XhLNuDOwl/lnoHXL
7FyqJgGJX+WGfchXL/noOW1yTVIxz65ZFAbsDbqRFM2mQQoHx/BPRQWEG7ZPL8UhRy55m3U0yONM
ck4B0F+0Y+zC9R6icp6yG8aHw3XCwYKkMaBgm9tfiibiH+F4unYTTel8aOVrMxiEc54vnJvCUujS
OXS10xr3HC2m9qzLtWxhEhTgqhyLWogz2QwB4xxbCrGfK4Zg55beBfqb2l40eYAa2Yk9M4B0xktG
QmgE3Z3hbGhosqIHO82WFbyBJLhyBJx8PWO+lnTL1IZu7ubTplqT/a51V5jmce2xouycRjK9C73a
2LJc55wThVoUQLtbD6x/fzduLPD1LGvoxftfTNjZs3pdk2+hq5sRhWSZRN2opXlwpSAh99NbU6u2
AFQAXs12ch9npyeGOlP459e3q5ubhUIBpncEQxd9LUnsHS14GRyJG2GEei0Db8/xtlc712gKjzCI
zmpft8QxDa8zVRafMKc3uaLrkXb+9bQgLAvXmdE6sxwgG7ei5H2BEkYSZEjoqVG/bToGkpfAsPri
4JUjJFSrJHMlJi5hTWOjUzSGfaQPbkiPki3DyljSztYBlaiLF31qgUVPXZAdF8dUZz1Fcs9ROQnW
MGfiNcYyd8xpZws5e3t3EYwpV0ZL1v9j78x2I0fSLP0qhbpngTRuxlv67pIrtIaWGyKkiCCNO407
n74/emZP5+RMz6DuO5HIAioWSe50s3855ztnMSdmhcl7JD+VZWP5HJQF2+7Jyrr7eBj4k5bNMweF
3Xe2Lakt4O7jRd7TO07WtiVXWoQef9Ut71D6DbV3WR8DwPQW2e9qevP9dCR6tpLj+tx6EepdOCeM
osl+jmBdeD1OaynbZtwRejOLw+R2LmP2VNnYJ3NJOuvo4vH4EISVsIJTZSvDyh765iaYxJCGs0R6
zdQ9imv9YIGIfsSqO6ojdzmE+uaPPNFBm9p6MXRqFgdxjR9V1yjS7BpLSkNORGkU5EPeE9a9Jpi6
s9+OaaiuMaemFVfQeexrFirYO5m8Ddek1PmamtpdE1S7heZbhe41YFV1geGrTfdH/ipAavviXnNZ
kwYkFWrea17rNbu1iRPv3oQTCbV9DXftB2Dp2GsLfWdlhL8ajTU6LFAt+dBc02Hza1KsU7XGDTtr
8mPHa5asytZc2WZaM2bdNW5WXJNnTSOZ3a2Ms8kI/Ws6rU/I9lO/RtYG1/Ta/ppkO+du8hBPdnbg
q5J0215Tb/trAq5zTcP1emdI9uYakus7a15ulkkyg9JxzdGFPFN/utd0XRWtabOLGQB3N1IjOMse
G/a25Bl58NaAXnSUibfjNMVvPFhtojdOlQ2wzX2WHLvimvPrVzJ+SSvCf1vTNrOdZGS+sBhprWnf
XLOCdabyX2RHkiCcrWHCExsKZ1uZRAyjwiVtuLEieWJZCv58XOOIo2sycXNNKR7mNbG4m6em30Rt
woSmuqYaQ6obl5DQW/PMxIrcYz4hxW/fKPMbzervBSABIcnmUkRJ9ZoFzfgE9JtzZGZY9QuHj++e
0TdYWRina+pyMjt3tbVGMXvXWGZ7tPplO61pzd4kuQzQcRFkTx3TykNyDXdWgwekRxdkBEliEnSo
7TUKmpuMWOiMM++edpiwaFYUfKBiMRAiDcDfeveMbuKccPr5Qbt1bOzQb0cOCQi16OW32eCTzDo/
B0wRCnQLMsSyFXQVO2xzcieqRJu3QAO7rHdmXoBGZys/Bq91GqPIjToOL1YJxlTSCTDbCdNZA1rf
NGNQ5CF4qYSwbsPzHlQaqM7eO17OQjAz3UWiG0/NV23kRnfGp6Oq0BOdkJsxkKiYAa5YPwX6tXLn
gmwrzzX7zyTEgMHtl5e6yXdMBwMUF4gWf5atuZAwoIPeDxGtd70O5wwz4h5kk/Y2hVFGN3W2AEIY
C9mTN5Vl9qURJYELIflx1cBi04Mu1Sht9y9j4PQg8FzfY7ecN/d8BPhZKUHZK9LFDacCSiJaB4A0
r4vg2SCsHWByaLUFc86VJNPfQP7IRMkqr3Gz30xBfXni2aBNK0jjhDU/5cP6Tc4aAgA1eVlucPfm
3/2snVt6r6SPn1nHGlDkVec0n2lrpry6AsFNtc0iNzWdXbdoGPWEfVDjbot8Sc19nXQx9FhZMwlp
0xo9dZtyTG8ILwIzmI9+igK/jjSrX8w2QBSwl91nvHikLFWGigHHdBbbvgEe/i4zCATg983f/aEL
HmeCMnhG8ml+Hs3BvyM/QhK2MzbNG0IRMm3KafLt8zIKWYXIC4LfBmla8TbL+vKOCb16Chjo3gtM
9hJifrC8Bl3kfPCtDu+poZcLEomKKBit6ofcS/Tz2tXGYYyepd8XDtdj2KtAd+sjRpZLKRRpZICq
8QtOkuo/TALgn2wFTY9SxoY6sXGDeN2TT0xidmMxLbdRO04IZcuC9rXtgFyyHM/2nmri4pAguDkD
wxzbjZ9l+tFwJxQqipHkbZAJTQY0FtrvsAH03RBHBJj1JIw/yrRuf45t6z5mWVQ4W8usrXg3yzRq
Qi9qqP26xIgOOQrvbjNAFDksBcKbE1N2t+cdqS3wjxOJBHsTT//LmnhyNnSs9Va0Y/0T8YgL0SyZ
9BsVGultJVKgLw7YiauYzWAWNquBhOz3SH9L/LpMNsS9N9OG5wRpjhVERr3haRqBWERw0kbiSW9n
uxYUnLI2v0iRIm52UKMOQu0GRoy0dzZxqTRe+cxc2C5vpiJOV/A5ooqwLKsOOIGncWsFiZwN0k8H
7x2JTlut7h6vvE34gJKQFeiUw56mC9RAZzn1biFuCfxfEMRy2/pdAb7AaYd38vbSt9S2mFn1RUKc
mlw8Ytkx2khMCEFfoPQzrLjb9P5i/NS9BLiWOoUizIc2NoeeMdPLMhaIndDrZvmyfv1x105Rwl46
t5vO3OR+GbFJqCNc8dwYTU+fHRMyzxlnNxYEBfwj+4ww828Q5hKBhWSyGU3DaNBhUhXGpfcrbR0M
qkF18EiEihmcO167jZPePJLHszpT2kLuqlxHcl8Uxvg4RgSrHGaXYtHgxHZ4xcJOsPPelGnv/qr4
kcyncWpBRuRoj75DZ1zIi4ocRwWHoUjpI5h+LuajhbXbf9atE6itR6LobVTlg7EBVFU/GB0YJX68
Ub8GTEVz+6DII2r382JoTmTlgxMMoOLVakLuJeocrEVJIth2zvjIExnV44PYZ7IJHiDLyG8x2ZbF
RiX99Bh5bc0oyK6tKSwZgSI2ooy0tiQMQq8lW9TREcd/QbXQOCgGHGKv+n081PN3Geeqvikzw0p2
RTISPOYVHnEoaVXHP9A6rAFqc17VoZJRfkCpkHmoytjuY4HQ8Z8ZzP/Tgv9znU/99y3446+6/8zV
1z+q3//okl//oHiMq7/24+sf/3PhLP/FAJn3kH/479XU8Ec/zioaALlPxjHk1rXJZn7zXwtn1pw4
HZBkM9nB3/C/+nHD/ZfpmGi14b36a2x48O/04/iP/7d+HJ4A8Efmfszb0R9jQvjbmF0Y+FRTXe89
YCpbO67m+BKI2bZv4fc35e2gDToJubRZvhuDJZnOk+C8TBySvjb4NFhEB70hATrNWJu2I2y0dBsv
YBdCQjA80sLSeaZLJhXxaS7AXITTnDbVjqtYfQfrQnuHw4vIhUqMyLvsLIl+l1TSej+zd31ufbPy
cbf5/aWz4eRwqdokjvWSyd/BB4gx7Jyp8/FE+ks8bieCaL43yg+KEyll1vwqfd3MZ2vuDM1RVxFd
1yjLOUJpyuPN4LKe3NQsjzMUJDr6cDqQXtsx6TEkoWjX7MQXXeWkfVYxqj23IAArKV11CYwZx6Un
yJxDmseJQFVhZJ8F864P0xsEODvb5aOYahl8h3So3jBFMJKOp6C7y2RZU2gGufW76jogeLOvq5FY
n8o7jUiL4rBSVX6fVJasdtwmldzYdSzUbnGMat5hcOjMUFWUSRsqPSpeOH6aH0khIPXsxpCh02XL
EwFsnrkpSzfaLyMyxt2o+WG2lpWDCLYn1cuDWfcaWabdfbRq4EYLvNK/9yJP35W9J9S2aRejQGKg
A9aE7Uh77pg1YUrKy9MfOCH1Y+XFjCla1VEWaJA589Znr3BLiN7SH8xliJ0NrU4pthYhW+DYYT+D
2zH9hpaw8SxSDqQHoX3SQ+c9LgVxl0fUdkN7mnvDr08swxvFrkdkCQaStY6fy9wyd0WAxysU9VBa
m7ZuM73xtOHCDxrEVB9Alzrzzo27xThAoTK72ywHwHVLFBZmwISuadqixzHllkFa2ZzbTBhvTe4b
6aecU4Fzju+j2UKFwiSLnR/IQWNhbz3GSHXTbQGvVW7KhgXRLu8aGOSFbZv97ZwmAQhoZTdMRqd8
rndNrScNDQKd5d4fUpTsQz0oizagY8X0XFWj5+5j8q5yAqIo6M46G41XVTQY2qhqXQd1XBqrW1WD
bXlUGB/6FzcXKcHPdTeP74UiU2GT4GpTz7mRjOklI/fgPI3+UNwo1YnhLp7yYPymu6AbTw1XotzX
CzmWPK+ZHb11gpSw33zfRnUIZgVdsOUBQsE4zxYTtEpU9YM7DhTQ7PCF2ie4XdUOUIjL1ZpgszxZ
qayLUFcJ703hQTy7c3Xhy290Ecx2EsZB9tle4irYopA1rUMCo/i375bdCBlLldnOdAsz35ggq2zW
DkVe7ZsBE+mOoL8iOU52Z6YH+H9JtZFLMelLHA1mucmjvi7uxES/uI9iqxM/q7SkjyjYXnT3gaVc
c9NP5JLtXRTN8a6LZhqOBnEeWZVtbnbQmTov2dXl+qsCJaU6orkjlFLkY5seRxNe+h0uiASYGodF
cmqJE6yPeVcqd0MuTRGddTJADCsRpVubtHUbZ+P3K7AL7kaBNoAIFIvKxWEgn1e5cp6cFGhCWCsU
FVskovK7E5B9BzGGwoaRWyvP0VQODS7NKn3PhK9/4wt2f88ZapNt2c7VK7ZRvnrRUoVtwcJhoZzM
yLT5iBUaQ4QT1SgqsHvW28EjG5NnqMt4J5wm2DWRxELpGFP3TbidNYTBUvt3ybCYP2vHrZpjMYP/
4/xOCb+tRl/9skTj32Uzryuey756TXCS/+5MljbH1nH0b3QZ7u+UKRryEsZuLpVM6/BhTfLqlcAX
KdBOt9XPqBI8PiCN+ZCWJViusI9qTSI0IlY3rJcZC7IJVg6qtDmDmENzQvJdjOJVuQvDANPupWSF
hgophD1C1KfGyN7v8eFM30dyNxsCdlX2XHdVkh0YW43GadBqqjZcGCw87cix31h6Z7ZxjAUmUJ+y
1sKdUqzJ0eTEESLdYfTG+JvysG0SsxheijVxWo1OZm69oJ8fGWcSSR1d46njNak6SVz35EUgZfaI
DImyhgMfXQZBvrXuc6KuZ4u2G/9IB/iru4aSRU5frUXfmlV2jS1DDE1nwuy0YkC6Bpu57mw/V/Ea
dzb8EX0m1hg0pyxIRLuGo/VYOx40hATn0F3j0/xrlFpJeKy/tRjxljfNNW4tn0zx3PDlM+rDNZAN
uby4ia4xbSVGDfzR1/g20yiW5xoK6oPMJ++VobNIQnvNfIvpaLowWpPgqB8JhWvYTH4IznLe72ts
XD02hGr51zg5XDg5LY3Obj2zkQRN61S/d2sG3XiNo7PXZDqEzOVrvabVlbkh3gxzjbCL1jS73luD
7bwqgKvGeCjyd0MUD81OrDl41jUSj2kS8XhYlaCnZGtqHmaaigQ9pt8meXrOkGJ2Fn4DKmGoxRzv
6qVwrW3GWNnDXm77P8nwrcz9NHoD4+myfa5TFwQlBRDuAS+pcRWncpTfKAI6fTTbZBDYP8DghbVc
mKuAesWlb4nevyOUwqH1mpR+7ERUfWY92NJtwniJi9kGBLgJhgZXfl1UETSe1J8meMbKenUAT3/l
NIvk3GlH3eOlZNUPXa8tNkOlpkf2J+anwA36kqtArdndqmERPal62BGXK+yDHVjVXZXbvLJtk7Rb
uk2kXVHj6g/at+Bz6d38WcSVewPo0v5eBXmfQZHMq5+soglSLXJFinBdTej0BH9xs/eCvAI0APnr
teEcbrayjNc32bNo35jhGpteirbYivXi2KB4bb+Uz3x/I4iuUhuzrAM0RSm0hyOgc9IXO8+hGfLN
bnoyVF4LhuoFggPDSYf7dXdO5CIFzS969Hg+5/OQvJdIwYvQYAU1wJY1MgrBeZZq63bYwMPelMkX
zkhSBRKEifcgCcwASReUC7JvmyzbL/YkWXUMDtgjM2b2BTZ1WZiUcBmdq9owUJWPNXnGxHrRnDd1
BPg0D9L7qgZpsM+JTOMOWq9T1gxujZnGK8d35ebeTZ9CDwt1YKDu0sucQjQYG8zwhg8zfZ8Vw7R6
IGMQ1a7ORba14ZNcjLissj2ZJeOjE2Cb3AFwj+7JLE7aHWFstNOQiNuGKkRBc+Cujd8MI7Z/azMB
GWma0Px5MFO+nSk2SIJ0jPFbSVmAfYmBxCVANIL+fbYJVBaRjdVyThq7YN2yEM3e1gqzTEIMjRHW
esQJlfdNcXJ6e2SXBDEDCCFCo486mpzvKQsTAw1fSieZ8or220nacsfQrMq3BUizccN2JJAcZdP8
K+16KP1p34Om99T8CAa+/bJzUqNDLEjDm18xWQ7RuBRiMwegNdaimTpVeWJqwqnuU8Rx6NPvdWuo
L6LQ3HdLphNuQmoG7E8csNTZsZnWOzRzsCp5/B1xA0ZSP8RYKZhGkxEH7oLFOGHzduM9xGTpviMo
HCi6TC/5aSY4LLcAOTClmEn1srQxYvJIu+uAM2lNNzQjXf/MlN/nO4ooLiE0j1nO3iOWNvOvHvSZ
ktn8kRZ+jr9AYlviblNetHNdolBjgn0rrFTmQB4x0/27CTN7yhdPGkKHvCRfVgc3BX0EKfarnlwE
lbFbDW9dA1E0nFOr/sKhEukQ+R1LFN2JatlpLjhrnemQwNs2UiabeaqLchPpmRNNuqbxWjld5D22
bpt8aqyiH/MyxveSbIDlAcBPMeAVG0d0wlHFO0pIfU+5jl/vgSCOqCLEvqwtbjcNCcM1nehWK8xJ
oUAReW5dOWSEcE6a4Bx7AUyKVC1+wKNPbu8YV3m6scYx/VL1ZP5CvZm3jFUnNv5EnE+3ndFzrrQZ
JNoQtMJ46aAF5XvPzton7GLqS5XM/0NyesfvHszhV2bxzacYJsMgwNThjOo1kkqz77KnFlDIwnya
qwIlzpC9pqgumZymPDqbnkL1wcGIfTejjHgvMm9qN8gwLPcgOjm8++Box3CCg4sWwYgRfw4NhUvT
YCLd+LWdfGJBqIcQFRlurngmCjccXKf7UbRKfRqJnX62jOff4kwjXcoNS2ZMxtz01kI8xbA00+Uj
NLX6g/YmHzalHPtvrnZabLRpLogXC/hovPWDYs4C8pY6P8LFtEauF9lLBuD8xQTG9WkGg10jHVLu
2yIIJKABFjz2Mw49XJ5O0j8ygh0VYU7KvcxjUfxexml6nYZ4+fQngoV3dPTtrz5xm3HPg1Wc/ZJk
s7DJh5R1ZRoxFozblWg+tubwljdB9YHH2fWJnu9Y/Ckr6eVeWsVAbpKbE5pLKncUk2BUei+dsPV4
h6kXp11a54E890WnGGqNlKKjMeHGMUEj/IQtB75mWSW6D8miDB+Z3uCuBxg+nqRcqAcL5fF/lKOM
aT1Fbt1NSTkXFAxd9eq4PdV6jUkGng+uqq82Gyx9cNok+0ZRLMQda1Re46hXpo3HFaXhkzPSTYVB
jDaZ06cjf8UWM45fwbFdklG/8MFNvBosc135Vn/DpertIvzISHn7yq+3sqFQ3BViqaJLsJQtK4mM
xeKjtZar/CbIQ++rv5haymh7wxrwtuUkX4+a9HiWP+zVXxVhSvdxLWfB4sbNuuIPKt3/TNT+iRDr
/zVSu/zI1V8naNff/qek5V/QAKFxcKa7f1gz/lPSgon5XxjhxBrNaNlEDEjULn/O0ASDsnXmhmwf
zgg6mP8ybSCoZfLG5AulDNwQRFT/zgwNmczfZ2jgP0kRBdzB/1Ki/U2IJa01VCRr9047me6xSpHq
b6nAVfdmj3xnOiSqiHwyVQSL3KhgwlMFfrlhm44RI2Be0dTDoz3Vwr8UeO3SkxlH3fA7aUTV3vgj
uKugwHx5aikw2pNIe7vcxw146ZMj4zrB3mwm0b5287JnyWWQwTTZuF+PsJwqi76ALOu3xlcVHuJo
VuX4JBvLzX7KcULqGtroJRDKlEXR/kwT0hoLG+naNqnyUf2cWj4QG+1pHZzSGdPxt0RpRlEJC4dN
jz3Pf1Dg25ENlEuebvGkW9EzJvVgzYXqp62ajeduDL4qshUGH6mlrbOHyDFuta3sCN9sntZcb4BV
DkXfkYGzMRm+txdZBfK7iY+3D9j5EJGDXp8FPXX4YvovjkpenaYLzksTtOWudqeFlzRdwH8ThSjZ
vdX2YO3K2Mf1wBKTXrtquXEjGH/OPq/rLr4Zg6w5+1Il7XeYUsZy8KBcbsDTDuN3wtwWTnx+Al2e
sqmyv1WGH932yLPbfZUZ04mSOV7Lgro4tTjs2k1Ct/XcskkglQ+5bbaRfSSj04IetdpEjWM92gB8
yaSkNZXcp1UyfaZyxY9XIPjNwzQ7dnyPtSwCUxQH7adocZPbERKlB42vOC42sQaNX2SzeBdNP//I
MDw8oCChX86TC+ezt23pciXVS+M9BsZAgngnTrOy7F+Q4ZPlQJY9ww32o16S7MtJ2M4XHnsXz2tC
ctnBdeapv9TY2qnFu2B4U56UdWjC+DpkSa7zD9AJzXwgd5K1UNrp2tnN3dhEj6ipJJRry0ztrTXE
mf+LKza3fmEK8aanjASN8YQFOSCgDOkSdt2hzm0S4NltdUV3sJkZsqOqgGdn9rGlsmaX64s0M0+1
OSnxBWgEeROh7eaY7igUioQ+0l38d9+cTXWPhizqfynDSDvwOXaiIaNriPXDAWluVFUewDrpEFy/
tk39IiJf703Nh3I3086mO5i9bfWJsaiPT7j/G/+JQHmtXuy4bU1sOKlCgcAQvGqxbIo1CgDbtsrv
cM3CwdpiDc2tY2Rpae0oTNgpuqpHnICNEAOlNDZDYjMaPnnVWN1kqScP8A3YqI9tecd6iLq9tS+J
S/EeZozLn1C1UJ1nTXwTpZbYI9EYPribW0yMPkPmEb+vatC+hyit6o21LOOG7yzY06WWRyPLCrxQ
UUlDA+eoZVcP/Q0DK33YKhK5EQOtfujPZfaMVpzpOiUvj2/W9yC/en3DGZcePcyN5zKtsm0UjL/B
VsR3Ux09w76Rj1W2xGcz93ndK6jlfM+BxztKnUj5G3jfihpRtISTVoSq1M7B5CQ8jxKREqOfdNwj
i2ASjsX9BWXc8kAz057RKXS3ekbzNbca5l4gjUOX28m0Qbc4vDqFQwM8NHZAbR5wmO7HRZuHBrJF
2CEtvTFlvw41m7k8pJkcjkyOqncBaoyJknJ2cnDqvZ9IBFgOeQVhbUf0glT/m6426flEa5xErlhG
Du291WHoT/sWc2yJ0WhpFoCwUeaxCtee3AjhTM9oBqH30w7dTHoKdvlI4blYhbnBf3RhMjZ9uoMx
Hl3cOI9dO6kjxGG5gfkD5pgZ114Q87ExHMO6ccDSnedkTN7iOfM3BrO3bWR6eu9PfXRiFvyU+Tpi
PZNm6Pa8+LC4VEExQPw7hWznlu2+flTk05wG5c3vhTYjIrNtw3hukvoTrb7eK3btb7H0+4emwxjf
x5UdWtAbeEXGg0D5dGPibmd5i5wxMorh5KX5j3gZUI1Y/Ob1kbcu8VLwWyRSBJoNnGZTL/ZF3c4M
MmipkcsHR3hqGNonX1ymxHDeBJOXGwd58DqPq8/UczeD0DgMPXIbuLLcXcVS5Oi0Qbtt3GG89F5s
n6fBjS5xlUQHG9LCcaor/WOOBr2zGE2fvDqNtq0o+mOwdJ8+b+HOVUI8YoxmNZwnt1mclkdmb/aN
g+TqPTc9cHMmOR17JzPYvzoR8pvACsz7uszT59ETzrtQClNkLpuYqZpbniq/s+8t9uUbI46keYKo
0rOlicfyu5O7DxWN+Ya1mHjEJGlTKibMUMwaK7woSIbxzadBu/7RLlLvQ5vkJBQIKPbKbKEyZrY8
j05pvwaz725TwQgXiegXwQwcLcrWgr+PcWG08YIVupLPDgORKLWfzMwzQyGnWfNfs3+kafR3CTSa
kKOLoANWvMx4caobjDsuXYxFs9HmQlwJutG7xFpvcdLakTAYaZTrfbnY/kMTe82tyKb0N4nsdnvb
MwdATMhDYPfgU0K/6hWfxz0yUSvp+sOYpLldowWQXDvxWy9jbcX3CtjIAG+vbSPP2AE1xETkhwGM
AhLWNgPTbdpE1vS+H0F3sGWa2Ob6huvEfGLRKfD1n8beixB/ZmbS30nPaItf4LG86Ifw1gltKGO3
++haqzqxlISXASttz0gLxnXRfUAiXMeQY3pkCq/uZWskG48+/Dlzy1weDBoDk1wTgAK7YNDxvizH
tGCmVVSPHQ5t9EqRdUkDr9tpRFweU7tp3rtdu8B+7fPtaA8Yx/163sw+YwIHaCW6E2nrk6X64WTA
xbxFSFJ8R/1ZZGFe+9UX4BUKK7dKks2kqmoblaW/t5v8pXQBGYBH9c+2qooNHUR6Mfw4/VE3hf1i
9DUIza5z+z2boO6cj0uGkILBFR/9YH6lO62ORZUVTDEX9xebVQCrQpHbsfg/xqimiot960EOOQLA
wuseUbpybPAX8tikvd+fAmSABnmEfkl5JhhgZN5TTVIGVsaUCYo7G/KLKHr6+270Xxq3eIuiuXsq
qWuIi01SuLBisPdY+ruzacAjCOs+yvHtj253U1etDrbsZMTT6ETFSk3IyxSsRmlf+mZJPqYpeLKK
RN7XVL97L4GqY0F4vEfsPLrhNLQRYJ8IzUZol6yRUcIUH9PgFBeVeuKIAJfYnjnu6WMbdcgTPz9W
TGkFsibZP0vy7G9VjAw7MTAxI3x2hxObgmpbuI3HhbF8GgFks26w8DCXTvnW+cAiIb2y3bSzagLg
KSpmUSWxJvOxaxU9YZMH9oO3SPOtZxwBFsGq+4ETdPBecRc5X0thti/cjFBAumnJeQH77C4pE87w
ybZOSKut52SW4uIaY/x9HQd/ZhoYz5Yp0vTCorg5+oBzuMoLQLHlbIjLzPzywizZvBQWWyYG2Faw
cYzavF2KxXvG6d3cOIz+8jBoMyBtFnoUKmAC/CCLxRenVdPCQNTongaUY4fOBX4SZss0SSJMiqj9
iL2B7WYmKmf8RWqofOQ7RSoYoS+sojGzN0DCLPEpyTxyL7pp9fwNPi0A1gbVifiW9tYg4cB4cplC
fNNj/2wxmq0vhoG4OHRQO7TbJO5bprMI5SsSsfMqS4dzUDTc571mb3SxBoizu7iwQdUWeT1ZZyeG
mMSWNMhkOAiZxUeJ8XjnRS1gCQvewtSq6Kit4iTthguZvoCtW/PKz1WzEx9avm0+UYnBBRhSr9Wn
gnnnrTEa883Yu5+AMqbLTFDyQ9s46U2RgfAtisACI7KK4HsXPbnvTJvcQtrUWQRJu3V6k7ggQ/yE
zR+mjOLk+bF3ct3ifcjyh16wrMsdLn1/Ht4jQYVe86neTgicD7h9g5PXi+QnH1CohBzdG4fkpXeG
18mL1QTZmcVIdFBsLC4cppgdDNda9oZtqh+t1+Q3UzTYP1i3+93dSNjQ19R6/nKECDsntErTCHt2
ph3cWrmn0zuqeO/DtSxzOY8D+0e2Duymv+EgS/PXQs0TFjyHq09NpsyPheUNzQmFPt8ZnCtxbIbR
/+hjVYCecaIg2qMC680Tsjn0rTMxJyfQOLwehqpoYYGR1HpnjvOw5kynhklh57FDxHhY2zvpV6qn
90p4hH3ofP2JGXrmnMXkju23Wc7N9MOJ0RPvEgbJXwrKJlmFTTUiJLC5eoCG+YW8RS/hJz8QsznG
JUqkXzyQicpLJ2MEa0HW2xznLuK98xKQ7BqivZmSDb6ZyGfdUbPdcO0+9h/yKLLyTTrC3n8gGN2P
Ls6gazawQ5QsaDfV6O4MfqhfA6ri6o5VD5pWmRlot3DztdExS3NG04th8G4bfuLcolpDV4ijzqdZ
bUWjjw3ai1XwNfdHI+2/u6rNz4jNgp0999Eeda75rU4qtUcYj/YkSvUXErzkox+Q2/tL7r0aXbqw
sLLKQwTK95CWJRcmop08bITPkiwppvxzZkgH+tm286Nj5uJGkim+Y+b9xupm4Mk3/eKcMFg/x6OY
dm6GChCVKbTikj/GJqv6hKhVoEemLPgq0DyzABJ5sCtmtu5hhr7uiIai+znnS3U2Rzf6rJmgcAa6
tR1sEbU5aHJqVmZMVpp5s7K3ll3s0ASmJqlJhrnMe3IHkDyacWUdRCw6QJZWdEMy93DwjUDcz2ZJ
+m21WHs/7r778IOgFXnWzowyfTNU7Hq6pRS3cs7IwQVJl4ZtreUbYGOQz8LsPlnp9je5qZP9JMCz
FZkUP4260zegjc3HeMZ0FJqNHPfs+1lcW9w2Ye/2DLAZPsIdc2z6dz7we7dgZh8vJolbInqwZ01n
PdnRzeigoqG9zk5+goqV0aMT3HYd0qbIjdwn5FHZSxfH2WlVRTtg6KL+5GKkgSEjrBMgg3RLVGJ0
k6zkNzRXOAAtNg+IUeod2o/uYuZSRqTuNfV7yno+S2kIyj74ZkLa6s6dYbguhaQbT2fDtWv/W90k
gXvILO3gKvFzKN5/5BH8z8Txn8JkGvjfi/iefs1fya88/9X+de54/UN/zB1d719wKSVjR0+wiWV5
+Z9zR4dfMVe7McQXZojOajj+c+xoAIux4MEwUWcmSSCCYBr4p5dudfKvCfWr2dtmUsif/ncGj6s0
768WV4u1j8VwGjsdQ1Ccmfz6X1jF5czeJApEBNLDAQ9bSfrCaLS3WCyCzV9emf+LI/7vHuHrl/I9
F1ks/2LK/9uXclhDOEIiW4vmBB8+JRMI8P+fR/j//Co+BBDIwbxqPgPbv9lnm/9g70x25EayrP0q
jdozwdnIxb9od/oU86SQQhtCoVBwnoxmnJ7+/6jM6pZC2QrkvlBAooBMD3enk2bX7j3nO003U5qU
jIUCp6L8691dbSTBP/TCA/DxCGdm7YKbwK+wdnN/uGxMk8FPlTLZcp2WYxU7aMio9va/v2JvcKuB
zdsI2tY0l0OXkJS3wGC61iB4Sg5cgZhfOn3R1ZImqbshyY44PqI/QBy2pAc2c3nh6ThiiBZ5SYOb
RrKE4RRrbuyWHXRJ73//yX52YK4fDFHpijZAWrpG33Dv/vj9cSR7FQxgks8r7Aidqu4bjlebMEjH
iDtpJhoB/uXv3/P7DfLzvUquaUgFinGDt3wbSDKk9bieaxNme3lwmhqjOSnaLkw58bZ5QYXs0seO
FsByOQ3hYG6l5V/VlMEH36nTU+pDL0sgw75DDvhOkXjzuejYw02x8QTwvL655eRoMx7ta5KvawOa
XRPOe1dathGBuKNvSK1LiymxZutuKad7f8LCvxAF/DHIibgwXWe8WAduh0Wkaw6kIFwiSxKiMZwk
sze6bZLPevGMc6gJy93AzBMYZMxhGaGNu4t7OgZbGuH2e/nzvz5IIY53ujH8yKiH34acjr5QI7MI
hshiQXXJYeHQJe576fHr+vLLtWOC4pOYg3DYevMg0audfQ/L4NYgw2BHXNSEBZzk4bZxOqy0+Xsp
ML+udwAEGPbw+PK/XygPqPe7VkweT1Raiu2IuZTODqlVM/2Jd+7Xv7uAATAukrXW5GNMzz89I7Kk
69B2FuZin64s0AkOfbldv3f3vRkcrY8iqUZENdnC5Kdy31xBS7cqpXhKSZYO66tsNKdrESi5K7IA
hVcr6FtYmbPXmlqnLANx/b0hvPjkcjBOiXfpIMYTEbIqRauczqq6SWFWEGZueMfOzj/jYMuiJjH0
3rXiZYcKvD/36sncgYgcNhD0yBQtA/9El7x8Z/1jq317c/g0z9a+iskN4r7ZMcyBE7VOKclp4xZE
HOFItpeCLIiwtCFmBj56IH1ZFEjRfr/U/M1P5wOz8MH4EyOG9P7nn86WDmm4IKi26eykGCjwFhqr
7uT37/I3iyjbLugdhot44t8S+8dJlLIGNLkd0BCzX83TYaF+jOoh5PiA93gfs6C986Z/d00FRYeJ
jYCjnLV+qB92rtZT5sD2mCKydKHxTIAOwW8W9+Vgd0dUjdlH7dDWpbuTnX7/df/morIvU2LgV+Bx
8NZP9sM7Fzwjyzhn2XbmkEM+jYFZVXT6nefhbx7wkG0R1wObBEXUm50pUJgqHQGMuGRqui1sezqK
zpwjJPrJO7fnG+Y9qxbFF7dIyLiWeyR4G/+GA5sCRNHMLKT1uc3KKGVaCUI6PyBWQNvf9Pf0kvq9
EbTZzSzrB0CgtALIKjvUWVAeiBzXp4nzEyE/df4PL/efHw7JE8A75tr2mx86jN0uQOTrblDzpbe0
rqrLuAcO/Psf1X77q759mze/auMzPF+U6RL+Es47a4ZwmRJoszWWeXkuzBjVsxf3FyaW4AdENSTL
a4+IGSxvt6RkeBEqpq8TTGIs265zAuSp98ZcPXHxg50IxuR2CEEL2CKvds5YZPsqr6qdpcNv73yP
txsRNTV1sL2u1Tz6RN/9fHeyMM+l7BYkcUGATDLrXia/DB95cDMzyoR+VsR6UO/YhYkCV+Qeyhhr
pmuxch4INyyfWmUkFiJSsirZ7UWyY4omVlaxY92XdU+HY248q9vqUNEjKrJx5Wu7KH02yZCVnBiJ
0tqgZ6RV3C0QWX//Bb9vNz/utHxBGz5euFZrrNlifXB+ePzoG1SjgFy+6TTNS+whiBNX/dqElvOM
qgNSlUO6FRIFueOAM95lXsagrEb/Qiuo6j33nZXob644rCDThiXynTr3Zn+k65HgHJgFNU8zPZae
82p0HojEbkl2qD/nd97uVy4Zp6aVHOKaAQGo7Mo/X4BKFW5f8zBvRpyn02BdMI7TKPwLxKm6koeC
gpJsIXCVMuiKHS1yFxnz9M5j+R0y+fPvwCPBok/9yuprvn0u56CQ64kiQHlUAaI1i4SAZx/TK7f+
hUb2hM988fAQ9M25sZCcPYadhBrbBLsW/tGGFpr1pWVMdGjbqjjLZKfQmbkhLA26S8pzvzl2+E7O
5dtFlWMoaCzYPSsg0CRa5OdLZ3n4DJeY4AWi6/wVwv21BOq7KVCovvMr/e07eW7AwdZEUR++qWZU
h99l6Ebo6Eb9WtFqOrRejbEpNY133unt7st38tejos12wY3xlg03t+5seTJMthlCluPnE9o6bw8W
EgdYZtXvPH2/3OsWuBq4ZgGYLLbe8M3DR6C37sKxoZLpF/sAnAEbcOkemnYXlKDZf/+o//rNAA8I
Ahs511u+9Tb/j5i5KUD8l2xjf8EzHwwNk09SWTdm6UmAd+WCrpum0e/f9fvJ+qcbmxWGR4zzMIRT
6t43NwkIPWQ3BqqVqe4j5osPQzVdNihccxme59l4BogE+ch4QV33zkP1y13D4wQVzKcYpstAvtPP
92c5e3oOEbhA4hicnYOHhb4+ykvhj+/9kr9cXN7KpzD0XN6S1gmKsB+XUfAQqhNMexHYYEkbZFhs
gA+IXd32RlTk3rQZWzDi71zbtWr5+doKyIykV61p4lD+3qxdzLwr5CmKIphD2aGjGRkRk5icQXhN
Ds3KZAdDInKnvW7Bw190MlbXVqLDk6TX+M5nWb/hL5/F9vn29IvIS3pzLxPEhBiW33A7qcmIbNHj
xwk7Ddpcjy2uKtEeGGbRrvb3BEnQ365xLpj6Hdjtr/tZAAyO5ci1AIpZ/CI//xB4eVz6nXjXDKrr
G5aSlgi2ttlLjluREyYvhSfjQ0pcQWTnk3Xtxy0EnBGiPZ0D7+tUOYfvF+Y/TdB/WWux8H83Qa+y
5BvQ7B87oN9f8Zd52f1jrfgJXWILYeBg8kT9aV62+RcckKGMfYeDeRZ3/V8dUMv5IwjIkVpVFKzS
wQ9Zbe4fHHRpmwZrJ2jlaNv/pP/JbfvT7cwO4KC28VxkaB7wQpCdP99HouwhHOh4g/IZbfphBnIE
wdFuzPC0lOYckD+Y4I6YhqxIL7USSkUYlWR/ArDCEgM9qfa3k+3LBwH7HjNNMSbjdQjRCs05eBGb
3o/uzOCsVVYN3Z1GsF02vAIwWWT17cJ0pDKNbL/a9fKjmEka2LZm3viXbt2P5nbGHYYsilRG9NDK
mK1N42vFqXFahxuTYTUcNbB/c5xiSKo2GgXfJegJ4/NiIJ+m3huxNXmemBnshsnnAkQTwTUVhodt
TXoSf69yYxLNKa+hZgWJaI+uofApu8VYLds8tvNs64x5KKPZn1QHeUGMaqMyDCN7Z/Abf+eDxUDq
ghlhPpLiUX5CZWZfuanbWDuF8P1aLir8krJ4f2rIj3tpY5sQVKpR0huYNwEKQTdm+Z9im7f8mFiM
jaFIjFN1OXM8qphHFjCI6wbZXaSxHgAIIn60uXeW3FfR0i4jrGaxhKBBWhEsO3NIEarmng4emwav
4z06Cr1cernUF6EfB9jUlVG2IBh6TTRaF3f9NdoTs1yVsQExIr5dnNu+gyQeWdz0qUbEo/dYXuBc
b+jAxY9Nmg/ufoTuWh37OJWoZKDcOjuyVrpnAn5JgF26QHxNfcK+tiZpNY9j5aknFL2Gt7NKEnkA
w7TdNm3r4GuPwpDMmzFjdZcQu0dkjRWopjrw8EUEiGTOc4/5/8by9eztZe4LonZdhoRIK/1BkP1T
OWKLzTRFg9n7E7L8TvdH1RjGSzoYGZ4GzNznFtCkOwMx/itkvQ8qS1A2pb1l2ttSBWBBsGBl93ps
apJNVdHtyxJHIGc5iavDxzr2EXUDFuTCpWmG/s/z7oBL5Sj3cpJwAVOsiRFDifBoQ0pHjytyqqZP
U43oeYsnr/5qKyOTW9I2MektvrfcdqXv8dksKyNi1eEYvCnrYSmwZJgSm0gVf43Hqr7mBG49Z+aS
Y01KVoGFFl0NMm+IvYJ/ZuNn/CJ2tzG1actDjIMXesUcOs1GIyr+4hpeez04HK42HR5EhppDE6jI
lDEwgSDtGmzGWACaM1tJh5gr026ybeL1zojTZ+SUZ2eLtXwqC1jB1Ygu/IAtz67PvUAnwDI0IrZ7
DG8uY40Yy91mUHZxYwFuu4vntriA+KriKJWF+dJ1g73sE3Qm1aYf8uBTztD9Vvkq/NSI1Ss0tJbI
TpjzVHNKx7K67soGekJV2jFn00zk7TZUQfLN5iyPPEh2+AXpKiy4xjs8Q0ysm5HKb5rKD2OaYNNz
7HTRILnK5Ik5Pr9PWOaZu5mVFeBMnUeWvikrsY6W5LmWm9RBTrpxraS7DIO8+mDavBvxw/n8CJ7B
Sa+HCnUl96Gvizs5QRmJIKj4iDyDJTm6Nr73A6Mwj0Q16U8l5NlRztB0SQaOUGrjB206fPMoZFxE
EmFcJav6k4HRxgi100ZubVVV1A4kcu0zBAAYnxCL8u3CzGjo9zXQsEgqyS5pfDvupgHlC+QWhkEc
BYSM+PtZGMOTAST+idwZwqDH0Wjx63Q2bAc1ZQ5cG9TdpK7pBAyuj5XsukRn8tzTND1vpwQFThJi
Lt8Uc0t4bQ+Z444bdiLaJsZ9t0lc0vx22Yx2HnsxJ+6o5YGrN44D2nqLQ5d0kNkP8nEnRNum13Fq
YjQtNMazxRbJXUZKDVqFeNH72u5YkzuXnyCYSzAJ5KH1tGlwDjbnqlpDars5T/TOZQ/SCHDAFO6D
uFIhmpaq/oxIm5tCZ8mEdKgLxV3P6B9xZesjxi8V+x239ZQ9ZZmZ6a3k9BtEZFBkD67rq37D4aA5
iyvb6ndFEhDvwyAe4SerKTk17Bkr/6qj1bZRRoWBaoL6gFglaZB2NbldPWZ9GteRUKZnYV3zwFUh
020f7awJja3UBTffkJlMr4hy9J5SlRbJtmxi0t39nMytjtyHdsPByX2ZwszsNuz1+RPxgL5Zn9yx
98bxMfYrHmistdJ6GVVVX+llAS1kWwuEph7n5CEmW/g1p4l2BYnD+2Aj1XsqtS2/pgZr4XZGuf1i
4cTBNdeY5uPU5CGpwb1sXt3ESw/TIppzeJzLZ/RK+jKMSTZe7W8O/lag5U3UdWVG2d011t2sFuuj
7xHkjsynKcINUmjxKe4cghKgWS93RWYsr4WhhjOL0CBChDNXHUaiMTU9MRFeY1PGCpwzCvE2A341
3IRdClJLpYN18jTExZ0GtsPSyEOTbWI9Dg4PyuCTsgpCZVvINfmrjF3V7dcAGo1KRY4VBrTCvEzR
l3/tJzDgCGFahwjAspyD28RZ0K70me84VxC1CKdiGjrOuCpz0gIt9vghc74UoalSXrgoTE/kmVXT
DQ1DD38VelwdXCShNeDLToyBNBsW0Lh+8EukB9FIfib3QCGm+IhsQyJ1D5PKRMZgwG+5lfCRra0g
jR5LqvDDGjO10+LM6ILyvFYpnLw1RfEr6bXj+GKBvususO+VnCuaDJQe5AlocMTQx876SqK1CbZz
npPSyOFsmiRSEK3tI8iNOp3FcbRMyoxBfhC6+ZG2pOHueoM0wAc1DzX+xTg382OcjYmfbXxWeXS1
+OWdq1DZkK3SBUHPZ+26YCTAJITusdENSqTNAGHShV6Jkq+r99LzBvNbV7CMbQywPOZhBgoyLtHA
yF6RDhVUbnABTS+eX1U44e7Eb4kYWzlVIL9D1ORljEk6PKVhQatnR1IrWqxoMWuz3Kdjq8U5whUH
SwXQi+QCt3OZPAP9RhhJ7iVyEziqldpmbswHtVMdj8eJ3EVnQn6SOO6LnpQuz5KCaMYbppYmmdaU
08ah7jtlnsXtTHCWydxaHMsOrN6+gzWFHS5fGmfrLH5mPaJLsbMDExBKYW5kb/oQDDnhlrXnQTXZ
5HbXCZgLlvVpIsDJPsDsi19NHOz+ocacMLNKYDEh0wgbMlgcbuZIDXhz9kE3CHWsS1nMJ645NJjZ
HFYKkCQN4Dpn4SnP09zW3wzK6MtgisVnUc+m2FvoebK9JfvePtCmpNUMx6Lm3CsYSm2blZIbLYtY
BfIEjl61KHidHc1os90CSkiSC4MvVm6JliFVI6DUnjayFd0za0Km994Ako9VxczcbUK0VXCthOYx
t4LSaXYuZUdHtaYTh/3dZmRBh8987RAeUsGTDkb9XSyds0Or19FahVoYR74lEIRn86DKAwWCK9FA
TTxvhLux6rXsmx/cMFs1EI7bPeDLzdK9noXytnIcSZ1H9TT5u1Zk+V0r5/S1tlHvEz7uY3IPJ3c+
Vy3y2E1PSa2ICBQuKgAJ5XbTd/4IKy6s/OCMWA4usRRm+tGwWlLTkMeT+qYciXq59sgD3Awdgukb
R8tEn0iwyibK21k35+5YdtjK0xgJ+zIaKOLpX8GqLeqcJvmg4ZBcdpgZaOijerfPoTPNJRePNNLd
oMWQbfPGGo3IMPkVkD/6sC9dNHLptuCPlZGpuzTeKlcWPZykudbbZOxnEY10iCB29OH4dTCWkioa
1O+3hOnKCiCpu/y5LWndyQj6DYeLuSf3EDuABXx52zViCMjZSpRPLlczKI1jHExkaw17jh2hx+jQ
S2wvBoVI2iKkTUfZ26KAVXwdsObHZ7idcnklZDXlH4U3Yp/Y1tLBbr2VFP/uA6VnDl0NZEyllj8b
aP/pHyCicn/XP7gbv9QvP7UPvr/gz/aBY4IVp/HFwCKgNvkO+/6rfRD8QVGPtgpZJm19gCX/0z4g
UYszILNwBke8wuP//a+Ayv7j+/gDzRV9PLZaRoT/IO7E/a71+d9+mLfO/VzmjauQioYgqRU/NxCI
6kPeHop7VaQeZ4ewDBAvxuGpa0f5aNuKPSj0y6vUD5rbepmDy9HypmcTlDBRqOxrIq0KtNxOfyXV
MD3ZUzzez7QBH9au+17zVJzYynPKb+sB0iJMgjHBE5D2yW1c6uXcpQDbpbPBmQ+bAfpJarFdnRfq
5GiyrQUr0IWTpcFZpWjLbVSZOckey4+mcuVZ2BGmPHyCMTjTqU3TVkRZLbzPXmVNOiIyC/RJ6Tv9
tS2b4DzvPIr/OO6rM7p9IXjHzofcOK3+gn3lOwLHWElqIs0E2qHQI7IjPU0OmbDWmnnjKbe9rZza
T1HuYBbrma5R46KXvK3GQhz4KP1lFbsej3Js3bjtLFgisLo2s9ee/CkzPIYOymIxxdO3qfMkUq11
xrKH6tXJrlwAwOe5a0WV2U43o/gUOvpGZaxjOdNmv+tYtD/TGRlvKTfOWPSf2YgunLpnxnVOAhJ9
BvUBvTFxilruGNBvsI/eY4x9gc8znHVy/NSS9XHS7WBfS5fNRuAm5cgo6DH6z7Y5BRe96s64VNcw
Je+nsGt37qCBXo0z54c0ec5zVqG0Db56di63qSemL2alXnxil7ctBdnT5PVPWReeRts4A7fI+TyJ
yzv6lhzsu6l5qU3/3q/lq7tYHwLLvQeJdZwxqhZS7nuiSrY1bq59Z/dupDPnu1uNP73EjdznbdAe
5wrVNAiUO7+tHmRldRe5PX7xgKXgzohRcc9cU62jURYLoEsw4eeOxgEyNdlDn49o2WkJJ5wAR9Pe
xaM0X5uR3wtHHAHxKzoawQZk8RJOMxEZB89g2jvoU+eo/BFLx3w2CX9bpBCthk9DWfr6BZbCvUTw
lNRPnacIMlFDj62kmtlb5qC3d12bBtvJIFSeOPk178SjtRtsPDZzOjjxrM/q0OCoNzmcrS6sLu+/
cACsb/oh8XcBEu6TlyKjZccnBo2eBO28LK8jbLvVo4GHemMjp/JSzqZdoq/mDEo9kr8bkXMSHuf+
yH78kSbiTjrVnUP+a5XY9/kCAgVvFTDS9lZD1Nx7U0+Kd1j059qhaVK62ZM553uEbGQRNLTTUHye
9bQbd7rVF3WfpsdWZxeOJjI9UMsMoy5gJmkHNAZGCvzaBOzk9VdVIaFaO6CEC5g8EYIV0iYHxsmT
WPiHuxCUWrTiUNn9NYw5ui5TF1+AyXK3fVVeGGpBV15LgMP48nYwsSkj0Znj1EjuqzQLTqCf7Aej
8pJbuugxMDEuJXKHeR+KsQSjrPRLmSU4AOTJKF+BhVgPZbB0Oxi05M34bn/Ci3BM2+5jW7v2vqx8
lifHOjL+jrQf4PmauB5mjkq+zwHjDL4cEQgSJt3TPSMRyuwpZALtw4KA/zOBaLXq0To4ACie4cOL
vU7HgU7rYj8hS71LivoYG+S24q44Isl+TqritiHvc4OMKCIKFxKzuu8HmJFzBfx5NjHHwJDJD9pN
gGbkX2MuXQQvhm5t7H1NmUfNMOrLNH1M2v6riwHnuaj7Yy5dskxHe+1dbYEHZ5y3aE3ZZJG4+qq2
vDvD6NutaQwOsnB9hN30yZQ8jiYeq6zQG+xRHL3GiTAjrDG1LI9kC3tXuSjbG76O3E7Nkl1VuAx2
uZXHR+RM464JnLNEQZ/yKewFSoKjm2aPJlONRtn2U0jmNb+4SOMHBQbojEicdF9l0JYgUXJWUXHy
gRPUx7xD/mWmTuT4T8j8SGywArc+tlhJiDdmFvcxZf+8cZzW+dDinWMMnzxbGVYoH479jChuQwXY
bZpFDAc3S4DGcQr6OjJkZunB12Qrzzi1IR53B68mnt/B1F/oa1bnLvlNz+T2jdNmsj3va20btUvp
7CIsBqvneFTgZheRUy4OKI6GqyaTRXAJPNv6oAsBesDNDeNQmd4VgCV9VRE9lTJ7jp2bCR7ZVklp
Razc4T4xZnkaAfOccw7QCPGdVWES9uUV0JB0P9Lf3hoFIb8brzcjJEBrIz/E2OVl2ZE+63yYAld8
bBOSC6rqioPkUeqE7t4RFFF5JOq7Pjrk8Wk6nGDQ+mQ4Dc1I9rH/iie/O3cm04ySqfShKk10iEEN
GcdAjfmepl28F3yXPhyWc1l11k1Pannij1wCvsMw+Y9qGlGGAua6W3rP3MT9l2HJsz3iToGPb473
k6j6SDFWRYDXj8cchcguxpn/mJhF88UgoPcBTy40xXioLmGG5Y90etPTXNS4h5wsORvzJj0r7NC4
Mko53xpZ0D5lM+d4sIrLzO45wxco3ArP1Qg9U4Fzv6jo2TwqpgrPqeUTVLJK0kwwOVHtxuY+qIL4
BhxGScDFetSGXPr1e/H3nzr4Xy6j1P97jLZNv7z8OENb/+s/a2DbIXUHxkiAvBhhOwqMf4/QmJNB
0WYUy8CdVuP6kn+jS/g3KNx4mcu/pdBl7vWXhUD8sZrEETmhvUEHAyX4HxXAbwb/WIj4WJTF/FHG
dUzg30zfm8XXbmf5Z0DXOgMSh4XS6MQ5MCSrLU4tnFB2xXZVBqoqHpywSW+zGDgSSdspzpoY1F0K
ai18wHrouUcqISbHGUHbxfmiEZqeN3Xe3dliZRT4SR6G+9ztOMOVy2KsZPWiytp9j5JSfkgRhqkt
VadlT6iqGHSR1ZV47O6q9Odi3vo6a86ZAo19fyLr2qy2OawqI5p8cziyyEES3JYQfSpO6DyaYDTr
mzRr5aGuTM7Wk2segLM66WE0EPjZiYO8263nyF9js5nYmDAOeIbMKxQ+FjM1PpV5QaR38YmuRFgd
i1Ix5QrqMv2Cm2eJYGniCDW72r5h0g3YbZZhIxk5eksky/iDrtO5DWikCEkoCoYyy/jI8AQetzBm
527U1SKvuoJsgE9SQt0FSRUmd7CM4Hps+aAt+1WtdFciwBMVsucYv+Q1q2mQ3pnGjLcQfJZVty9T
5uXfus4wGT4C8iKtB0Sqm9wzQVDenWdIt35q8YHPsMtTaILORLvORPS8RIVsntNO0OyiHOrW9jpa
+Z1sS//anUuT6ViLe8l34irbw+HXlwERPvk1qliEA0Zv29cdtkzjuPipkUZ5Ulvzh6Axx285NRtR
AzHdX4I51CiCnZ0k7UOXhZBTDZoFjGd9DhhDxsFqLI7jjMbaUzNwiz7vp10W26lzD/6qN3GcCbea
9ln2fZpbtkgASWepZBVehtijAMLVYxVSwU21TarRJoUyojjpp6iuz2kH40+nS5WRwjQr2vbWJnAC
yWABBmpIXpJpONRZESD7luubVB4JyZ5bit3kNnZwrpIRkiuxb9N8ShA0EJMEuNc415mPkGuK/eDG
jgkfPEOQm6dnaBW6eNPFSg9Rn2ol9/gCdHkUsujqU0/B/eiPwEzoN09R00z9YVAM0kkFaMWwM1u/
vZirKr0y4PHsFcNv5mChrK60k8xgDONltUMaEEyG0pnvZznnkqD5Wa6c2uE2Sdv5mgmjF9kFHIqr
oO/0LTNBcktA+dTFyvRLHi0UWkc7bTyuFYbCdNfPFbvOoJGcurEs7+2G3u2Gtn93ajvbvcVt135J
6sR/irm1mAIKY8m3PRELRBOYy+IxJ2A/3ywl596T59QciwOG7gajlRAzY9YXhXEBAFd99AH7PUxz
514FBVdaol2Oe3WabSr67oPSI5CZF0YfebwUQPDdVFTGpkOclILr4Lns1PCVVYFM5l0808ukdsod
vHoJhPtJc38y/igQmR8ItZgCKlGzUxOsBE7ey+cVNzDa52nvmuo+7HMYLQoqI6Bs0ltye9nFk1ya
6lSAFdLNK/hEZwBQZBQxQTFUnTpDAjXVOaUnlLFgkPWuxiqPcXEqTSeszmkHdxYUNr+b6PCN1qTc
vaylCQ5gckZ334Y0pzEzCy7+huq5eIgTTp7WpfPn0ISQm2B2tm4gBUpPr01LE0L3ahRBPOjCd/AH
iI+Ir2u8sLBiVdNuaC+O6Rcc+n39SMFf+09LSbrPQwDLeNprSzfyMixUJi9XN3W2CznBEY3VjLrW
NzKd9IjMK2/kRjHAj2ppUaMCTPS/aAAACYt0J45VmFGSOgkt0sasPqf8uJyXJoM5Csyf1CvbM2co
jftgxmZZp2VFk77Kif+YWBeApdUMfvhDlwtElLOg8IO7tO6SaB4WH+yzg/2SbB5tHEJt1ljix/7J
cSjeK4nWYGM4C0kVDFT3EBdgUZp9bR2mKiwfyVkS1xTceM1NVB87u6FUdFSCmTsV7qlWpXGt/XaE
4WYXxxi5x2Fuk+BkklbFPJl8zs/DrGlUAJuOKs0gwAz76gjamWASlnOD89gyPxSSlBpUf0xGq9xz
Iko2xODo0+2DTbA6LZPZDvcurdkDAF3rA+bbOxR1y6ZJKn3WavPVh/XyAINQrGYB4LG1lM4pRD/w
WM65X53PXGvaIOJZWUUnP6cAXpwznQ9D9xKXTt9ctlnDGBNTDT+4D4bqkSAuZmQFiRHzU0bDmJwa
EkSYunJccuNLEL0uOqqsz794aHiNT/5EdtuFrIs62Md5bsQRD4gdOSO3zKZPbIF+OMlG+iJZX99O
Ym4PJNyVq7PVr69okk8mA14XZjsOHeDSjDCyYWORanRZZgvEM6tgLYXFoQ45A+5tJxUxKkmYGyt3
YL6B1+QuO8AOJowIcFPY4ztaCMWOtpqzNypyywm18LZLOHQHMCPBZ08vgEJG185pyhn5bdV34iLO
i7XWXYS37YswkRvH5RRZGjixMqdov4yTscD+Zr61j40RCPvizcX9BDCU8PY4VV8Gn7ic5FinbDOb
nInk8rVPvTS9igsQBPu5Ul3AZDKbzzkp2ICXUd+ARs1SOP1G+jovbjIf+qUmIYoFEvXxzX9KaDWf
Xv7fv7zfKtG232olv5T/9d+vMvv6pf6vf2ds/FhWr3/hr7KaQpjblgRt9IMMd0I6t3/Farh/uPhu
GdpSweCScXjNv5VptJbx5VLuImIQLrkX/1NXwxG0kdjjCUUbiuX3n9XVNjSan6VpMLjJI0b4SaC2
j1vNp7r/UWuq+1x0SpYHMC9Vwph4RJFiHMmT7HeGsaKSJZlpPb55sw31Z/S3QJBGX123Ae5CSwzT
tUQtTgSmARYjia3wEcnQs9M1iDaWduhX5Yx/EGiJQaaMWb3lYfW+CSefz2j/+pzz+YtTl02RoWEH
FLYVzT0+sY0UATB3CqTsNLt1ezJ1Oz0mXqsuOsKz7qBsehc+vTYSAhuCEkDj5dulk/k1AVv+hzhN
58dpwNundP+CDJu/2Hv26hTJxbFVg3M5+hSZmcVrGVTWO6xl9SUeiqiPSwU9sCoILNQvOaDDK1FW
mG5AwZ3y1jQ5mvcvRPURgVBX6rpRRJXllmg+GhPQ7dRLgNaka0LYnMHghhL4mhnZ81ABA19faYz8
RcZ63oOhxxdktPP5QIvjIgn4yOPIm0+gR147IxPHLCvEEd7qs0i4gODnimsZLIuz/f410lr4R/qW
zcfvnzJghn1t2uDwWU9exoxXFaQSJa1jRWjQyCeaPP+IPcGKEkN5r25uNh9D7cplm9qjugbPbx7B
9hbXtOjSkw2YO1KCvzAJ75VflUGXxZHrZNKRWum/lnWgGi8+OCaXOa8Q0/hqGDlW8bWT9YMrm887
x5Lgwm4urkfXB6nXcMddLWjfrqXBx2dyZp5r3SM9mMmFg1ZKKXEcKI13tcULgCiJETp+ar8QrCaO
gF+oK4gih9z6/cfrZmVuZCOKw3pxcwALx2WqwHO0ayoBbbDnri55R2d8qWT+LKlRtnbnNaf1spIp
Io6hy1eG4kHx3FXPRDXW28HgTUWb+K9BMMtXz02yk9PwgyANEMfc6V8cCmpOYMV8Rayp+9lubK5i
MFwVyhsJUTbH7UASw4b/9JHsgxurjBuCQrvGPsFyJGJLj115LzsldgwjxbUBKe/cUnF2EMMIzIJc
RLiS4BSAyEvzmgMH1gwIchcVtrtd4odIOkJEIXtczAxAeWyvUHhq6nKgDqvlkIiNsIqEreVTVkyc
at0pO4VOkRIA6QxRKsif5GQkkpcFLOGxFvUUR57dxEfBjP2FxDN2fzU3rb2RWjUICCS5os3SA+1q
wQKjbftGt5Vx9xCu3I4pJJmAID+oG0F/PXLDBziYNjMUUcC9i+MdhFv4t505Oh9bjfUnd0WzkwTj
QvpwZs6qAw/CsvjyPCg965j8f/bOY7lxJs2irzIvkB3wZksA9BTlTW0QUqkEm7AJ+/RzWD0zEd0R
s5j9LP+qXyqKItLc795ztWV6XBI3v+NTP7x1qYCTOVvtGBRDO4Z1yzWY0U5zdNdJ21KtMCGdYcMk
FuW0ES09xp1YQD76tZvy0VL+/aBlBcDtwg5g/xsXpL31Lmlm+NYxODM8KgozjYYXlmUjDTrAjHB1
/XEPNnFqN3FFwB9nVx65U+7ccY8yr1rFGE0DV7ptvUELmAInx7LBU4VnY3YuE90lX5J/drvMpX0Y
ZP17gHT4qLNUTptlnO1jKW0b0rp/52SmCHGAQu5v+2e94neLgFp1kanFf9MGKKL8580Kiw2M8Edo
ZIZ1EAYD7qGSDJqE9VqDUL5PB12/y506eyEZ1x2NSlhffc+ZfFNAJtkIR0t1LnGqOEqIoE1EF5t5
0Bv9pdec7M0vXfttaBzKUGxifWpKn92sqiNHKI8PHOYs8IHLPiNlmdMjlqojBuL41TYw4Wcw3/dw
69T9ADNr30kPb2QsbWjoZqGCKW+KE5QRcXE6N37UkGMCLW4winTaYG1sZ+LM1kM43TbDirOp8bLy
u2niP52ikCIV895MdRd78Ip9tM/8/SAasoYezz5GOnBxW23GcWaknfPW55Vx0FVF2V03F/tuTt2o
HzTG7k4/IKf05CGB/V9TMLNbr/Xal2RCVqBRzz6mKCz3STKLII2VF3a2NX/QW5GdaGBlnNoPftQX
CWrv3HKTL4wySm+AsaHDYazVRudSVpp8rgPsBLtjJJMZLTbQVbwXawzobu5qwaMy18VxpSqGmwYY
cKMzjANClBN2GcJQV1Fxz61sxI8g4TbSEL/HOMfjDW/390gguYPJuqGWCfS8sE8lbSQhivR40JzF
3zdxScOhV9vYzqSkr2ZYugvlJ/w6QPjP2qYZTf2U0vB64jorAdV1Bh8o3W4fU61J9xxKpkBqMyg5
YKOHThudt27UZCQmb/otFtr72ql57kfyu13dyJe+8ddX7pXeaYGKf3skzDtIAySOsVEYR0zprb0B
HkUMyZmE/ZBl/bK3V2EfZlqXzvg/1r1pIysYRozoe6uOxU3nRga+sruYpkYMtH2LWD86IBw91lat
5oHAGHXoRvfYY4w54tP1rwYNi9GMbWPT3HYq9rv8YKSwv0WSPJbDsNwl9uSfMrUW38Okk7KM7QXu
V/WM75L1WTcmdCdDQqFaqotDSH3TL2gHcW6R+hhgXciyf5IUX/g45GN3K4t4+mN2icTjS2NYj9bX
93ssp3CP0OQeNPg9gE9E496G2YQ2+7G9+g0uXYoo3FNPX/Cr4cwfYumtk7bgsqNpZKi2YAnlQ9k7
9XlJWNSgVtFBFUMP7uysfjSJmyWgJyj3MiBJXVXdPqAbAjNq0ovmWO0DtX/MRmP44JtOGXub779l
THo/0NLKrLQan6qJrgygWNMuTiXcJ/u1WNz5XmgxfdBqLOnqSMaAFmGUFnNjraa88KwuQdLyIe49
6zihFwaSgODV7dr73mQDyKTxTEVD6Mj1ixMsiA6Sn9vat39heuRjqjwzajpN8NBmDEioDQ/AszyZ
mUvbFjk5BKJZO0p8fRuOaSLQfNW/xlPqnlhpqkifTH1bDxZT+aYYv9ZxrkkaTPRtxF7WXVEu54Ng
tH/tK2HiCGSOlzW+v0PMGm4Fq+sPBQ3HbtLGJ93u4yu5CXFnVx7lbFh3t2NiMndt2eecyTN3eUuv
GeEKOstq0HWjKE1IluayzRfH3DLOsn6bGbhsAH9LGy0mYL5S9S8Omxt4bPyRQKx1cbCMYUH7qIUx
8dQYSJ/0gcOCqLQXb5bO70Wfy23FwTewKSuJ8HE04RIP/W4AR7zNPHfemvWMrW303ACBWIZjMR+B
LaEcDjzSR9NWF4DJJqy50ol6yhCOOb7LHTWxl5Lupk3bOWrnj1B8BVhp9K7eeTGVfMs7Sr9X3Wgj
5Vri4EhFJxmF4wAUF0lo0LECOJpdIEGdbhwMDcDP8i2oBnR1FsVAT9wiFC1LXFLb676GTLJdLakH
46KoeaIH/ZSlY3YaW/hhrTUNe5Ls3q5Z8mwnrFb7XtLC2eU9ZlmtN5eInykOkwy7iW2U6/3MoaAq
2vY30DkZaFn3q/fNbGNZS/6wcl7ZEZy1zjU86qAfidDY6ZUrNR26c4pQhBH5adH0K+1ZqBgGilQ9
LN6OjUFhOXYNML2+6H/782p9lOxuv+N08Q9VM/LpqrVVP4Df9PSthrmedbwQ5kVR55Mx1bM91Ihx
mE6+V3fUXZfmPU9sc9BXy754TYehH2kte9dcalZtuj3u4jFWcbAs9vw8KtF+YicT+GJqsA+0v9wP
PfBVRNH8cjPZn5ijrjE+ggxCSdbTDjOMevtoW131IH0hPnTA0Vqg2U68m8x+rCN2FbgbFunye1AZ
4nHgEaUAEK/Zl10X8Z4zYf9qYwelP6hfl4PIeuuFVg1GzNBEEVnsFrb7zYepgPHNWOU8737yG23v
Cg39qKtU+zCmFMQwso9nYGcVZosV1PuX6Uj3m41iPdjZONKa6iTpPdLfulM1n7xUZzJftpP7ivw2
RagX2Ji1sQbT65fyUMV+fp+ZVUM9zAheNcg8M7+kBdxFgQ/Dcfv1mEJjTLnuIEi5uXFrlPPLR6Er
sMgcrJgKeZu0kZ9F3iSh7PvxhpvLIjdVDL4df7rl3rFlJ/Y7XMYlmIT+goWIWjx3/O74I9iOGmfG
emGRZp8+D4DUollwO5Fr00et632qBuhd243DPkFvO1uJVp7HRH0Wg8STrg9iO4+cxhPBYT3mQ/s9
KqsIEjk+umuz81DTN7zW14X6xMCYimMyOBP2RenDh2nF1pe3oc9oX+a8zy7wd6avAmvhXUlB+I8O
Vf5hSujW8wlIhQMezM26ZEk0m5rcc/x5QOL6teg5+lI2JpeZ5zVccyb8FGE4R1e3k2OFKB0VpmVA
RGjPMyn7jcalNOwSq941Il3vKDsp9os76q8xUxhku8WBiYrl1DbUeSyWb9bOYrNWqbeHPbmtO4qh
NV9uS+G/xp18LublSSpbbqlBKoI8W54R+Ei+MOmoxullpjQHi0JufTRTup5qmbv35hJXLwITycZw
zdd1GD9iuVb3gw0QZXHgPaEJr5emoSGpHb6zxqaKU+pfM43Gm3nwx3DwkGq1jnT9JEns3EZsL5qo
5TnnZzvUnHfBGOZPSAwQ8obiljMr3ssM0G8+r1cUBDOcs+5rybQvSE+QyoX53M3skn5chAUn22Mu
C1wCdvFL4EcNlG4/xZP4oasvnNf6WmvzB5z0EeV4ugdwTfU15INzDFv46CiPMkvHDEvgGOGKVB70
VbxAaRJvf0FNnADP00AVVDEWLstNm0dAUo2LmYMPBxBRH4uE06TSGvuI2R7BwmrKnZfk9CQKHXe/
VW3yfI4jLdWWqHGS5kAHeRag851Ne6x/z7W7FJti0EYCavoa+mxyIUbx+Vkkrnfy1tH/xVi3D0fP
TqKxJOWrGdz2ffO3xs51nDAYGjaT+LK+FLa0r5jSx13OWThABvpZsC4fpgV4pRI5bTr1amzj2Odz
PFSn3PF/1db4tHYWhG/fuGSZf6Jh/oc2xt9m4myrtjgaro0oy5kiU7Z/rqlmz2r2TZScOwZlO7JC
oTBzvIAMFwmCyYhKyHqbqeWVTraT8PMXTLnTBfeeeAQ87VF4Vv84Rb6FNfdti/UAmj0NC5iGgbKL
uwFiMeSUpoPbno6R0vW3VvPfiG/hDwZKM1Y23fBsc94AQLj2IL3HqM0ltqlsEs4Twx80bbDJHC0/
Co/MAqFsa5fM0zutgKGkgwf3hnOH9YIxQI6jTgz1LrZcChnA2hpeam/MnB7rUpFS8AzoEK2XKa70
6w8fcNA/+QIiv9Z2sZxfGSfLByATw0741dGDWokAUL5oerKTpBIimYHTNdpXyg/OzVDOR0Mb/qDP
QYBqlg+KFHu8F735bIj4TZpifWhy7QPoMcvV1L/ron0AEvJHWvKt9f2vaUl+cmxho+TmYtJHbvo/
SakfvBv1zSgx6yRMKfHLpI/roD7Tup1OoF74tDXmsKVT4nDzQr/TXqY2pKiLqwJ4xFlRi8+urPMI
Cx2gsYTWw5hKy7BArd6IDjcXOx5JMTx4O6tMb2QQhtRMQEtb7MZGHufe3HW1dZQV8S1DOPs2Wb8r
AMH0XtPsVLTriYJ1KC7Tk6rSPWXnd5WXzhE9o9vBLNlWh0NGQAwKkUARKHBGlSsM9LKqnWs13PqM
3GSTT/oTJMEEnWnckjCtKO7Qmm2d+QEh1Ue6mz4SRt5onlybSvdelfGOKfvRG50D1VSYEAfOloxl
aKXtjjMuqlv+DfhtD2g1+XRucU0Ai5z6ph1iU/ziKjrcLNsGvMSwbBxJwnKOfxDMS3kednyXR4fR
NZWCsERXG79QflBEcILFw3CV9I8j9rYsxmKgcZAmFB/W+frSrMmCkz4TYVKgZvRW+iDZtzZZsbwa
c0oPQny1AILHiantyiJliFIQDknA+3vZgCGiSZ5pvaWWzhk+GL+duA/TS1VJyN21jouQpWw3G0kM
h8bl05umSMJ1A8N4XUv3s+sM7uAMSwLlChBaojCax74ZXxAJ9V1PR9WRURGpACCWO2xvbRnFVd6/
rgLrO73JNQIGyA8uPx7x5YasDxd+tV5qUtuHodbUdswGqCpViwsWFXnemEhDkW/Y+tEplP+npC7i
EOO8D2Xaz1+qpu5TZbI+Wn4/XjipVt9LYZVvK6MYDEVrdlQuyjAaAQge0kayenK7NP2N61j/QGKz
9pTUGPeG4/UvXZ8PTB5XgR0tJ7WGTHcs3WI5JjX+V/9mzJ2y+pWTCU5oekhDnRH5kfLRJVxq9WfV
RXnisbW31DnyBi/4p2PPme+9wa1u60T/iEfxJhoph6tcqndbj0riSHe79VqsTUw+mS5CMsrp/S1G
urca3X8vBryMGSXOBODS9hXkcPUMIaj4TJaixXFWq21asiuZkzKOGm2jD2MmePWpGLKdodN2vDGb
vP/Iu5QgiSJmvukMr+YoTSeab3EN0wY17crOHc/c1hEceththJg/Kp8yDa8ZKbLIKkX5YWbHT67R
+KE/tQSx5NzuqZktt2PqgnfLpfXgLeufJcnjCz9SfMjrftzGteSkoSVcePVEyw5VBkieHaU/AcNv
d7U7GMXG7Uz93cmn8cKlo4rSW1HuYiERYI1BJjGT4hEi1PKU1nVywAhXfg+Dch9Tu38Ho2j0oTuI
C4AIM6wyjvH0DqzHpjIesPmlQTUsNRGahIe7RdHoeEGfceYtT2QttS39nze3zTLvOMYMHyu6wcmp
qeypDNntrfZWN6lwPBqu3p+6RJQvLc0CgdRZsRvM5+CXS+08sP+de0dYIeEDLJdEknI/R7kZ7P5A
v/ZwwFLtBaA5xTXV8l8TmZ3N4mRPK7W8G9m0V1VqybnRSMUor3om7Gc8Qqsy0JqrGmeTkgxSSy4M
W1g3KiQRjQ3VyqtDySQcTsBanDunLljmFNYOHIIhMC+C0TKtRkprmvr3WozDiWj4wo1hEBFsKH6x
XZV3x6TDGiJgYd0+mVESOzpdng21d9b0hMVHRUOutezmNEvmdKYfKlfmYebndZT0SxkOSZdA64Th
k8mhwtY6JscsL/XPWeeOqIwuj5LbqmIop7nQ08FA2EKoBpwN6YQ3YxtXg9plvsEg3mS7SWbbvlLD
+Tw0y/KoiBswtqaToV6qkdNynQduGT+oxfa22EyALtM4eGx7VYe5X8sIOgy30JpxMVUtU5SjtgVN
KmEa5mn2yCdXfdPZjTP11jUFd5B5lYCPnxk0gbvl8ETce3xS9W0QzPAmKNOpeitwjhLUml1G4Pw2
kKxrXFOUUnWw2MPRNNodWgtjE0fYdzrFd0EX5+2DKIRziWcaz3k9lxrPCTqiY17yypRnwyt+WR3G
UrVY5WGImTI3mouAwp0Ly0/B6uhbR55f437UafYbiRYFBsSYTYrbDIxzWm7tZPjATtAHJD29c0yJ
wM0qXOzgq3+NgOfJOoAFRJlck5MSs3anADt9J3lPy6eUq35cxqnapZbWHcG8thdGUfmWA+oWjSti
1q+2WJF1ztuQpIyyortLKm8rEqgDFVabwIljmqJQIU6Illqkp1a2ze3iz4jl7qTydD7QIjZFFGjq
X9hUvKizzRkYf2+RGNO7oAOLBp8ipf5vbefj2ED8cSZ6URVrw3amGnzTiZZ1PR28CxqM+zKaVknn
dmOEU9rjfGIWhA+2f8QiVgSt7PrnYspV5KtWBBWmF9LFXncknOWT0pZDeSAy8XlzY+3aUoNZyf9N
9rMUUS7AzveFZj9nKy45ivbiLWm/cyotjvYrs/8gKdoCSCVwDKLEPOmu6PkhRwqv/G6maqdQzgO4
NKKcZdPTNN+oJXsCNtHvamlPm5Ic7y51pE5aum6qB7cgXGJCInrRSVde9d5f92L11W9NDc1da6/T
HzEwydQFeV/8PAzFYiaGl6VZ210/4z5RaCr3a0YEgeSzQPmF9g/Kx6TZaTXfdaLf4dCX8tWDx47u
apWvDjefsNTQn3mZ/v2S3frEMcocJYCUEKvD+DK243eWyeRO9pxl0PWd6bUZxXzXZPkaaGv/7ad/
p7h8E5wYpGsHEIlh7YzW+8ojfq8tLj7gTu/eSeVjChdYgoNYgym8iVllOJqbhfbWTonBPNgZPyQ5
kDbAw2bbwWABHLgBS/yNces6T1LvZ+ZQhN5K80uIm2oOe71RRzrg59e8U32YcyD8Nae5eGtGRR7U
S9RxcLzxQ5t9+aArCjNvOXvnDgvHz1TZmPgFs/gPScvixfVH6+o2unbUC+oGUJN5M6F8sb65yBwd
U8hLl1AQOWq8ewznfvyOiW+3LDHXTQac1sw7kKh0ZQQmmOqs06x/W7jkGM3Mf0Hr+Vfr+dNDa1YT
6YgF+Uvg/GyNhYmyqfUh1lr/nmqa+ICngzg80YjhJ0lVn4dyGZ2wnX2OV65BIS5MYIr8VhSNlI+O
4TF1t7HyEbPQuVh3C38QEE6ewzkFEK/Jnq+Gtr8vUtXep/AFrqNvxQfSpDXlCqV5MLXOem+NrqB4
vuCdXTF5cvXh5/VH5tyrPnTvVcxQFKT37bXVJUms2ZuZEE8IwpfVkFyTF3uVJSH08mvErR4yE4pv
mQLqJ8rx+xYDDX1Z8vIBZTQHxuzNsZ6EFuTWkOwTFw8pi6p/X9m8Fo1KvjEwOmygpLRM9T04+BDF
A/+MOhk2DrogyTTvVTf59NUMrUmX0Namdrd3peJnvScLMkPolPx9NpoouzhJ13tr8pjJmV/AEDEI
1KQEhx1I3R7yop5Ze7Q+cyNNskGkvmlNq2+zcsomvoAX3myp7c2iGiPtgouGFYOW4+vVB2P2zn7M
tCaZL11ZEYnNYutnkXSBBEyr0/ZcKJURTyEMQtefvkzdnT83+R+SodhH7bxvyisYNRFOXu3qp3zJ
Viuioc9OH43SNa5NrJm9txGarocYFeox6qvS7tlNgD+Tjhpdi2qVdZhf6bJd4yf6jcYhFB6u3cwz
XPbNVnPom5kEO5KxdN+GrjdMZHmCSFP89fvSYQuDxej77l0jitTelO/ydeXWw27ar+JNJuvkvpHM
ARdR4EuYOOuOxamsDU4bi2wcPoi+orygcXP/fbILo7swpnkZDP6GsG/cfILlqNY7a9RtbzfX3nD0
spoi+EbFmv5K/aDQKaKqtPZg4NpeQiAHXWDza3mhYYcrsw6xOnIp3H3X7N7+HO1R3YlpFOZeZonR
MI4tWove6QT+ezbWKTpEWz1Qy6EFzJpuzmmyg4OxBzHTnBJsOqHO/TQJQcgqAH1oelu/VPu+FadV
c+INCY+126YD9yJGkNSmp2AqdkspvXvEbdYIewGdOKQTCLWFc4Z3tKxmLt+mPp6LHeQjnOB+n+Z5
NDH+KIcd0kfFQLRWlFuBjEGszJ2yzYJiNvqOyZ1ukeL7azD3cC1Mm1qm2BW7ahgvKS9Dcf61qviM
VuKpwE4d509MbTby/UT7AtfoGhaG5vrlV0mN0BLUhtF+EwZ0zKtR1EkVOEba/Nhrol9FS9PyxuUf
e/TpcW635l8nfHMzxWt//fH5X68801N883HcZNfGohslGiZBZrHiVXPdurnsKxgPN7833nvr5sK3
RsMNU5LnRPpqN/ECmUBoiXqDhZky5o6W59FdXew9yVROB4kFD3t/RaMV36sRGPH7mVHHz1z7OTFp
5tUueICQ5y/wqXyCUk7TjrkuausLzbmiiPQ7UavqrNdDvlWYcQLEgd2aNuqZU7LJm6byP1xPqn4z
9/FAR/EScbRzUs4W5StntMuKbtCZBbIxRXUHS5+7UJAbDsggjEHdztUD7ybArX55F2QHyRwtD24N
Cj4rkdA5gqhADOZv5pEcf2v11rITn6lL3qdLam1zR/wa6vVmqtUfFALGdzewWDQsncq35E6feowL
cKAd1OvTjAiCo9SJz41jPsmOhF12A1MlsREWNjcku6rQJWpjUwBrSldUj5Rmnxr0J0fjMG1VsCCl
dQWXbBrI6YZut2sz+B+LW8HR02nSW7EYU5Tlm8+rzSaLQ/OZ4vcWrwqKep1Q0ylYxphPRe48qkhL
Ku8NBGVVBa3OjTCfNT3IgR419WJEPYkp3KSSFbEiGnDp6hVeOE2sb1BfeD+Mpi/PTVu1z/Zoy0u6
JC+y5XCIi/PVR6Gd4sC3J1qarYL3d9Pkiy3vvNj1yAgatkPJZxtTDc28utkUgMaCtahvmX99vkc0
GI9rzSiS40+2U4rAchLPG1svT+4wPdg35E9u31trs0cxPghNqyMqlkjPaeIecawLpprzhZTdQxyb
rAOFS+eir2baiAY83WXnP9LFFzP8nABtwFRjYHqmIyIjj6pf6WvIN6Bsm20BUyOoVnBHrVV8rXnv
bqt5rp7gGbabppmNYIoXY8e4TwtQgk8D/I5dlWOiszQu/htHcXRs+wRAd7pyIucKRABsIfE6JEl+
3/pInmmndonWYDYtnVNyI8Anxs32X0YCdfBQZ/mbZclwUm2yRwZE0aKvrDz6uYfCh9P6lVnp9AlG
BxFNNR0KZfYmmrQ4VWbxC1Ze+jiXxsdcV2Bhe1tEgBkYm01av3O6JKLfctu0K6Wtnu1sjJrdSYsf
MWTPkdYW0763xnXX5Obwx3fjbwy3KFKVXMJWMhjEM/taMEA+4CT37nAlIsKtaXkuKyi5t+K+EJP8
AafsvIUFSm82qdmNrxvrNysTOTQ8S58OrJyztDttWyK/0DnTb5I2gxGXzu8xG9Uwp/XZEiVKR/LJ
Peod6z7F7NS4BrY1vdg2jORUEStcF+j8veZ6Vytj4Kys5dObuTSTH+cCkN9At9IgfVhXV09fGVx7
ab3l1wqxuMdYMs4z9Agv/3QlFBLGscy8jAGHjk3REoDBKQCe/cTY6LsUHYcKWsAQGXNCHMt6SY3K
OxA/fxGWO7PhYyPEg8MoQqM1HuCmu7NI0beLvUf9EEE9W7/ysU+xOwuuDz8FDURd5f8G7CJYy1ei
rqzS8J2q7jkfGCpBYdr7uoiohd8OmkL1FsdFOveGz2+9p7XpsNQmJfVp/CCNkdT4U+3k10JwOGp9
K0RmO8FWubNMNYaE2++NpBF7qRYMNKb8crsyxKN+odcxfm/G+o1EU7RkHQfFiXF7q7lh38Xxb7Bt
22wsl+fONphHLo+d5yFree5R77q7lJbzqBrKQLjFLy7CodekP5rK9Y0PRwXVxI+mDvmNpqttFk/H
pTRtDlumv6O4hhO6U1/z2c63uFOWoy6JzngkrMgAe++z1bznHTFI/NYWdUu5RTzams9zp/EaR39L
dlQFvWskcqMM+2JzKZFAcq6Gk10du3zxMOCnOYlcQXvyiiDFNWTkrjV++Tlt1r5M/YiSzTu7xKFt
uN1LrdKj6sCU4e82OfwVreg3tHb87m19NxKC2JQJBIUaXtU1hgpSGvlr4rY7M2lwEaoHX6tPvQ6J
Lpv2JNdC1JK9mam7vG6cU08xJ0i1nJ45nSYmLnQlafbsaEmMenXF+B+zbOh2SBhVXb+kHn3FpCkf
unKSUb2I7dpbRzUUf/LRuCvIlXLFgbIHFJ7MKtlSreJTX8JCK70bfTyfv/SZNFuNnB0B8bJ/mQXO
oTFNMwBkpLdxINFXltcu12v4DczrjG0nZvCBiTs9+oBsDuOko43rMMtR1yWmodG1q5Cczhm4pH7X
E1vCrmWsMRw8QFRLoCvbTjOwAIuSVG/heWeg0+p1fTIkD5qfgk1CZfFpys2qg57G1w6TzXUq6Zez
MYj4t1h5OTHXathi1tF+LO3ilRRVHaR4dfcghDbEhNnKuc7R0fpgre25a60ASxWvsTNKEeiUhwZk
rNBQU3A14zRerc606Eh2xf0wwO2E5MZkr2gCd7DbcyU971zm7a2beHogbbBbGYVzlyi6UCsGi6bv
0TtSM1jspn4+KbO7o7jxla2NOlss+0bHWSkrNQsTq+7si1rxIZgs+aDMybxvR2kHvP0jCcf4nCd6
BIRqz+WE0STKUEELG43e0A2bL8RpZg250gONplVr9QTsuO6g3Il8focKlFxoVDvUqnxlJ8KvBqBS
1i9NOeHwhceI0M85e7PEsfdtea1Nb7qjjCHCKmP/mYj6Uj5a5Wemk/4lYRx6TLPWzDcjZ0KCJrb1
7Zic40DP/RQ+2yXOExlKePZL6PYenXYLctQCtQhfrk8rd+PdTYzMztKjDvH/own/jCZ4QJn/93Tv
c/rnP3af8utfObm3r/lnGEEQ5SWtazE6xCEGXkHnr/6ZRhC6848byZs/t3z+zrqhtf87jgAo1wCX
rhELBupv3TIC/xXz5RuCVNMM372VjMCct/8vMV/935oeMHGQdDQ0CzFcp4Cckop/TSM0/azjlS0f
IApOtyla7v2qZGc/mNKF5NjaeVw1V0vPlP+M77iPCQu2/rPW2dP32pQLpwBOYUeEOhSqvvTKNxMw
A+GAhhgPsHvzbYTlp+1M7jshctX6WDtrgbmIJG4KekW44tzetnJinkP2Miit/cWpxht3qzFPagsS
pG8vmcASzFC0xFTU2R4o10obH5wiHm7KVev98jMyvXAJmaEFmYtcwVi5HpnbkyKj2jkjLBo4XKgm
bC9TjzE3ja3IAfKFaRMEm0l7yXgDynh+GVO3WHXcbjLQl5umNUFSwOO0CD1o8e+e2RswcKNACFxz
K00ikq11HHLy8jf+4vE43zhesMMWqCXb3qHcmhHgRGbSLnAiBpjSkCfUCHktEsU8Pjeasu7U4MLf
alsMzUwqRut2SfBTtels7kUbcC4oKTpKan4wrXSJhOZx2jGVL98KZJw5nKTVvk1NUZo0DpBjiByO
vxREd3mmR2uDYoy+OSKzu8QH7wiYgrsy4sbjeD/R4IoVJccOt0zpjRfpdcW8F2WdLgEVuAZL9cqE
H0k5YUzF/RrHWEcYtzVrMDmoUzkObuqJ+wit3Jg2ntRcyi6KgeoUj8wVmL4cX9grN9CMSxE+Qr4K
qUDt9Q7zzaZzRg4fE/LZuZxyfHcoT9yjB81tZFTKdn6EN5kcpa2x/zKbYT/nHLB6UQ85A/BYjibN
QXDi0Pj/i9o/FzXd4jH/31e1c/b159/R37ev+K81zf2HSY7Q9lk5uIV7fxeu/17T9H8QryIyx7+A
hEWX3P+sad4/INzf+N50FOnuv8G/mQ1qjqYzMQM6oNMP8X9gd5nWvyas0FPQWPh++F0tOnKQkP91
TYO6yqwEklvXm269dYUDQbqgzUoEMbEnGNe4N+qNMVUglgXsP/KeNMDc+7bf2BuLK7yz9cypA30V
x3JLNzmmHlUlPIloe8RIGRET1HHXAgoAUXIQIgxPH+EaOwhxIIB4ToaEq4sws24HIwZHbo+5ELiB
KGofB9B4w20lnvgzx7HL3GVI5KlOOy58Q7lOR23igroxWxdtbih15Bm3H3HSSEP4p8k2zDdAwgiC
qk11ZtNJ/uzFpfwDX9Y9eKJyhw1khkhOgHRmenoX8g5QrRyl1owLRJw/dVpTPU8Z5QZwHbzpQxWl
cRwLjM0bJx8aEsCxO/5K4OGAq5yXYiD26FgaseqKIVbT1/4PlMrxZXaFbZ+wp1jbgSMkOgQ8Robk
NXIaa9eCXA0GyHty+5pQLVAfRBQhze4Rxdf8rHpYErhvc+1oL0v9iQqHT19SknyuyFMNm5RZ7ttc
Dlm1g4nNkXLJdA/fnZtYLq1r5sg9nFaXUA3G8JGDAj6RkIXbTlrUW2FTus39OjXgl2u5UsvDhSLf
5Y1LkrXpGfjk9vQYr8o7JejWH63+n+ydyXLcWP6dX6WiN94YFcDFHOG/F0Bmcp4HidwgSIrEPF3g
Ynodr7zwzm/QL+YPqepqkVJJrn33oqIVVSKYSAz3nt853zHhdmeDRwC681JK+iKv9/CAp0xvmNzb
4szOY+O89VPXDO3Zx2MMCUFeOAgT9gaCYH9i5kb+mQEBGzW76N36eODD3fQWvfEE1c21cpYNHFPu
pMC+JCzevmhNHVtRfoQTeHZnvTqT/1TN0AmRjrK+Cl0HkSgAruhcjI1fppsIXubt5PnLl4EY3RWA
HGxLZW2TMYf8jaNYjCWYIY93pdnIFBhsmRbmdWSn1WvVzfUXfB7MOEi7OmulQ1LiIZ2zC82pYRLL
WUjMn5k1icOC18lhhABDFzEFOmcmOlZ1NDeaBHZV4NFBnrDnT346gNaiDGuuQt0oq0+zF4s6FC2O
gR2bjfhuTRfKXWwI97bE91DvGnvindtM2vxgLDUDPT3OGy3IddmcA+lHumSUxPet8269gPEEao6a
Yqp+7WTxHme9Q0XjOs/HbW7bznAGIcIs0L9ciWKTG6xKhla13gZXZ5HsyCtVxxVb5GHnrTOqrdv6
S4GZysko/oV9AgmYyLTPVo8a5kBXLm+uNidyEujU+N6uzs83Q88EXHzXnFsyx0r73PP21dAXaiYu
zLxd+sIVaa7drI1Qv8XaM5QAwHQC3RgNrsO2u67lbJwhILh0gvfDFFQ+EchQzyU1fEi805uMW+ZQ
5VIA97JFiUjWAjJlYFEohBLQ5WFTVXhBqA4gyNlDL4/ZwWnaU5awX6paAataz3WfIm67cM6I2VDS
jbRmk1ABswDCmn5EugOgWi3JuJToOE7d7MDc1rfI0Ka9na2u6Y5NaWRvDmLCRQao0QrLFuWXEilQ
Bte+iJMnLxI8fQJ7sTuCQphnXHwdhlsEzUCw/Hroefvv+tpr1GWfCOu8nXlOX3lODifeZzw2r1kB
AnaD1UW7ng0OxkxXku7BUJOhc3pMQUjHymOnG+e1basaLwjC6+cpyAS59bSEIMbie+kzSnL/MEw+
KnyEEzHgW6NfGROZzc3mjPqLN8yaC/Vv9ttrOFjsEYGQL/dFMeifUSV5uA6R8usbIGtt2nOj5U12
MY69OV+UGiOrXUFuMN0Qg8dM2GcuVexdsZSg6+BDXMhIW1vDzBrEGM3mXpVemVod16wFu5QZVofJ
Oyy6IZtPFzvCITph6jlrusrxAHNP4pFFTM6kqM/s+hjzd3PfzPAPyHzYzbAzNbPjzNSth5HMHPp1
s7hIowwFyRIN9zVKeGB0k6sfuawxV6NwQZzWnfv8qPHz+kH6iQ5PEs/tSZVO2AaSLkVC9iJP3M4M
zMvDjOfW2Tx38XJZLd4oD8g55tgsEZ2xpaNNcg/kyFmyzqdrVpXQXVh7i2l9nI+Rd8IOR9BN2TNC
OtLdKfWHkJ039sllkSOGqMrScQ7n3aXGF1kAqeCRNjdZBjmfhCx+S2z4h/9Zt/2xblubVP963Rb+
8//2r799+W/QylL5+m08nqXYn8s3wRLN8tiVQlgFSuOb/Ks/lm/e7yzCLDoyfR4Jxp4h9eeWVP/d
tXRBSt4SrrAYhf+5JbVYDwr2kfxVAx4Na7u/s3yz971jdUHhSbVnAUC+wimGKYr4GiEIYcPF+jYg
jyA9RQW5J1VGcX87RbHfpyFJMEfd8pzVmcjNjaPJB0fPqvRRkRsX112sGKsy02oxxmxGP+4z78vU
gmeJdkmDmf3LWJq+UmdwCKvPSyQzCocTBtqnWBvlTdtLXKGkI6rLAV/jM6GxAphrlHzyEpdn9GBZ
nn8E42WmcyVbO6nWnmjGJcYyvfmYz/2AXzmpgg4eAHUHGJbT09wqYeV5laFuB7VkNByQXQBoPZYT
RpWxzq8oeJVHUEfMVzLQA4YEaVjmhpOCp3dm1mDe1obGkkIYMlXnMWrRoWtbJbBTKI1RsL6CoI32
4/yWVIa4ghzHunbhYfFotahuTDfi4dTTxggyiN/z+0Y5O7R1++vYw+m4ZHa7MRywfXA3Uno75rIm
JdZ3OFpDtycRfS9UmjanaWPCfcZMIyACGTCnvB13valCq4jHT4qgQX4y54nVbPXetO6L1qVGoTZi
XFuyqXlJjWAERgIsORw7+Ataf2Z6Wts/Y8HJ3M+mmWLFadpEa8JmlomzsWvF7hdPyuwHdI7Pasv8
y152TizzLjQaM4d0SdSiBGmoexXGLwMcCnUK6WpEbhhUQD4Il86Iz30SElT+FSYGJ+Sa/lbDBVyu
SHSGp02v18u5ZmXzLS+kqCROMunWi8vzDf0xGWoiuIURxyeJn+BrtkuaajeKXXUbuJD+u4NslRmD
xaow5WNvzTjnTDrykKGsuuBLX5VgxtARI2aA6Wj0ihAZ7jDDgQ2pqgfpFYI1HvqJwyJL4Hcil+/f
A5QkuWkYUXQ0xj4+2Fhj0UuEXXkUcwu+s0AWhF6YtnBRMIruUHwdjMBfxsLnoit8bKRhWiVq5h3P
giYokj5yTywizfHOchf/ElFieWrg6eBU0SOfHXidABmo09RxaYuwpkdPE9O1IXX3qWOptqKL4rUF
JWfAvxuVzht4Nk3C3QNB8qfM8BfspSrx71OWum3oiamyQyvmZ7TN0H3OtLK6GtwiXme0HaJ4K4p2
U5dj+hxPqQXQyxvHYBzkdFgMnYY4262+Tc+2TOhsbrwccnaatzGTuO/ATfp3WpKV9/yX7mVDVi3Z
uoPqb3JEBiL7GXnvjNwW5AGCySs7oSgrHPVWrJhJ+sNDZjoJVCoGqhOntaBZZkwa8Wa0or6uzLUE
XnYWagah6dYJ5nzsP8U0Aiyh3fVMPwojL/g+5rY418gXExnL+u4lX1yd3pHYITTdWiIPh2Jxzkli
xeNOgmTXj7qyQw1XmuzDiEz2UwkaTNsyb5Gscqw+OxFGWdB+xqS8CGaZAlzCHU9mQsTwOxyyRw/6
2PXPJu3o+IkNZZ0vVj9IOoUWCiV1aNUjJnK9vFuMDANuZ2PuPYpj2Z/mmqY/F35F+8SksO5uGMeW
VxzUypi0VrRR2bXhXggYzJ9E5NlcdEhOJ13jOs/1jH0pUC1/DxYU1Awy2cl510bNTQs0qg1qxtt3
8aD31wBBzZOJVgUyByInPeqmYITcMlGf03IED1tBK2tx7KZttyM/Zj8USFjZUdRqEZ4iLSqvYOcC
1WRKRH2DSVQcC3yrt1jEnKbeUKegnbfk7+pNTJLrpjRTahbYNMgbMoGScJoNrJTPTfUSuuHCZq8C
3018xIBX4mWtLM9st8wflPSq+1YrJX0R3TDqmKkdnZxYTHxuaxtZetr0PLFwE/IswtpYo5mZIK66
gPKx+BlOZ5UEVpe4LoYETb7ksmSV5yoX44gvs+J1KhOKA2lrjM5LveVZulAcwGRbjZfMnyirUDW/
NV0cxAmCKcELT4EBTRwjYARJxm7F5zsMY5pgIcHGWNZvXBdOUuQdALOTPduvjF4TSFj5m2gc9WCC
QsUPYXdULWG68UlgOrZ5a6GgONSRxPj5ac0RZx0GK1IfHv6BIGMpcEfQ0rzmSolSmpES84sf1ePa
F1sln2PcabflpJNAiKy6uy/SOT/K2Q+qQDCeSoMsb6PncmzxB4jOLB/Gwp7dA8OqwRUou+GymlJH
3VNmj3CXLS5FKP3sJlQykLN66bsE26vpsMwlduGBi87zZtqV1P9hAjA6drJZI4H68f9t4NAeiBC2
pxK+YtUBYWDM5icHmYY31/actN1Elkb2dUVJXlQmTq2wI82obSSfeUXm6ONhX+UmznmTR3qgSlww
UMTwhYNU422IkYztaM9TlNkJJBK220hBJ43TI854izfZHHfh9+kwwi1Bz47IDXA8A4BdqMj67HZS
HhcKDooBV5AcLBiS7LCxIv5j04rqdusZPRzoUh/LgW1Kv0wHgCN746D3XKs7U0BAKDLwG/POyFrt
Fb9Wdjs6mGPY7hR8sl5Mq9JuiTVOYEW0qBq9WZknBtka0ki+L5IDWAbabVkO3AwTNnFOVVUU5mZs
EmRbRd78EWqcoHnNFPZTlC/EZ8qeH4BJORfPcSOBEYh0ZFjPORdXERzQt8rNsmtCtu6rbKqpZ+8R
5W+kSKDCM5Fk/NYUy3SC/VG+ob+rF/aEBBxG9tiX7M5wZrCoIWS7LMQ6OO09jklsw8tp3In8xbMW
LQ4Hs6NDTQnuuQh3qr/zY4YCoekY2Xlfk43gbHpcPkPkFS94fvGU423rx62YLIAUnpE0T103suUd
kcZfCL/lp31bmPe8+9zshOsfB1pcLoS39zpJsddM/L1+IvNquhpXUcVf5RXwQCgt6Sq6mKJhxYQt
o6vCWHYtpvdVpml89s6BNJPpwtjrODZPP9zKe33HIQ2ekMWdRyKIewlIeezvVGI0/kGt9f0J2BO6
TexVPyqkREpKuYZMnjUoTFnFPdrsZScFzZp1o2MsmMz20tScEBPCd4RiJSIYlLLOhrt0L2oBOclA
mq5SF91sOYvRVQGTOQuIDY89hDH+PJ50q1qm8aRseWqimVFfhZzWOhU8PWckYh3idM+qA5A34hOW
YG4N5SsYjXt5zlqVOrkX7WRlNEfTquS5vZTX8V7eI4qL1Mfo3Ltp9wJgshcDa0tLHO6rVSSMp4aO
vb10yHc93jEG8N/8vbTo72VGcy85WpaiNLtalUh7L0rS/INAia1JHLurahnPMwV27apl4urPbuy9
wOmtWifWSWRPIJTZYYEUCh4dUXR2NOdI70Xxaq6aqSJdrh/mq5I6rZpq1Ar/xNkLrf1edOWNToxV
j1ERcKGjy8ZQYfGsrmqtMWUIt5Quaa9Z47BCaNoCBHvuSSKNRBGSZBdbqL80pMza2p27isKjQfbG
XrViMiTIxpXmLKfsuWNUwL2wTPsgDjN/LzgXe/EZ8iUImr0kjdSCPN2sSrUUCtHa2AvYtkhZ9Pt7
YTsfYkTusvV4c/z9PfVF81rd9PL1tT97av7HSn5+qVmOp1ig/+f7P3Zf/xy/1pun/undH7YElPr5
Sr3K+fq1UwV/lR/0x3/5//svf4MIx0+5nZvX//rHS60gCPDTYhL03256hcnO8a93yzf//F/1b7d1
+c///RtNJb9dyn/+n+olbd7tm/c/4uvYY8XKCYM1xjpdcNfZxr+2zQ7/hjkDu2a2zGId5v459DB+
d5j8MtBwMMfY7J75V38McjX9d9zC7LP5n7dvGxHW35vlsgP/psLXNdkv457niYxmLyy88e/3zYUl
JlZW8OlTK/THHodntXRTiJHgUC9SeDQRPWrh2Gc878nX4JsvWV0HyNfm8QA+rdiUuVve6VPcXtps
pogMxfPyOLcDxnqeC7eWE/ci+OacX37d1v9GT+VlzTC1+689Lfv9bw2nzzN0B1Ie/zTsDyXIOQsF
9ioPaMg5Et5gGKCZ45n4d95l9JxBmwPyVV1ZZoTlrpRRfMEkp33zhDDP2NVZx2YnpntNh0NXTI7L
Sq31jJMpHzF5UBo4PgwlDwi+aN3alvoyb6EYOKcGJ5HhR1poL9RFjq96OjTXI6bBna1MnFnQh8+0
GCDOkAzrc5541ulcU4MwrPVK2JIRUxkAYQ3y4qV7s/OIdWZa2xh6NMITTFbqr3fg14v/Byfq/VDL
011i+Vx3UAgZbHkM/t9/u73wvcJdz5NLVa3unydqNS4T190KF2C2gZfm61fzH2T7PzBVfHOVrs+o
P54o508lT5TbJ9pDq/eejv1f+foksHRQ67bJhBGpzBXOesl+FdCE/7sJON3wPYHuyRPh308Cbnef
TqO9tua5rmVgU/33s8AwfncdzBmMLLluHX7I35HQ1m6ifwtomEpcAJguTyTcxPAv7Q8PAjqNRUwR
LuvvOMqmbRZBGcSJP8UH35yVH1yS6yX3/jighrka10mw7+Dgf39Jzv5qcogUftmsoUghM0f1YsFX
+SRc1sM/P9b3nwmDCicbddCxGD5/EAUJM9DMUI8AXyeCfqpUHpgHLAM/P8r6sPn4ieihtrHX2NxE
tFC/kx6J8PslSH4+0ayJK7trK+x0Ik0ucg9De+B1evmLz/XdOWTtC2DfWy8Wy7DXF8S3YmcOH95r
JQMuaiCQvIqUkE6CDXYts4mnr8r4Xz5DfnWwDyex1WcocmYHVMHwyNkWojbvcvLp6ablob/7+bn8
7hvzV3AqYDybgRNWpfV19fJ0Tb0rrwHjvye9rlfKxvfGXFW7Yu5abeLRlr84yg8+kjDJWwA5xEpl
f3wskhfGMpewTvOgHJ3kqdkfSDqjQ9Cj1i+ewD/6QPTwsMfAQowIu/4q33wggymqmqcRw3Hf0OzJ
h8FyZ4+/uKl+dBSLll4eFiZPGPfDzUs00i4Ip629RpZxkCs8n0ZkZ8c//3LWpdD7K51vhzcJDjIa
1x3H/fDtCM0tUfRzsmAk+4jPdqTyPU5ik/QHpY2SRoUnmzSoEnb7FEsNaSNXVWscACtJyKzCsJS3
YuJuD5njU6AZUatHdGGoirOZfRqskT6iIxAJNSYRMvWOfeA4+aQAKBAZCCJXh6EtRyN+A5JOGQn+
/roI7SHzn5zCbdHm2L8vpFPL7ton9twepelCIBX6uvsQo7Kqr6+7v7w51k/87t7njHCh6nzB62rO
+eAa4WlAXkOzWH/PuYfUMMOf8N26uKpln187g6sFRa8M4jEkKANbS/2Ln38nP/jmmaKYhqWzWFwv
sPfXV98N+AfJbQWTruEOgKOI0jRqv7iKf3DDmC5OG4NPaxpg7d8fJaZfY4B/jLOkVXMoBmGfmL0+
bIgROC8//0DfPU15pOnYslaTIaUk1noNfnPDZPRFp9iLC1BAsvpCmIUe+8rGRhA4yEE3lR0J+/zn
h/zBObR07k7TXL0/pMreH1JrprROPQ5pGLyRFBF4yiG8+ReviY9HEbprWczBsGiauDv1D0cBoAWZ
3ojWe5TxzEbZaUfzqDsO3ubvfZw11QgFUl9fSGK9LN5/HJlDWE2I6qJlO8mxAW8vQCWabv7+Ub4u
GDyTTYi1fo/ffE/1VK0aGV0nnj/h0FNNtjE9uj7/9lGEp/t8MRzF5Ap8f5RyNKy+EqpEtgRrT4Mz
WZCh0C5/fpT11H97FwtjpV7aYEjwgfKPD2cs80FuxSlSGJnJ5ipda8eJHM5fjPKLUCTQqkRsf35E
Kkw+HpM1G5Y3XnXrYelye//JgIjG9ugg1Iyl1Jyw0ytkggQKhtp6DbjNIxhHzidrGOgyFhHm/ZAn
DXNwxwZXsJSNsgJDL0RxyOyiV9tBNzqs+w7iQpDJVpXb1DJH/I7k6eEZqHJ+7nyqGCg6EcTT8lrm
b0s7FtZmcHopNh6hWRrqIOdOAGT7Tm7o3o6LYzu3EqI+TTYQGTAXDwh/JrQLyH8k06rFtYiu0a1w
Q3uD9Rh3fEE7RQYKWnAMcyyYfHM8lAJpCQyqLMeQSsJIIrK03etMmnUJmaw5eEbHfXKpcbHkUDBN
TnPipamHEy3cI/JNkXyGKeAsW1BrWUahRYuqXxBtU9vOS0poeIkBG2NmUEnkQ5oG2FYVj+BjK95j
j8VkOHlYD16j78phsim+WFBbKIqW+pm3WO7ziqhq73xdeW6Q9aMVm/CyKreuQ2lUGRHPuHLUcqz7
1IjjcKZD55NIkrXejo6Pifce6JIwnQ0bp3/Vws+Li2kkq1d2WIkJ4ae4GIC9YRMbK6/bCOVh/I+g
bGab2h8msvKdmVShj3vixeQiKAgCD85zD/pivAeYFj0RXsTh02vc2gSXvPnaB4j4ZcoNvMWqLFvm
xZmlPTeOvqDemyIN+671qC9zDEAgQATiowYKJ/G1LCkXeh/x/N6h+qBOe1pqfO6dLnnU5kavw8YX
zUNLbCWizKx3KUPJxtHNd0ynmiRsQajh+hblaIWtMcXMdbNVvMK9pSC85sM8ZDtLacNjXw168+jm
5Mm22oCevcsKtgYHamkAdGpOQSam7QZT22lURlRB2S14U7RszMQBlspBBL6uuY8YlzoVEPVaBkYe
Mde5n5vmdaEn+AarzGn7L1aqifmkKyNTO/LsliqJVi9iIp6+3hc7yA/LJefdyD4htxj6C4VKRX83
yxoKLMOSIgtFo+F0maPZ/RxPVeRs4qHJbkptTk1y/w0nlqKVdqXFgx4MsnKI9Z2tAxggK56j2xJm
bNw3p8T4wjkzreylcwsac4Ya7HpAgs9Mjz2/7bPTVilUEitxhua507oyi4OK+QEFk4OTLIc2d3zz
BYEyBewXj9LZzGqZcJVTkNpczf6YVECZShiXozPT/zjYia1AqBWI3JWyoIclLeTkTTuX7Z0hyIhi
K2zK6sSfBg8l1F/ceGub5FMDOcSsgWurScszUiGiO0sg2ZcEdCx3jK0DJjOjY286NrSM1uq0BrwV
+sOqkqJaUPbOmc7zY9/yIcrEbPWAefRL/TgPsTgCHzipSx45SbcTgzQYnFZJY2MA87LIlg+da6q+
x1Ks2MiQYbcxM9GR5AC6zg8TQA5Lfp95uRGH0zilF8NQZGTlmsxaah2AWRbHPuCtnBRbMGA/NPoT
XPsxwfhiKZ7gQ2Ve4DZSTdumEf6tH/PWDKCWUuQ6Qmy9n7zV2Y6rIibjy5Su2tVjgfl/tPD/hbK0
NBlabBP8gNkQ3aLWvmeUgT6do53BSIikD9uFQ6LMttyofXvpuEjcSljmFWSRnOoWxj4pIK8Zpk50
hhVvyLZNns52yGgSC2W6QM0MvCGDYzU5mp5u9aHLmA3DfQtsc7Th3/SYII5Sj4YeinBhvYViNP1L
yliWZtPi7bJ5yxs8sxtShTf9ZINs152YbQy1ue104NgR1j8lrJ7ndJO3U+g0jX6lEZKPGKeuJg8u
tfiSSHt5wY4chcomfHHDzyDiuFqK11Yv+pZO6Pbm2YxNsga/Z4LehRTuJcbR0oGG2RnUF91wpmCl
mdpYfq5hwkeQ8pzitW9brAQVTF12qktEDpeHDok4s/aiZ81zZ4br7CRMyHsuQjSwkuaZCleo9CBo
aIkzsl7tpnRo9aPeMJhdQr8czvCnVOKg79J4YDfiRevNQoXPatyG9OH2erPRMyluiTSwh6T2OxkC
2cZsJbrSscg3zIvz1PDqZIyli1QPE03Uj2VN0D9YMIYcIY7XlNN07ISQBBVPa/Td5V5zWY3vBPH5
MUyZI51wc9B7lelVc2ZlLl4HqXRgOouIwFMkeks/bt14Zh5OsiQWZ/Z2fKeyDlpKWY2yDfWJ6d0r
7udB3vFr0nggSxwPXECwyD4vyew0Jz3pCHWSdn3ZgK4CoLVVUhHtVhVg+UeLv6Y2RteS6zI6g3Q4
sKplBE2iqE8eqN2yw6zVRXyjJstOtmaJ5TDE9kqYzI6KXD/rqAXpAG44IFdrT4ND0rS5qI89IHwu
sZtW5bD6W03RguXX+m5JqO07mingG06rvIYA6fHgIfQrrDnb1pE/24+MGHJLhxpi5wADJO/kneu3
c3qvdKulahqeI+WjLaabc3AfzFdDpk9SP/U7t514h1egJK/suG3kc5TUjsTEEQGawlxol1DWkxUO
xIOZ7s7OmD3m343APMCzxTj0qXG7Y4QVMfPSHAKLS0en+xasKA4RO/K1IkQtZuJE0RWRGLAExApb
i/61QEul3R1nmJYqrDmCZHCiSKoS4HcqXqisncxbgr+Kltep0rnBaRsxDivL8nGtawOVHyUlvxSQ
jDozMVvLx2HTJuN44NUmz9C0ZTe4rRyC1Rs2yTVrmLSOh2PbRwkP0olF2ZxoNh0VlT/iuUX/O4fB
HWXbgWWLDKaF99aByussDbPJrd9mHrMeYdokvnOh8XJN8qSITjzTlc6Oex8lHH8o+QHedOQBB0eQ
skEoaiGngODeGNhT7hLcxuZmYZJKDhaYZrpt8M1yfotWuwc0xT3iFYXBS84u4P7zbqCvtqCB+8CS
UDHM1X+x9ZN5MLf1uDq8Btuc71U3aBcdQSsHE4KkooMvDRx/S6nbtnecSN8OkYgYzkWIBhOjb2E/
MFxzhtspmSbtQCcKSeCYArMZbJONg5fJXPbJzOnpTW0GeKc5VBEPq0vl8VgzGQAemyM4wNACUXjA
dL0m04CBvQNWsPq17QKfyyqz+3eZLPDdgepLiZVPqf45w4Hhhy6vUtafkxTlTquUi+IQ1eaNBZ1f
HsWWyTywkwZdxgwf2NS7ZWEytiSXtPrfXKrEapASHKhO7NvCyepny43G7KCNSQwcSJ6okATypScW
ZmsO3HzfmzzQwOg6mNSGzoVynvEONPKp2JqKwruwKkR7vKQTaSUg4sYtloIGF+2SV09D71acn37y
9y9iSHe5aFcz82Qh1klJIAubL+Zilgit+UW10iVznBZAaY2kNKDDq7r5LEdMZuAxFxySaUUkFLoz
rV6w0BYbM5me8Cpi+58De3O97kqZXOQbMai10qFKjGxTdITHAiYcpIRtp7PuQYnFPsPkrDgZ2NuA
eesaHWi1NUzsXup0vvr5Vsr8qBiwkTIYxTAIWsdstvdhj6jjrRyNBdCg1rPoOcYXniZ46XCfn9ax
jGgQTXrNPyDEYi0bQtstJpp8mS8XqJKs5RmH5LuZMeG8SapisQ/gvVPDYTlNX18Wum1U19bQDV6Y
sGNbdt7a7HdEo6h46GutGrYLNNHoiq12nAKzq7CDm7XjYDTFBXprUItyROYZc5enmvie9jHAV4tJ
CcJcpIZ+kOGTdg60KNJ8oI8WYaBSEjp4+Pk5+v4UYY51GBvi3HVRVz6IKkmbNFFcYb7DWGrcMUGO
DoF6r2CSMtPvCryStz8/4EfBCJ2Q3isyWy5NaML8OKAb5szV85kMDF6X4mXRZLlh08E6uQao8guN
4AfHstCMTLwuLgdcQ2ffKhEg+Ya+sIC82pJxXdvSSEchbHy0OHn1i23795t2nMdMCW3HZgCpiw8a
jl9FaUeJIZ0BXvPZh9p6NlNp8Itz9/1BiOpa+zkRn4kP9P7zUDWPUXeYWJgkKnsrwalfyhIn7M+/
oR8dhfEgAynuGfJuH/Sb0pNsbdjkBIlfDIdGmqehodNH8POjGN9/OevPR1JxPTCvpJDffxjbwZlq
d8QH1i+p3nYIyFBhyTkTZO+kDapD6V17GaW4Ve7ySdOGm4yt3LJly96Tt5tnS5zyZmqdo1kZs3uU
4BB2wwh+qb/5+e/6ozNC1tpDA2SkZpgfzrvpNxpG7PW8u/212VAKwUDW/cU05YcHgTZKnxtzPTTB
9+fDGPxB9A3eHadbiyOmFE8N+brGm3+hTH934kEP8l7jQJik6KL7oC+BmxzoTIxbqoT6nrROQi4w
bT2NkPDY/mrO/P3BGG6uo7Z1BIHh/8MtmCwK4cpevbwA3rdLoXVhobx7KWr9F1/Sd1Idzy8Lf79B
pIDp+8cHi7CkmzKSUgEXrwqsuR4BTFARlCZ1fBY5K+BK+frfve3Xh6bAaIAyzQjH/nAuCTcr0XkM
D9KyiTYWDsGdsLia99fff0bn/7C4C/7aU7N5LesX+dSnL3+2NP5Wv/3Wg0kIaRitv7XnrD/p60Dd
NH5ndMcMigU2iB7eMv8aqBvid8wzZFVsk5wjQ1JGzH8wEuzfTZ5DNnNnAr8Ghi++yX9Za4AkWLaP
EOx4TMN10xZ/Z5zOLfZxNsSYzGTYb6z/49G3xpq/fS8NXjXQ5IJhFJ7rSD8qyOeSRVdKU9FbrXeQ
dLt5HzQ1y6Klgm00oo0uhXggqMIKznBolAjKws/I9eksezeRdJKjofeBopUwGemxKAG8H/g8gS+h
PLZPDtLSTbJ6treYP9cEGwO2BT0Y/GMg4fWZwWA2+pFt0/zKQs9BGyAJXzshoopHQzo6Jc0ZGSLN
4GOkw6s+iU8aBjYT7ElR3AF1qqn/MSExQI+NqW42h2nRyC8uMjlS49D3oPUIPGB9XpyXJImmB046
cdk6d3Lqb6u6+IKHPYcUXsP6U3rGNqzPHcBhCFNwbM3VaCRpDytC6Y31vK3mjiQ1O+XoLjXT6oUh
2KIOB9tb0QspQYZA7/rilvKgSAs0K1UIE51WPSprmR0iKoY4wL5Hee40N9VOTj39uqDqxhtACs28
xmFY5lfu2H5qTV82uM3YK7NwZhXFNNKs4m0fGewhfZyJMyjYRS9C0U8YHNvRp1egEozFrDzDqOwt
afHoWXVpbJCkOI5bDBAlSQNclAJGYtDkVgyxS1uswz71mzeyF+D1yjwdpqOWtpnqEAZYuuz8GfE1
XBCj+4CZUo283Utb7NJOKzgjIlM3iC40meuoRrfYKOxHgKcFmLe89+7tIemGA1Fn5n0ddQQMLM/p
A3J2+skii+yVHqzhfmC75HFlRAuUcPZeV0ltWV9cNbRGkKaxrpDuEYoJZA+0uCj02mxLcb3MAqGU
5wQGpivninxIS2qbIl8tOsKojx8rzNMx7c/yrtDXFHHs+psSkCWxzcijerLUG/MAWo722PbTfK5T
Lr5EB0ZTJdWhIxviRkXUZ8fSjH2HwbA+6/0ZS25Wd51aYnQ4PGgo9CImvjC4Y0rVc7SXCqKvusFa
v6eftl8VhWkvL8i91DDsZQckWCQIOo+QI4q9NOF81SmavWgx7wUMfy9m1HthY9mLHCjNCB7RXvxo
9kKIsRdF/L1A0u7FkmYvnJCPRERBvEFQcfbiilbNtvgM5MmK4YVXKaCgvTDT7UUaSoQL/W5AP1zC
YS/nFMJPy3vVOmI81/fyj9pLQRVlB8VJNU45vt5GtY1PCSYemutibe/eTT5PoGu9FBOqx9hE7YHO
CGU8bxrlDrRmVAKjeq4ATQYoIBRvDsobze3YgYu7sVoowqReMkIFVRbJCzDcKYcxSL9T29WbBC4I
/MZbRRyt2yBrOs8UUwBc1c2FhvC4SOHeZdlY3MN8d0Z0dzkBX9RsGS6ynL3TmVBukLm9rYflWBj9
kVF1/as15KV3xmgB+AmscstazWmTdgElkkkTPDyr3wGBN9XTnFjLTZSlePV47lKyMxV+k54BrLKi
rTOQ877W0VXg/9WedeWOgJ12VJQAfJkE3X+eD8AqxLGLGSjqbdqdI2cc32KxEDePBu5msJDEf1KT
rxSa4KodoDOKG95PCKt2lqbXaS7FFObVEsOd0SnOChHQB2QRuqgBuzOSvcq7uXtZUk99tvKkeUnd
TFe70Z4oC4o9KG0BZuayQdhMk+mhFSbZqXhCqz40cwcOPhFLIFHKSflN4r5wCfmMadFd+dUawIXw
metBgbGVNpQ55WRpSicWQJ0vm1+raucLroHOOkiVxRQsby3QjcInjqAxWHDDKhZIob4q6oves/08
p/ev9WdiIEmZE0rzkFH+H3tn1hwns2XtX0QHkIy3RY1SSdZkW/INYVkyMyQJyfTrvwe9p+Oz9bqt
6PuOc27OWCUqydy591rPotc1BdEQlFW5h78QyMMwmOUF9mbykXieTnxd1H3x2YMOo+jW22y6YWx6
N2Xh+Q3tsEnQ3w0NYUYJw4THvh3EU+nPNv+ZZ8knx2PAvxvnmi4GzeGuvaMTLs/u4pFdYlmVN/ED
2rid6M+m4bbkdYb2Gep5RwcX4bbGYvBUJ7l/D+xeYQeAeTBfWTIprjNZxT8bLIk+vqZkeWiSvhsP
rcXCO3JFJMcgDtI1ENLS1UOM8UFvs0nTVFOcOfj4fWsCaGkNEsuAGJqDaHWIoCVfvyoU8DW3J++z
ee+4ic/ioEGXb5Dv4sRLgTYOO+wwZUmfLphv06qcn9qOjXqXFjTNtmHfCBaXY8CkCUjJRRxadRLH
NnF0EMlS7X+eRKplZM/+gEfDEH0asXLFsTGAXUTEqfT1JhYaa2Cag10DQ92YpImbPcF/AL9ouNgE
xkW9vSjoZOMk220mzYHQGyi+jJuGjsA6Utz9w+SaWGb6XAYPQID5/fQ4h3clfFFYI3mWP5eczHWE
0ZM+cBWTfNbZeAqjGWvc50EuItgUY9l9Yk2Y3/LW7QB7w3FgLMLTeKaicQ2E+v1Ews1YPSPCIitq
7OyRRyzacF3GwnhIiT55ZHoTvpQ2MU5rCVAQASMSvoTbkscR+YjqODbT4JR7iu+Dda51z2Du+Qm1
pZmy+aZHQ4GcyYV1PzED7rgG1cTuWIZ7H/DOjFtYEHhoDNwp6bab2q46+2WNAVRVlvEKu9QDKwH0
2tkjfSScKQlGko8da2V6jlb4OJCS8ElPdJzXaU8Gxjxs1Cc7KYsgyjmuM1wkub6J/bjtD5MkehiD
P8UVZN2kDnd2VlZmVCTsTYSjxu1OkN0gMBRZVbvVGO6ynSMF//U4A9kc1bBw1zuapE4ppimN90kB
cBN3RSBh25P3ux09HvRhSZa4vl4ySBiDEtVwYGa4/BQKSQ3esiyYdm47xtW5m8gvWdfeckY7I1/c
KTO+IuhOHpIZL9km6MfwWdYNA032yPmVKUOswQ/I9imeDJLDxsUQZ0XKISib2VHOhn8zg6bZLd+F
wp2ygcSHAEAxdWWNBlirKWnBEWgLyivDeDqaaJ+ljrKJzSQCHewCaFEqvxQTA4Bdm7XxhekOLUQ8
NfS3NeXsy5hUElpn1lX3nSrbb+Ew5S8Jbc5iaw5+xQh4ENm3doREvNLW6886redXTAfyJh+zGDjX
YoYPyg+LixVx+Z3yNeb3s0bcdoavbqE0Tioi3c7HWqZk/iVzM+unjcnkHrXochyNquEbQyL5NphG
dacNC2WG1dAlI7qnzH44WLeoy7okfCYrIvk6+6X73dcJk60JZ++zXJQqI13M4bkXHvVVnMYp441Q
BU8VK+VqonkM3RCCYb7qX/sqqrGK0N037RLp6CKD8+jP1QL5moDKbdgYI/CzypfPXtuOEPgLdBKb
Xmn5kIByPFb0yzGGJFNwo1AgaVBjSreEgS7h/QxyPIuI6JtPFlt+smGmOn5lTzOxak4lDlJ6k00S
QfcinXASHUmFyB1ctUMVZXy1iyFgRu9lZbHzK4X/sMOtgjF1lv2rhNjzzTEIcYxotjOkGAm+wZNn
446JcZz98BrPfKDbGUgM5xhxYOQu/ueZnifmWvLvmj3s8eW4QHymWCgbSMEi6Yw4isn7mXeuC45n
g+Qgo+EWm6o5SndxyBYgCyvB3If/akervw+Pfa4EBXObY3ZbfOrpSOUFUjyX4XYexbNDBAz1sfEQ
dzG4E8tw5AX/k/hLy0wIqhl1lrFlKol31CqCROwSWskOOX1M2o8qXDxmMUY54hH0Bu8rfYLOQoMx
yIzpLRV7NDCZA+4c1BzuQ5U3r9M0eOEuRrRkQvpXDiXrHHKyGJ7Iv/eskmojBdEIG9kP5rfJGLkB
DqnsPHaHNfoPmHKPOcDkQ3cZM5VHfmd5YxWZi/vbEJDOtBoJCg1h5va2thGghH2w69eg2rTCzQDA
Bh/rZQM7stpyA3NQRa4huIuZM/bByGDmkezaPiG7w9THuAm1u4vtEvPZUrtk6dqJaXecjUyPILI5
XCAlIbx1VEEhYnTSll66JwimmrdDDAaJzbfqWEZ9actjYFYAgRq3J8maJiwiSAcnHpBwGKzMVN/C
jd00MdItGeKVPHTzhG7BInZ0n+cOfkOXqCNuHckcotF1jNbelPai1bXhomk54LOsrlbXq73Pk8Bq
onYyYjyt2HcLuE4zgphyILJ4r2t07kSfW2W3KzzmSRgOYU3dlyIvSQc1Eq6kPp6P5MhwhWOKsHhm
XSNhGPmhWgqcrVPTkA04iMqrT31QMjdN6oKrUD7MHOgmxBxqcYbaeutysgim9lNdHyhmugfDKwiP
jpkDYAEuJTJGp7Ckty0Jy9ZbJlrudbhUAnFqMhp3U0Vpe+gUYQp4znQRXpF7NK/prYwuOXDD8CVX
GHGj1l/vw5Zpy3iPKsuDScTYZb4oUEplxxJf9+e2LLRxkJ4MAZwCubEv7NQMk8+Ye3tzJ7NihI0/
lyUFLOw+gNGllXX4Sk1wRks34/HzJ0U4ZphwDOGCz8KGvBWW1l55xFPxcHFE7xPsclz9SECytl1p
lcaWK2Ebb4mhpTug9DAQMZvSBjwAbCjji1R0DKK7qizkEdhDnp7IOEhW4ROBtdfxWKr8uAQJuRR2
FWcwkSuTBM2aOi/doYOf+xNjpKaOOjQ6OJOBHHE1Z7yf7gOLeeCKt+n6G8pskJS2F7b2SwzpVO4R
RNXVdZI4C6gpvM7t9ZQKTkqLPCbQXi6hcEeJ9Mba8QWLZs9ARokdyi0u+tCZerUrui6WuJlm92du
jot18Nfjfcv4JxRE/NKt3iB7cYNPmrs63n7M68t2WloCU3vshtkpdGdHb5N2nrKdscx2tndGIlCi
wWb133aDjZi+KBls7mWQ+2QqhmbcHBwT0JsmFJJikBCgllHaIHQ3nuBH+aCN5GySqITJFWche0R5
GzZSZQ8x+gBgkWi3sDG5iJkYLFvL4t8NC5fNcyhK/FvzWHTTfpjZ4mc5qPxiZFWX0WhLIu/IDo7j
By0HyGnU0hqs2KJbgjNoHw+Kazqdkx0LCskSISnAHquZDjBxGS0Y56pFk0333iFFgDs8stC28vr0
aOfoFIhH6yX89TXhb9ul+LPJZarD/LmQjfEY+MjYLmTTodim59dMhFWsZQgU4b4/K0HHnBMVl8Wh
nxOSiJdWj/LgCQjjEW5gcieEHGorWh15CdU2ftndiK2XgeVi54Q29xD1Iq+dPCQ1RaW7Ewc8nF4U
PMq7a6Fk5neEvVkte/siq4NfiNbaE2SgJzLHs9reWssA46MRPMo111icjWCCloHvkHmGBHXBqNoW
6g45Tf59rBN4CJKYEA0qVFH6KiI5Kryg9By2niy7ayLU/Ru8cxUC16HU34LeUodlYtoIpKM0vN2k
FgW+gG/c7IgCpiRMG9b6SLbBPeNDxPMxik1nO9slCdjeEsgHz2xCkv9Gqzc3tB/rmXCkVVuEw6EO
wOxZgMOdbClvaA/0xJBhgDvRemuILmxyLyF6M6+egmlC5wOVrL/OlqZCrMdF9zFTQfglHJBdbEhZ
sM0oRlf/jayP4nm2ZogjbR5geY+NmVFjOWTDBfQfaAWFzXNeDXDEwhay4i7LQBunuKPKWW7tKgy/
lUZvwUSxPKoVi2KLoyRf1bHKb7oXXn5DbUNftfPFMKD3+Koy7genOUymL1pXyI6lpxS3xgR4qBcV
w8hse0PAp86veJlWAOE8TP14XUqd6fKQNaqjkGpMbs4CGU2aeFsPJH85ATvwuLcdsCFM6tizSsZr
ult58lDFE6XFjWJ0Ja47wwoHI8FT5BRECYSV7Pemp116tSSJdvKesdcC9oeGkrdDv1GMP3Sw2BaO
cyAFidqmyjQo3OOs5RpZ68msHyxyprD6i8nTCHkLiOZAfpCV7puZMLB50zm6BSXUpbZ0jL3jAfGL
UnRN2X5QmaE5AVCEHktfkLw3tI0nL7gLDsvOKbjApRuh6YofoMi4gTpAz1is7/Dew+GuTMwqOIIQ
cB1+bC/x7+oCSOBrh2KTClWVmlvl5Zj5bnOgMWByhanaxOXk4YKcsl0Ucgz0D9AIw3hlSsXNTjFQ
QUznN4xxVtwr2TRiM46Q1PCXtdXcPse5muNvvQ0o46GISfTCzW7G3BIAXHiol6CjkwUAH6dmVvdI
QZ12D24Cwz9abHJaX+yMkZaLgC+dvHuf+PgsCgERgaF0+jDD+J45Q/4pYWk0dxxIMRqtSuUSBrbV
9jtnKduLXCTzZ5SDU34YAtH0Ofxf/9pUa4M396EPOIazHLn6twQx2YZ2I3646kSMrtdeaEP3hJGk
E1AJ6AHlqznH7atsMutLb+V0etAZmPVOtA7lYdZ6qWRznXJ5SPoiT7cEEC2EzhdZXW+V0ftnX/bK
uihliCRhlEEMScJy4CpNAnXLIRCZ5WySRFInW9zD2cUMOd93RpBVm7Frx/5CLLqENsHzpoZtC9RH
TMItUmxDcOtcy6zORtdLN4n2kNk+hpZMX4y8dMkCnQvjXqZN2DAMkJW9m+kwkR9Y8GKf6qlJbwab
/yc02iCYaBMBvxjbEWDJ2PTZjobm5N7UdoO5nPZ/kGxUIgj0KNKxfGmQF3/plnAEcl4GkvRdI500
+woBhbzacfbTogvKn+CnpIpWyp1oAthTRwg27CLUSE0w/GgFGMMN3TIMb0GMBnCXk8X0CExf8geX
g31HbOI0bK1+tn5wTUv2mV8Wd8AZ0hEeR2oQ4uK1n4OG7A6QYK5PxnJvd9wd7HW2gto8D7amDAAU
dX2cbljN3MYnRIBTtMjF/9ZMo4v7ObHV6+Brr9+25lDczr7ZJ7tg8Vlmg0lcCXGtsEFXmcxupsV+
53BBIdENFOZrT4l4RzuEpwOmhSTccMYByaaGHWQwOvfGgMKJnm+B7Yr+mTc5onrIsz3TYT1v0J6R
7F0azfgVorHHHUM6y1XIJLQiFHWhwDSQyNtYI3JujWNK629bcfwVu6woaXcUuQq+4z2Cx9KYsvrZ
EHLwOogEUAlNIrBDbBRnI3bXFAaFOXOToivkKIPOaWyqKiieHKphgkGahG7/aMzjQ8zoJT2FpZGQ
kFVlU7C1rTaHJ2/449UUAgaly+nkr9yjMpen2wTnqshHY1eTJbeFmOrZkSI6aDrZSJHbCPhU9tOt
TQ9hW18zrnGlS3/FAbjqXuejhQ41J2CRPaUsHPLdHK9FU06XxNopdr/0QumkoUSGKbhpChKhViYW
CtyWvdHcLK1hPUClGUwiEzKSdMIq6OINqmDhbCSebXIG6NcVa4eGcZBH8pMkTc6g8cGl1yNSXJhf
gj4Ol31F5uetUGbLKsoX8qWgI2UvWD3RYttj0OOKaAau47QxHPNCSdn+CKd2+mzxJjlgSKzuWurK
biPfa4zbclnxWLnfMNFOup6ply7t+EE5VgyQIxHWHAlInxBlQ4Yg15SEwa2cGu2QHoTtk152h/oq
oe/rH9E/e3ATQco9hlgzYToMwjtCJx3lPsCK0kWm3ba0crwZWkpP4gd5Gaa277m5+RdxQom865zc
nbZmLEmZVqRdcjcGtL1EuVcvXiRaofKnbmn6n3k7kLNtVmTEEWNW4XXruz7c2ubaAKYNwyAoCBp9
18slNC5hUIlrlNKor1dg1SNSS/N25P7VHxzpqOzc8f3OLanCyLN1vHxxGDvJiKNOmPR7avnTAQmn
I3O0qTI6jPuISHwrvRuqrvkOg7QttrPZdl/asEEDbsqy+fF/w/n/8CFXU9X/PJ0/QEp+/f7rDN5a
/wf/DOEN/78YZzkmWEikGOgVA5Rl/431dt9CBwRCF1xv5qoJ+e+kAvu/UFF4WC380ERSscqo/jOF
9/8Z3UOMxDpJv9gX/7shPCP2/2/sAgoY8n/EDRuBYIgo3Vx1K7+Y1PJ+SgjBSa9QxqrvUznUtI3Y
3F/zfuEmbmaVc+NyMBIHS4WFlajyh+YyI+Tp2Q2wTJ0KRgj1BwqWVSzy/jvhFcWz7/NPNIu/f6eq
qtFiTwSYzbO8JyjefZIQIsOt58TFtxB80ecQktSj62rrI6Xc7zLAfx4HxnG8bkhnLPe9GZnsFyMe
/PyqlrmxT8LaPY9ctbHyZOYNh2f6/MtCufnnb/oV0/Gnj7PZedBmoJjzxTurv6gm9G1lfhU4JR4Y
UhSrH3mb1d/ioGm3FIX+y98/73cV0j9/3q+f906FBMnMU5rPI4Qq3QWFKU9s6uYhILfqfyUI+s8n
2TxA6inbRXr6+2+YMo5r5qW4MsqaksgoqlOO/PkDa++fFooNEAKzNXwI7Le/f4jR5aH2uox0dd0c
8FRZP1WbqTPZQuXJjvv2mRnxuFWl95E58Xfhyn/+OugyJioZbgPBu+fYFUiqYdRfcToGELdrB4Z1
MSZ3weIGd/Wkh0uGrwPQdc+4i/Om9Td//x1XYcz7NwSE9rpEnZVt8e4N4Z43F67J5xcN7SqVjYdk
hFP49w/5w+K0EK0hU4V+urJRfn+6hRv0eb/GTQaZ+0ObNBWoMfLbqSjSK1uq/ubvH2eti/3dH2U5
vjC5wTp8qPXu82yi23GCJlc55MdLNUnjscns7KYxRXwb2Mb0FM5Vd4CnDa1CF2a3hydQYr4Y6bv8
/av84TVZBaz8g9dS/OvnHeqBXTNOrnpiAqJeYgFlwgOoEYjzB8/4D58kVvABqip8ruw5vz9jrYyi
rmL/jOQxeRRTlp/WXvp+bPP8+Pe/6e1lePd4cVWvRnzhoHl8L3esWnYyPxfnzMwswkOq7psvi+AZ
oPWiL0Y/8b74cZrLCHVS8T02NC2SOZfjt79/jT+8OQ7nDX9p4JDfI969OZObubX0rLMt9Qr97fw5
kql2ruRSyB0goeVqtpLqyzKX1akqne7y7x//hzWNrxydIucKUrb3zu9qSXN/EALZexEc7Tns96Ds
/W1ezGofW3XygYT4Tw8dRSw6U1gkVAXr4f/r8apDJ12lp2fH8tqASnkdlKIwoc4tWl8/joiMzioN
9NfMCCy0TbX4qnBzfbBd/Omh//ot3q0yNnrapNI+o+2SnxAMg+/NY0H/yPZuTbczb+HsDoe5CeWh
F2H6wcr7w2a1kjdcT7DoiEJ6t0t7NfBYesLnfqqWi6K33aOF/TH74G/8w5vkcLTRuPTRuLMz/v6k
kY0ghpEWlzQSAmN3wPqWMlvurLr/APLxTrH9tvs7iB/Bc1OhuWuuym8/KtDcwaD6PodQJKH/pfMq
ZEtTNMRiwBwdp4m6Ik1hPGX2bG9rzCZnNyeadlPTvnpAedNcu+iJrieCedY4UPWhtHndKt+96zDL
cH0g5gTB9d7NEADGA/U5nS2p5vOoOmdnYc69QRriHeYkne5oZyavcYMf7u/vl7Uu6N8/GZeJA2uJ
myZn49t//ks9SbqSMbSGd4ktuPgUYygj1sjR6I+87mC6JW4xfybCIfeJyKxxuvAdqlPtkfDge6rG
fWsG4wdVwh9eQrBQoOWAJDC2oPn1++8l1lA4qAaXA93VPWkB+iqpsvAeqbK99Ziw3Cnf1yRMzsN2
sUZrn2l3+PLBc/n34YYdAgyETz0Lp4Gq/bc1k6ftEuKWvyS8prtqML2c7QSCLcJ/KKquX98xcHUO
U57bF5MzEEpTi/rGawje+uCL/Ps9eXsSaHh5GEAX3r2NuZ7EAN/4Mq66/CX2XMY27nSyipq0+2Fm
LjKjDKQHp9qjYIL0U4pYPDoq1AQKiuWU4jHa1IOjroNxdj56s/6wepDGv92UbMrG928WhMyKBygu
sUZyOw81CTAaf8PJ1pO+aqvvsbmgVFsIXwRBEu9mdtwI/mhzGRNZ2WIAG+bvHzyv9UB6t6BBhMD+
4tBEEu2/e16J009GMZuXuM0IXRR+RfpNBvxBoj6LEinLuznsFNPm7ntq05rkTh+e4qFB46SSVHxQ
mfxpLfN1kNqz1SFbfk9ikWOHMs4Xl0ilkwP9Qc/aqInOJzKtnmj1Xj44SP7vpoFxgCPra0Nw1vz9
kfx7c7HY9tzAQiXODui8e5107zp+N9qXJv46MDA0khD+m8yVWwH+efbUabS6pwLWy/HvH/ynzQWP
AepFn9p3va/+/hJltaPN0idIvu7aI7j7jDDSxt/7Lr0SUo2tb9YUqFfyTNmQCzOLT1NYnvw8QL3D
49lWVdh/sLf8+1m4FBEhPhJXULa+31rK2phiteSXWdMs301lsVQXIhmY6SdOFwkaSaT8UOIdvVjp
7d8fx7/PVZeoiXU34VGgoH9nlDHS0QG5jLMYz/9dj1H3gBeyeP77h1h//BTCyBD8w9MEe/f7M3ez
Hjnvkl4u/txco1EdcF8bINgVIyXR+86eYal/yIFcExc7OWgMJLl/fiqmbanF8tT0DtHPddAmu79/
sz88eo4aM1xZaBz679F1JZJCT/HFeDr2cWqs6rpywgxgFgbeoEbhMDdxDRc8/mAr/91fs57+uJKo
X1mJJng58e6xF70IUugSF8TuBCVNxgDovFyH1buUkVq2LUdk/zQ6E1p5f/+L3651v+9F3HXXCoca
ngP2/Z/cr7FxmCkvFYOms2hXZTxK8sjNrS9dUwxR71ntDvb9bTK03uU4KnfvGnO3N7hO0MRVzOba
KotKN+7vfaf9tM5YbhfLVVdVOyCcGJIfytQPmtStizlHrlQjf42U6oydx7/8oFb4dy3ur9wizkOq
BQq2deX9Uir4KiODTPsXdru+H/CaYQ+msTgolx7lTthLcvv35/fvpbx+YMCS4QISQLX5/QNZLvgu
HO9iYvi9S3TQ7ouirT84YP/wV/FWAjsEL7XecN59CKHY2BRy96IyrPhm8J0q3rTIcaPZssqZpLvU
uP/7X/XvA92n0AvhdeMsYz9+94LWxYh4CmNIP7fZNuymYVemlrc33Nr+4E+jVOEJ/boA6VFR8tIu
5HfjD3zD3/3yk7V1qScANTvyOtCdM+IkkaxLzPorynKUT0E2MAbyMN18tSU7F4EXa6qZP4qhPnlr
2Jk9WpS86FCA547I9I/dWzLaMrWp3uk1MM2CW1dt8zrwDqUfTpgmOsLVdLNUr8aEEfIeu2OxRI6W
Me3vlUM+qrI4DwI2edd2cwqFAmK59QYvZ3oKyBxdDqAQYpXKHwqtP8KyONUjSjUI6JKfS3PnZUqw
RyVG219NlbsL39DpTVeWP3ok8GeyQkkXrgMBZj1rOjPmwF3x6+TgFTf+G5Tdk/DZefnVz3Zlthdv
+PbsDeWuS13+7N4A76mYvddmpb5zQzV/dvVk34o3KHz6BohPbMt6rt+w8cYbQp54cu973niA5YeV
Me9UFvKv5g09H49mflkXTnELXqUD5+I7xgNNAGD1cYmKapPj7Z8uSVRFu6De4PZQfQHdJ+ixNkjC
ch4eU5JNL3VzynVYM9cFj4+TRnzu35j5DI9DVrAkC26Hmx6iPjrS3NuXqfqKz6UeGNSu5P08Tdp2
174R+W2Ro6uaSfXKsCKsvP5qRfeL1FQX5orzxz7fj1vBQQna/Y34j6IF+r+ZzbOLpwg1MqAKAgIa
5svZliARcgN6sxyWqERLtwVhgh/Bdut0JC9rxkDGZIr0gU4E47F7yyQgxJF8AphCZBW4a2xBpQak
j95bmkGxBhs4cWWkBwW26wJxJENqa8ZUFKE8IQamkGs6Qmt2ZbKLcbWTu/2WoIBQAWl4JtZkBf0W
srDGLbg5I7qornvWVveWyIBHAgfRPzkNpktmAwqart8J5cwn0ZHnQFllyw37T/ys3ZTUga5OUIBU
aw6Etn31ha1xIrhjnsRDhUb7Me3aaRVaTeLFe4uUcNPWuVPQNfxt3DeZRsc+T/OGxbms/aoa1bSe
Zvd+NB3jKUBb1u80mSKIGr1yvIQVVrqHIePWvFH90BZH/EJhdpGlgDY2aPKhyxgYihYGaL7hY44q
5h+kayA4aauyxviSNNYhG4mV3Eh/qZIN4S5ZuE2aRZrIR9Pa3aACdvSlk8MOPGBIoEAP7aatD2Mz
CTR8qGQJ8VVk3XOMhUyepR8gmSirSiPvmHuINYiecOPUSTE8e/ngmxucr+k3f3EFU+lZlOY+xGFy
dkZzOYQTTuoNksr4KQ6rApYRdIxPkpIwRdNTWd4mCVIHknQ4ttuxBpxyshpXHCe8dCsyx8yC3TIb
CI1wjqnLRhJREzX8yMMuC8z4GUx3LnENmkGxTVTXEE7ZEmV3tBvZP8VBkPfktSXjnbvaaaI2zgY4
BzzIhLZAEH+p4RqN5Pc2rYPHhWE61g0yttAMaEZzqhUUUOUC7mKTSdShKKYgRlBrmQ1GpM7zqx0H
ZvgDSZvl7KAEBf6O4JIqOBezxKs0Q/ElvKm0KPnxJQzkfkgCt1onpRCiNf4DZY59QWBK8AAGtwg3
FiuSWS/5hdXBihdb7RSeehJdC0wwkaVld+95ma8gedAm2PRWkAuaZWQf7coWPdDGl2uZnWW2/pzp
wi0ia2zqnJ53Tl2irXq+Xipj+SwCjIdRMtgwafKG3JhQj8ZPP3PcGYa6R5Cm506AbFfQKZpLCu0I
IbCzIInqBiSeBpwZUHbNrSc6BXt8CsevJoqEJ9dW9hVPyrU3Xhrkn/kBhjvY4uY9rgJDREFVD3NU
JbWJMKxqnHwXeDmj4FhMHbK80ErrvQ3T8D7kTkseEPpeIIMit89MS5enkKRkrNIkV2uc+aFFzIlr
LeYmUNIk0gPxircZBqQZ29nhZInGMRYvwKWyK5HXZBdiP3Ll0TWW9N52hPza4RZ7Hsxm+jEReejt
vNSoPvs6ZiPKVfjF8JzxGllIILB5kWCwqzvUUuCLE4DrWTXgaCrn1pX7PhvNW6Aj6HhISuSXCf3J
9SIlHYImsqSzSEThjb1pAhurad+X4zELRf7VdgbrlYZsfIOCmUrEMyfvronZ0KIW7SPTNSrtc5nz
y20dtWT+geJ+1aOMC2cl4PQ42ZKZ1P4c0f/oI3vvgA7HtjTErqBEkJX1He7dgUXZbKVG2HGB3WV8
DMcOPxNKN788wcvPH9s8LIYt75XuT7NreepyRoHyQJykuzNaLdJDSdLqSsIKc5TshKx8LqwB6U3a
xt4n02hLJADVmveaTyaoDK/yAx1VQZWz6PVsnSldaNvnxkS27zgb7N3QUhUAGiNWGFGnEfE5gxs4
XgDNUPMtjtKRr9xwOMmpqC+WnHLCYsP7lI2MVl5db9BHixMHwt4KX76YekEIVZqJpsUO1QSflNNk
5cYUCVs6Wi+B5L8q2i0lERzfthZzsS1yb3gqsAecRoQ1wPeEQN46DZZxV5PGTQIl0q8XcFL9HEH3
CfU+KB0fAh0amTiqRaXvuHMv+ZYPL2GAabf60cHAGIkdUwCFx9mdxSkpQ+9YtxBnNsxXHUS6c+n+
SJc4ue4XT/7ADVogo691cetUvvHciDAZaKjUTrXtCC9RKxuAHpDlIJMm1rRt2XDC/F6gNr+GTpIw
06Jq51DQvcL6GuNFQDpSmhcmd5LlAjnuSIJy404FdKI01Kd4lDXu4ZrA+c3oxoZzZbH/UBnOXCtu
HMcazEiQir6mwoZxOm4nVtRAFhHcqF1BkJy9sRuW5maCbge5T9M936Xhor94TUxlMbSZpJXGUGpX
eq567FqLEMzE95N8r3wv/ZqZynvxyK2rIwJgJoCbU2a/ONofb6EgrsFWNlF0K73Oux3ildBXVEmx
OqwrM9iImicYxQHVNLGsI7FLwTJLE8FeYlEWBcJ9TI0sPc+JF9yDVJnvZxqvINlSxz0ZtQw5RVnw
Pgi1WGa7ABWWi+9vgFgGfC3b+oQMfXXmYn51FdkS234Q7sPUpdNDiMkiw3UUsP+BSsOK45sy/pQy
vRkR5+g+vmtdhdKMrF6CHO2VYxeNYiG/LOkCZPBEC4XWfi2vrwxqBRlNeb2ePY0abv1xTr9VRAVu
+3BxrgLb7XbSKvv0QEXPnjKOXYBNhVyOayMch2UftyGs0YJ/55vdNAqY+mTiosrZfq9chOxwPM2q
PeWm08ljO87Vbek2/oFNhpTpHDrksktij0ZAbKfglZzGiV/j1KzuZOmnO4k1U296uIYY0nAbjJFg
+xyjLjMqLyJGsMWib6Bh3C8VeM+9U45o3GyzKBYKXR3+BO0miY4FaljgpSZyezOHZC9dhYVjJ3sZ
OvjV6qB3UDToBXbTvMTufV0O5Wcix+NuX3DkOxE6M0Jv09xAtI9XuroMYpI6IoWn0YpojrovOQJg
MA1YEWgc85tsPSvonil3QzMKuzGp9/3c0/gZpOA3KWf0PbjLHP+xQb6GOcxbqgcTyzVlGoZmgpcH
2tE7E1DAV5mN1hXj4+XbFEzFF6C+ArqcTlUkcfPcEUmJ5K4ZOn3wpsIHNSuXlvJnHuaDR9s0Poqh
exiaPDwIWEJWlBUUWwehbARllF7iChct9wQf/+JRZm5w5rx1QP5lpk+JTUahphbKhwqyHMON5g6P
1vBQO4npbbhOL1gYx4JkSacZnuaynu8qFlW5rcMeS5sx6QbfbFv33pHtNab0my2ziJa8bC8Zw2Ch
DGk38+vPEhsLcuzpRRG0SAiJ001XS8Ifs5NdNzzB20nA81qJ/TLNScGKngQGhXaOecCij+8RTsMz
T7q5uGYiXf70FwwHCJ8Xh3RofP07QK05JGALLfhFlqPg3qIDxQIGUiGwosRuOxBLLfb2KADhN2yM
cmppJoZT7wHxxdWBZ9iFFJqm5nx2TEezoobYLfZxHcMYXUriLN02T15pafmIIF0PuWPZG9OjR96g
c/BHM/5ZWoN9csUc0/liP3pahxLXKVaH7MSvMO7Y38EmpDYRK6Hi1e7K/8femSxHjmzb9V80xzX0
zTQCQPRsg8lmAiOZSfSdwwEH8PVake/a1X2SSWZPM5lpUoOqzCIZjID72WfvtYf63k8riuHFamfq
TI9n9ZykTMB7r7/VTVvB5F7W/yihTvxBbSfiVwwlY/qViUGnUL5rTTcMMgwd+KBvpdbBrd/aV00x
btxb6zWMy5X2z5SpJmTIUT/r34pssRjg/jCEqBmlIvDeG/7NZYE//ERdq/FQJbw0m+Zv9Tb1qMHb
MPKQiLtB4jWc/hZ1d25GaTd1etobfqWl56hm4R1jCax/8NRrV1zvQFzXvxXgC21q9qZ3Kkg0WHHA
zgUOKb6tRc9qtfWKW5V4TSxxirXaaY7O37Jx4YzcmLEvU0JODgiIm5vZXLOHJnOmi+ggnEVuO694
denK/LBN0QwR2guGWD3Q2vtUpAGg4t6nBL3Q6UNfecZD2xhzZkry9Mu7FHj3tpW8FamrtvCv4m+9
unFrWv8r2Px/is1/M10kt/+9Ue4jr78+v9Sff7fK/f0r/+TVWP/Qb0AYdE0KVtgTI+//swDG+Qcr
M0x01CcD4mKX/C+nnGY4tCsjyQbUvNBjAkXrX1Y5zaSU2bTRxW6o91uD1H/JK+fTuPyf5C+XzTKl
LIHh+Tzy/leHClRWnziAAntCA+S4X9oxkc0zvuRpSC6UNhTaLhN5YVyKZHDj3rBa4KeGuAJ1CTZD
0oOl9lz2i33RkhvPVXsIZl2ccm5zYSM70Ku5bjwtnv/qBM7JQ6vZkcchok+QOCB5DEreZ4CvNbGe
SGRMe4VJPB0D5xu+SBt63XD1WuXH4zj/0nVQ5kz3mfbIZ68Fcev1EFg6e2m+LX2sDoutG3vhEqm3
s7U5FHz7+44/8tzZfjpGCvrsyWw1d2cmtrFpktbEbuuw2kh1tQFdkoVER99sQ94EjJPl1ph0dG5G
oy82lV9iMh67eu/bCWwNe3kgI8Vp1Tx6wqdnFEK5lWfjySPAS6sr6BeQ7Rmwyx9r1kFd0OSWlhtI
usYOuIt+aDmB5FHopXvOR8P57CcFmIfP6nbW7WcKNLSDok12BzuWh7/yg6ipm4qidCp6vILhbXRG
LxbGAuBGAR5BkeTRb+Z5PK/Td03O+7Ezl+6+X2Bm6XUR3DGPuaGPNyYCZAErYkhe4EosW7dDMuQW
5bgbrc2YyrLhgWRpd5CaxR5Vz4Z7YoYg8ckJnzSN0Yx4fL81LJkeCk2ibDSpcQU03bQbsljyW4Bm
jFU+GG9rPdmnxc2sD5ZZ2q4uRL3PeP0OvhzpRx1zsomc9chYnWy4K9oJZ3NimyF8uTPxUUh1Jer/
Bg0yLo0s7ze6Usu+C/QOBEeBjXhbBjr7gm5aryqn5NqX7YDS7zmPNTPY3sNKFoIndaIu68qTvwwo
Lqz7dpxMvIYuuYOtM1Ted+vP7Ztf1PW+9JeaDMBsHuzZKq6INNSMrnCBSyKijLKMgRmxgFPApvJA
DRA4SX7qOx+TKVU8NuBY1dG3fUN6ajFNjvZZtTp2aO6uQ1ing3I3FVPiLhFV+7kohU3F0fRdPxKV
2pirctlS+/q0tcjrbBTtkfjkk/RsCbkezKxXvK990MzD4kCPzBlc7ImgjzZZ39mkfRlLsPOahUhB
MSjtV4B8ErYymAk3tcFny5rxRbMz+5k3zso7xSvDwSnnR4Y+Jyawr28yTw7f6WprR71IpydRrtrW
EflrU7MUcxrC/GCjsJVnc4X2P2VnBQ+egGZtxZ22GsQ2LRE7RM2jmZpgGET6kKE0WJn309NIuQuC
xj55xfKY1qCuGIbzx8aZdxMEGMFBtxN1ux80p76bhXvsZC3Oga3vEWSbZ281ux1vgzuMxs8AMD5b
UwzAE8ReubIIiRbcXrDpYzED7bK26ZM92V+rkzqULttULJKkarlzlc+GRl/LhnzNnS+MN2+23V90
9hWx1aADmMLeY1T9BJqgx2bTGrhaKovpe/3Glj99qam6J6xxbdt2h4hM2sa1Q+7V99m6vtTBsEuG
8rEel09lpm/L5L0ktQiHRiPTKJEQvVZEg0sG0tN3Dohj/IrpqdWdN6Oavj0qszdUCSTRXKVfidnf
+/qafcA3gSi9Vmg65pz9SdzuKci8u6Gt+xPA+VcSSDFMbhp2KpgXbn6q5/yAHPOmTcp7MG0NeHve
v07EM92c8AOh123bZQ+Z1x+tztPiptGPGq3IMYr6GWVkB/yUJA4XVW75RdQvECwGz9v2Q2c/uwRp
dlWBVWFDVWt+nXvH+ensvorJ7zzfyms3yl1OFJbrcQaye9M1wV0qbW2zNOBg0TqhHHjKiWxj5hpG
pjJaRz/y6982UkNsMcNueWZc/IW+Ship1RE5E6XPNu8C6jBZ+8G0n7pg3YvKOYOpv0Vxq+8imP/k
q7aD4IMWZGeXoOi5L3OZn22NKI+TfadQptY+vdITuHd1AGeZPSOFJhd0D+J5ijNFCu9PQiR8Q4nE
Y6bUFRjbaeaTsfEm03y7gSFCeuzv4XUPe5IoJgBh81GZFuFY9VDBf/yhKAmUeyndOJNk2Vuh3RVw
WuKCFfrW438Qr7Cqtq7V7rw80EHtSoMU/9oxst9KDICEEF71TuDFYBpk68sNA7EhyEZ8yGooBaE/
8TnrkXgWa/0YB/YYaPjVHx9gzRMYHl5Cwd/dmm1DkruQcmeYdf/ti2De5IKFNogq8XuFYRy2/KS7
wNT6XQuXjFLlSWXFSXm9DBisXN7g6yrhpJOvU7HpBckdFmjmqWTKHWPbV6r6GuWUP3c9/wyFzjZt
62fjpPYk2YsYlvXjmIHhxnvZQTciCz7CVINlrDdHsxoSRsx+iuqp2ObswM41tcEgLBItLAObvJtD
XRS/bMJAfr8zNT5wWtOvW8Psy9hdhBdB850/e71287CQlh7pQrCZSJmdG5TXzpyPBFQ8Uur5MM3X
2uUYPALfLvvIJKDMLOPOo9Y9zAXpwalco7pDVVBgsuOiscYoT3KWCPBZxvbTGTOAJSlca9gImbbF
avpO+oTNwsSsspT2K1gYeeCFedChwHs9c3KrjyT1+0jlZZSM6V1il2FQkb7Pck6AbTcjFdm5cdKr
5aubljMGTxkms/7YMZZvs859MEh5k9/iZJVJqrbr1PMzAjNuk7L+8XWmeK/NS3oimjnkV8i6QK3B
jMVIzSGy4mfh4k0bE9ffklIH/YTAMaM5j415FTQB8CpZrEIo1CLyrH0t7Vzcu+0gdnVgvbVkU1kJ
AehgL0U211Ikllv3Je+XSwaxbR/0LD1aDy5HpYkAdFfdRYgXyCxUCUNnX9YwcZbpUPq5ta9zSC5b
3SFSBhFPXUotzU6085b7KhDlbloW/uvQvFt+QBDRU1DuaGPJ4ZIrmZxb20/uiA5X9E9o7Pj6ej1N
UyCfJ8/5QAzoYxDA2nmZ5E9fl3Hf863ovCW1Wk0HrmHuRzEY7BcKWw6bVahh12ZBbIh2N3gUzEg/
tN35tSTPGVeqTCOR9uxYFnki1fbm2PUQ6XSNXuuaD7xo9YS3AJs+zGgcgohu2PKT/Ej7xkINvDd0
bEXE9NkXIpSeSeevlGXEwdYRzHYzs6FAbcrNLtg4Hr9U7dYev4ONOEJxSvl93MLbWh2ZYN8QEZuU
lppHEqwdUp9V0WQQ2jZaxqmVs8WEvxBaRvRY+mrZljDCUJassp39mIgqIW4zHd8A3y9jRIuMJcI6
87X64msNSsGETSw9ePmC/l5QcLGtbQC9MablvHrQ0sUyPgZLnw89NYtDFYp8qdtfWTEUKJyyLrM7
o9MpSeUBu3h/OpgWs7G1MivpjkHlKbnry0H9bmXqUQzrmlXBlKwD+X9FwEx/ZiO1kB/mXGhA+LMJ
SkiVmhUlEWMyBKEYzaE7smHnSqjhfz6hVGf9Vyf9EUlVI6CxX3PMz5ReaGv+0nG5PXYuqf1S43lG
hrbP8n1SWANMxcE+ioQNwVjN83gaBOrHjTGpko/bCp+ObZZUrPvUNIk7ZdflcBJlll2pdxlCm4Zh
InJA5k9snfL5OOaVwarP8sXehNvfHuigqPmJRzvn2G8bDRwNX+KTlouyR10Gq0/rAOFudTbWrhi4
I9eJeee4y8RkYmpiOlh6Ul8DZM8vloapzulnULXXrW4xRogPZcbqYBmomARwSXzfhfJjPhRTkYIG
nQreZbC/fM6urBk+mkWjv4U8dY4fde4Me7+MeWe+KYRt79gI1+V5BDhsDLFgEBMnSlyIbp/SaKQ9
lZlY1baee394anK3D14Nb+CBbXlLrsd6FWiSVAqIF7KTo4KbT2GGrIAAuqXcdOyetLCZRK/tmrZt
Gq4AMnUvnlHn1nE2zKyKUiOXVWhqJZ7LiieH+A0jWnH6ZJrCZ1zNzrm0kpVzLwnSm2RofEr/1lvd
Nol4oYZ3qUOOhlrtE5E8sSzR3XBdvHy+KGcd9vncrsZvH9My3tx50ekFJzvMyLLpl3E5kZVt7zDZ
iXnHR8xVx1YCltRnXyt2doYc+Qu9lBaRApWtedB71XHY1sASN1YB4x2OxQAuThvUZhkMJxqn5K2t
ffeJ1G19APzlEK3gzBH4PZhmsZMJUqGh2xRBVBTLvGebz3hnmuPBXy39wev18sHUxbStgC4Qou4S
IpgsCPr3QCXGA/Va9nuSZS/MTbw/sSRCds6ahNYlPnzb0Qhq/PYuDhM2qzf8PVgj2tHlFPqGm8hN
tsz6J3wAewl1XwfX03ky2PfcxV+Z+CQ23X72hmNX+Z4eZusynvq5YalsDn0coJGZcDOMpN2WiZDB
cQr8pgo7dyqv7px+ytJ0LwSCRdwnRrAdfftuNSdWqfwCmnS8EKdHmMqKxwF6BtvMrjjW3jijdCqj
uhdp8bP0xRACly2DeOmyFKnfNaK+t2e2kCZIHNSMG8nL/r+pKL/k3xQ9tT/yP/eR/+0Y//5XWfn/
a0XmdMr9n9Sqy2f1qfJ/16r+/oV/alXOP5Amb3YoDIH0Ov4Prcq6RTdvFlXSPI7xH3rUP1OdGj3G
5B+QN33bdLAlBpjD/hnr1AyCnSYCFwWlHmZSrPP/lVynSWjqfxKrsKMaaGZ43m1s0H91sX+319XJ
jVVqIgcEs++B+Lqh284DEk2clAkHU4M4sOFnUFHm2yKeK985YGwcHnIW4VidzPo0mKK6ujL347nU
xLG/ZcyblJAFRXk95znHcboO87Cxp14egaW1h66TC6vkYtuo/iRcdUJLN//A2HyvcbX3a/IkVwiE
CUGjlra50FUmm9O54+mlL3wnM/Sr3j5WfPVuJHyl1L0lZgcAfNMftKCpoKCRj9FKlkFqmU66YOns
GtqPZgavIz0VKYrNoFG7BM+h2szIRGNnM15jGTp2yMpkD/I2WgMBaICOmaUUybXvP5fb0Dbnzn40
izlOqbo5db3xjIARB1Z7xzxmx6teX+lz3SH4sf9a9yBk4arJMBDLvr3V5+GCDiKUqWGD++i+AQDB
2nMNM9Pejrl7sbXyJdEiDEpgf6vg3qjy14w1SW9RJ1/lEZjBMHW7j8Rd5KaG6gT7zvyjD0P2rqdu
EyLFLHuuwloI/2/djpjfDnnKkniGhjAHPka7tN4TXbcoKsnKp0ZkJzbTeDqt+lQGvsZkwSzLFpAB
adS/oUYA6HB+c3U+Zrr22NVXB/KGU8cTGQmoiGFdKfWJT2fcORZgZt8Qd9xSEBpeG8BdsMfCYmBM
w7AO9Rg5U0njjXdUs1386WQG8qkxm3OnICVYzIO7anQfVlCEwgvowhyaA+TCae+081eKTlVKduZe
Uh7VmLF1W+vfeT5+00l7D07khD0U/oVOO3uRw7/jnPlxeG9tC7s5UJEU08QGAEZfrRjTUbFHhQhx
FBQRw91CxxLpayZr2uwLHUbymE7VsRrWs9l49q5RKmdZkTwJF6ZrYwD5tG7FNnm517vhbgBvBFW5
/4Z489209i2ScLDK8UgbF8hRsAwbQU88RinKx7q0eBjL8g+U1UdDrD+mwj/ipXKOWiP/YwNVDkzi
9+sSIMMFsAWH/MW35UtZDHdppz/TEHZDL9R0Ky1GaJo9d/jZiojmHdq1P2Zu8wUgfY28NXU/iWF8
0X8JhdMqQRMWxj00XHZy4hq0Vmj5oFC0CkNdZm6LRIKIBA0Mas7S3WdO9eaBSk+GZKsBSaiPxr5I
ze8ys8xjpuHFbWaW1x0syBAA4LEvnU8TGrIAnyFGcFfLIVixEuQPa3pyKHbxoJw2ub9ZjH2CvQg3
/m93cY5INLtuPLLNWQ2OqtmBCKSZlGgxYLmAj9ya+I/YWeSB6lWErUhiUHcfhsV7RvlGzy9ablQ1
IUvq56Z6tYbndvZCNpx4Y2pIeXzvfOS3Zf+p6OPDG+J1r7AzfmcYIJETbqYxll04UfFqpBzrwciC
+0NJZQR8PJtWMzYl9idsq6UoUm7VLbMrG2IrW54YGTV4SmKFvWOxkna+nWK6mcxtnjqQSBst9+0D
h7+efYD2dIFQ+gt2/0fdHezm3oMV07/jCa8NOkhtZp5A9AYS6ECKxNsnC1G87SitpDyt1VK6Gxwe
KWou3nPYlFOW8U3J1PoSXe3f61QxidCg/uNREpjUGDPt7jAXbRNsLJRjblMF1Y8gSws/Q72zrdeq
rGaTMj+IQ7uht9zvVE9h7YgG4GQ0YBLj6VysvbQ2LhNcsNVEAYupaqp+2LqpVUzhMGGIi+RI6328
ct5QdWiOM5Nxh4N00yAi3Ph2VfsA28OLEoDduwy8zHvNpJ8sFR9439myKkC7dO2puSRiOFR8yp1F
lm80CVWfw2rcNUV1b/uFdmmHxrq2CfDGDlimiUN3ebaMjkoy25PvrfCbEPzLL2RkJBA1/g4Y7fa3
Se/ekBMfHQo8hNNt6dvdN6Y4anUWHPs1XhTu0bk8SUddbDSjIE+3tdttqStlrT/sGQoiLIa88O2D
sgY8TMGutPi9gwUGG1NHPGmXfboeDdXIbZLG8BrryxTMRYhD5ZpTCUmFVPKO9TMKks47q4l/MQ5/
Vrvae36to/BljPTeXgmg+Kbjh2goUmwpDL3Rw+GqtYgCStLfNSZHjb16ItTOGiemdWwgpFewgrBp
lvHKp+jgprhfMtaZQG1RRI4DTYcKJykcED6SZp89uXly8bs0pgn4GZqMjkXTt2DaZvV5xlG6hTbG
Hmd+rFqtPthVdSKZKuHBzQkyEpWmk0oQZsVuZIez6ZbhD3biH78Ec2fRYrfPJqBkRlBWewBRLGE9
L0JcpFmyW4Ci8tlbFTGtJKsfoF/GxlT/iFGjNkHuEheMotDv/OzdskkmpC3y69A9oPWyAM62pTXS
WVDsxvS+qdwpmvzgV6bN565bn9wK4Br3iykUmEa3ukvgoSt3VbfuPV386It88Ky6uufKX4ezve4G
Q/iRMWvnyRnvPCGLraC+C5WGjq1rYM+fibpPSLNvSGcGO1UbcZbX22A9C7cOb9bmiesSR6k//cZW
+ssu6JTrPB7+cjYwGtSmjLOZ0r6M7Ee39C/Sm49rNq13iUagQRcpTsIldvAas5aiCS8AzavN9UPt
lCgYdnFds89mkvCYx3ha1YEqNApWddDZXXdM5uKdKgVUS3+rtfB1E2jbB0OS92ntBdQsHxIvfxow
Jgk8IR7P5Vmv94MPqjbv3OCkldmPZ1ETRDMrHs49/XobXPkRHMQQNsNWBj2Y5543wLiM5Y7WzV8k
feKlTcOUzWDq1e8UFF+6Ntv3REFS3dssWvOnYEpUdR2BCoEkxlfN2/LVcuTexe6IZ/ceHBgfQ53S
W9+Zm4PFusLq2/0CTVFlwZcsPfphHobkfIPWdj1D2oIO5/MwDq7D3J3XWed+8wJaLQKbvpPqtbeG
vb641a+RZo4WljX44l0t20OfaHvTZI1PM51Vs5vy3Fe9/5xq7TsoM47+c5tM+h884CezpPUOoJED
NbVKApgu2ktNwV/E/tHcNaVf/+oUA7zSq2c+k7iHQRBvaB68tI7O/sv9cQtUa8mVpgfWtTXxnnFU
ztsmE0855uyF1RBgMad71XpfUBtpRP6imh2A3YQ7dINnmEchSV9ufAmAnru6oDIk+HDTyCxPA2pI
7kQFOMoNTlEWDvmaPqiufaXG424siNc5EnNJ1nibNIMrmCfjacKXwR7jc7a7E0rPXVCyBsUPBye5
EPsSNzUtIyT5sg2qShVVYojrYljfVA71vBUfXYU6m/ZGGuHxikZvlw4c5JN+Z0taTj3YFnuWKslL
oZJ9kO/JL7CidB8rY5hDrbXfg/5rquB0m9mevKOMlsR79NhXh7ql82QADaWTB4BcPg7I+YnHzkBt
c3y/dsH7Z8HD0bp3gcF6McBfBKG0505UixfEEJY3xIzX7440JSsRb5nO1jwVIaWLFMxJU4G/1MrL
0Kgq7Dv7KgRHjNE5D5AY5/fVHNafHGJrjnVVN6zsUvAeigRtu1K9rEvPzTo4emt/IApFNakJ59Uo
t7cATbGwPKy8eOrcGM0Xq4+MHLuiJxm/5COFKRIrUzb9qrL1WpvcsLTl1Es1QO1ixdBmmAVz41VD
JyOcuQc9fhASDzV2HkqzgjNWnnOB8SULaLFt/Nexnr87Gm2z5jEYnS+orrfD5a2fDdrgfGTwMcI6
AzeaZpurYzQaDCtaBwe7OmgpOEvZnoxiRT5IqR2fADaKxCTz1kSToz8brnlfk82YkyZcbdyM801e
NXVWgB1Q4M3AfLfFlI0o6z10PuYF2w6DRX5PdYuNVFBYPUDrojKdUAW5gVuKZOp48QYHxzxS/7I3
/PkFNwHDXE3KUpflNeCQvbUlCDM5WGp84SJ4HPH0xAnkrE0Pn5K0C3eC194fAxajjnnfDPa3k2tH
xfMLnPRXgGEtGqtkty55JJ1HjpXrLSsg7FFFpWXKjRA2bjqH1pspGY8YJ15LS2NbN96tnVFsHWH8
YN39k856PKbFrzEYz2OmN5ix8reb48xe4P6mwR4HGXGlvUQM7tqPhDirYCbA7rAC+uR81SNozXiJ
Ge6iqmpe+3YMfhXLKDEZA4SsvZm1zhhjQblf6dfa5l6/bOjglGFqqVcXJ3BT2UboBTkYWu2zX4GM
NvVL1s/LtqiDrZEbv0dJB7vVe8dhuu9Nit49se9Fr4PiJafQ2Q++l4nn3m5iWooUO01up53XPVYg
rNUKi4340A99o/yICY4/j+rLjQRjhnjME4uSoqifzU89KUmXLNZvqhUEKQmWSwSd9lT84IhwytBK
ZOzCZduAQ0E49yaQufPALdH+tL2G50jgM+E7yzNa3Fcq2ivjvWHj+vKmGW0hluMYU9LEgrz0Yptt
sho76lXNJ1Wk0WR6kaPovR2t380g9r6an92ke7tFr+Aic1ViRqKqs/dPQWXHQlYvSXtuhvrRC5z+
KXGI3EzTXtjydsXZdNnXuIIoVa8jVTcX0aO5Ym8uPsrSF+xJE2LYWtY/pRi3mRQesAyzzcxYqfDY
rrI/qTWul8KmgmCjtw22BFNqNK4WI79gLiSbrFXWIZuSIFpy37wOhtk96Maqn8uS916f9JgM9Hx8
xWEybh3sSofKc5eQZVoWJhBM2Kn0hK894gQU2Mbc5zMmat7AuZkaGEfZp6zrOHBW6LEK9C98mEvG
6j81DmWNOtg7/bzvvbzaob1/aGbWvNBcqzHQpeZXNVf96wACA6tRPcVB6uW7hqzHxrb9AV7mSBsF
FZaPNA4g+yaus096PK1EIHorzjLferHI5rBHoXm5pPhhMZ8oZykcvn7LmEPvoAMD3snovib/QIWD
Xd4ogDzmiV5xqy+dhUPDLdszR0vZ77xirUJ1kzmGUo6XrMuM+wa/9bFuQG/GpPyW325g40Va+vnA
E4gVwJAth6lNteNKZ4crJMDgQaQIBrkZL3qA5Sbz2C8B/z44pTm/DZ03Yx/E3RqOfJtPLrbOn4T7
VJiTDabxeEr2OoDn+zmpl9+lEzD06vUSLcTkCAk2qU9zbcEURNsTyVkyOVlktN0KIiSdsf6n/k7j
/fCZjoO7C5yl/OJBfpxAw0T9OunQ2jFuE3Sz5z+243dvcpqggpr0al7xUmDYB6N+pl5X71g12sl+
8tt8r/c4c2pGdTYGxMKcid7blVoBzrD66nMe4jHNiyQeefEvdUNFgJ5q4HcQrhGRvIlcy01fhM9A
fvYZESahOWp17lxTel+zWRdXvS55vQiIFzssPlrcmXpyZSfdntqis851PuFdNfQTcTdc/yuU78jS
YKhtld7KR9Id+kfqZON75plg6IWU6yPATAYSX9XVVwp51cPG1Gqhye0WH6qke7VYrD2iM0MsxcHO
74ZQ3oKpxFLZNklkyfIrF+yDhvLoaG1xLrgevclSLaQLLeekUZwFKyUJqDFvTTM54tOhXtqXPTny
Vjhc19veemV+whx1I2QmunfI84aGsfVADP/RcHgPUE71hOP400zErhcJZG6R7jAXTMRUDI/QSzn4
9UEmktKfZRhRAFoPAAjJMmc5AXfnMQLkjVGJRpnib5P0Dl8oScZknq6upsxQgIe7ZY30rAld6TnM
Hk1CFQNLP5txemcj4FphgQf8qVVNttN5VQhgTCEQ+3FXJjKtwrGETRamSkt2Gl8nFn5nhPWQVdSJ
eeoT69UrO1njQdNnm3tAc6osdek0r9mYZSXZ6QfF441KftFs76m167j2m8cFWxmMnlWO+xZSJQgI
NXrUZci+hnM2jM9p032UjXH7pFJoeajzYrC3FtY2DwKqyE89yeUqkiWP1Mpfxa6b7S/i4AuGcsTX
S+o0+B6AL7lnbsgGez8sa5vaMjHN55Psj9TY9wCIZbJzcUjQ2dE1HQ01K5rn6rkpv9FZn+FFi0el
c9U2TWYpLiPj9J51dP9uYPBSz7JCZsZ+NwPDzw0dKnXfiBcNIwI4Y/6/oDZFEQG4rc6rZ097yswO
OBNAY1K7dlFm50cWDuurZa+3q8fqTwdlGxWaopcsRwxrQEGLshsuc2IP8QjYA95UYgoeIUYQW4oJ
kc/WaiCqSHlAlIlI4jGg0Uo/paMOV2Mav4x+zEO2nnSguABlZd9GgYspObN2Y6/O7WiqJ1PWTPcj
W99vr8IO5lTcQxiYS0w7LnHDbcEhTi1r2f9x8iGLV38oKr6L9NYO7mSXGTjzaXUH5BLTzKZ+Sw43
PbpL++D4DnkRWafisYKi9ZEygwWbHsj8zW5v82kr0pNl8MSmK2S6Nz32f2P/UrYDwqJMH2mfk9uG
prGwJ4Nk0f23Q+6weXkLtWmNW5LOepbmbhWJeg8SrT1XFkpb5VVHk2cto03+YRHj3NM68I4T5MGY
5RU26w+Pka3ipeRayhyu3U0Cu0290G1t2wru7/CGBMYfWZI3agGryK18detN473UAhGmSZG6Gcaw
8dWpUvx4txqe3ns3W/sZJelm9COkElTWg5q9BQNju6sdbzuUrbbPlfOLxHcWYriTj+hMD3kzxzna
aqFfrdXwzq1Tfs08/4xKoPdqUJbOY4MfgPXl7daq5RFV9j32EC4nmLZ2vqbR4IZely0qxn5qfiRL
SwACHYx6J9xouXAjf6A4fNSvy60GaPb9+3ng5uAE9XeFyUq3W6I1CV1ZI+tK2ymWuHP09pvUWNzx
VA6tsbrXy2mIyK9h26KiyFPPrBnlDl9P9zSNNP+Z9nzuS/O1Wa3vQbqfsngZEhwemIHydbJIwr+2
FAnF45ygOcmavWDZLSFG2DVweRFz70XpwWW5Zbs1BACxTFtUxHXT6wZiym2NTuC6RRtz0vZhQuWb
yOnMXRfxo8YOT4SE7UstCZSU2a958TjXa3vaYlk+BooqFpIU5O1s+8nrgTSJRlzVON6TIs82DNBn
tVq7XGdeyLGxRflS/ckG6gd9SaeC3hf7knvaGb1h3/ppfikNLnmAUmNLa5IHy2AuMALxx3K5kK6s
wh8QiJ9mbv0bd2JWTpTz7DrOcekQt/uc/JekOHHI1Z6djv02thNTQffrVrfCXNSH0q//qLxQuyrr
ZMjJVOj3edFoL5bpNweFE7XeWa72jnJwGil03+Cr+eWb43b15nmvT8Mj9Vq/ifvl25WEPWmA+mcg
oYC+8jM3xqvfj0XYWgOhMZvMYZ46+U74WRmjqLyoHNVcT/vHVO/KI/LzetFyfDI1jgJyS3UH1ZjK
in6AQbfMH25VHYLU4JVDDYPV3l5R4+H31jq9KLncYUCz/zt7Z9YkJ5Jl4f/S75Th4ODwMC9BLBm5
KjelpBcstSSLs+/w6+dDNT2jDGmUpnrutjbr6m5VeQCO437vOd8JiMyjeUQz4+ggti1lC0/SCp3y
Cg2MvfU1Tf3WO4BJNLemqLlzIUYhyM7cZ4dazvRhdnSE1MC/1P1iXRkt8HVteOPt1Asj6ExOsbE/
7+ellDtOBjO2iE5zhYvHN3e5rOrsFvOat8M1+aAsOHYCTNUnVN8jEAfTvbaLKEo2vg+9wU2NlARV
F58snTWyvr56TescF0O39/My6I98yKcL4tM+L0aYAM2OvGsSh86KnukSGS7Hk3ptj6QRbKX6nFNR
WOsQaZlH6MEaiGBrm3fCa5F/+SiGbdvakjN8id/90C/VTnj+M3qM4StlD4OSFI0x356vOgdUwzR+
s1iXyX75ENOHKWkPBSgOzhaqOKxoSLkJY94RNedcWS7vaTUJpCz6K8EY+4IoUME2b6PGcJ/Z+rFu
OveYQWCW2I2IRCIn0jB4SCTGG5zjQvsxIdqWqNeupR4NDbqtSXPzSRdR6XaOsM6sIQ8dO4yNHZGy
YmGExhB1Dvr2iFqCqjZLNN6WNZlk+OTURkM8KFKKsPAel9H+MqjkwkjTc5GqszTTB1+zr0Kfgh7t
LEZ65uiwvkyMqL4eTRGi+45o5lgs1QSnLFtaGjPkhKgEuYDMiPiwVULglNUlwuqj1XoZu9YeUJ9/
SUBQfibBXJCeYBjkA0kHDbx+mMP8CcX7C10sLne5cRH/srSvOwTo2hSYevRDWztv2OqTn5mkyePU
YMsmx/Qo6+U4T+FFWIgrp3EPKU2sDV2/C0x/53wYW2rARASsfc1959hITMi0WiC18bGzqTia/kUm
oOlbi/PULh0zZxy9jTc54px2yAOJKMHQV21QG+S00d0GpRvKK82V7Al9wD2bu0QZOOzbCIAF1z2+
1C3NDoOpH4sFDeySON8Q43xqumnTKHlW5jaaYVCC+1ja/iPYgPzcqXhhreiaqJMHlHfPpdl8xFNd
4eyodn2Luz26rjFQsXNwZ3xjsVyzmDx0jrwrwthYdm9sQrZnbBsisSsZ1mnF7VCn+SbnPhAwug9x
I1CiAkRhXnSRzM+qjtVhQU4XQH7lAGFIYi3NnSP2o1vjml0IBSJBoq1KdKhmiD5S99f5RN4uOVJ0
ulBkTbYtD3EuvUcFxpbPHE4OQ6v2Rrr2l55ux9Aah7XFORhkspFfGW/rGB0vgQSfnLS8TdPLUU+7
PIWLv2SSA0xWPtTchctFCxZw4T4Ize+DwrtDutpsNbr2eU3aXbbOYL645pd0aMbPOE/rvYOk3tDv
TBddJW4P/1op77ZxokAr+yatqAONVf5eW6G9kT6Ae3fAAVhaZ4tZsuD0zw3zawXMj++xk2zSGvzi
3Lm3phWdLRgC+GMHaqo0NWJJh5xP+8Q6jsfGhKKPQIM8lSZ9rBcQFMlov7jLvmi54o2sycnCYfPB
atL9mHl0Fq3odslpNk6TOK+j5S5kCyLNmL4zLZIof4nWnKmEvDPMkuPB6dm28qnBUDLBWS0Otuds
657sRH+KAgJkL6Ixv7BXZbNaMM8rnZ8hoj36q+QNtm32hQ9KFAy+rPaFgf4yobre4rzd+lZNfYY2
Hiq44oZXS2+B49xxFgpc3HmoQMF/dDjSt2WWDRtLjQ9UgCl39dVZSB6IEF/Z+J/lsQHkmrN9qrKv
2CyuADA9SR+X9mz7MC3f0REKBmayJuQBqAjR13N9WbApzJ+ysT+KkEYKrCXO733yPhfZ3gZ8BgRA
hHeexmluZxjWectM1zxKt6P4mFz4FYIBEX3Qig5+JaqXvESOMBvRoeMTEggzWVtlM0V/J5o31pBc
5bH43Gu3vLL6JtyIVl6YEXSQzEbLgNnTL8b5k2vmzVOydMOBHM80UBSFtuwZz7rZ+DhJvSvimhKd
M27RgYxBQ4Bvq/S5zL9maXjdFUPgAw0qUDzHMtp65nhfinLXWN0LtU76mSa+ahK1HkcvTT6RSflu
5rA6NhSoKyJNB9STkKQuvK67sKr+XbF8jMwlqLwc7QCJbZm6pWx3sGN56MNktypjcEAHod0cJkHx
rlQzq3Pr7e1sPGYda5I9Y3wZkutuABg7DPwXr7vGSbDDQrFBrnBDe+BY4aaaSvuLgXR2EzXdVTGY
l8jENn5NXGl7O5CVO1KwRmba39gFMHH7fd5HG5wmGx/DlCrPu9k8x+TKVkCOYcA3mxOgScQfX0QP
L0Sd01cWw0WrRtQ/80HYEzul9jItwz1f2a039O1RWFZgDGeml7OJZO4lHsFT8Ze5JTa8JHy7LGm2
1GxFSeWN1ENLLV+XYXbopbOXJE3RQ7xDP/cUzzWJ0DhiU7S+mNUx8Iv4xY5YZSMbEaCrj5zxN03u
7pYFSVOEmapx56tWJLxZ1ripdfREXNC5FpRW8lu2m+M+pUsMrYp8jvTZId8oAo7UrdrkIdpVIa3d
hXODzdmiEbQNrIu+kcfKXbotmZ5UcXMCMviZudXkW6A6ceAMyVmB78DGFOC1C9SU9jzHyBYuLlrM
/NnJ5NOg5htqbnDhqO27BcjR+qyAXrA4dXxrtAVO6Nicp50yZ+r0aTV/szDW0SuXLxMRrhmAkcyp
7kxf3y/OuV902zmz7pNiQGnL9WzI+9y5Vbub/KTbpVojiyhx2cNiSAaDc7THzEZ8iv2t1td2Vi+P
LdtTFsiYgivlFBnJczIKdx7AKLKkli8tGyegEPcEjt1jKz5Leo8+ee5f4ZuqL2uzT6+RJC03JHZc
TNbCVif8+oOq7l2ZQXEqfmTgnyIt3ZWbKOy1Tgog2IRhh5DtB6hY5Q9LqAumBixY52bWoVsTwtTr
rwXsq6d6GimkJsWsLqehGtgBxjPBqGNGq3f3xi85gbS6alXewdADWo/L019tpj/+kgR3sQs2AD6B
5bRoQUOetKAmmG2yvNB34H6Mr5TtvYesL9t7r7PHPY3Lttsai6u/ff8x/3EJ/0tIgMn/v0v46vnr
c/TcfnluXmkv17/pb+2lY/4llcDrq0wTShHJFf/2CUv7L9KScRBLYQlQf4oH+G/tpRB/8WfxlsOw
JPGC/sz/aS+t1UPsCLIW6Il6LnSzP9FevsYMesJWmJHXn4DW08KbfDKfPcIrPU50fD7jbDouHss2
0odi+8NN+cVrs3IE/36Zjl//61+e4J+/GuX50aSKrNf8eq560jVp0KREJDr1BbX8x6EfnnoHnRkA
l00j2YD+fsDTy2IoXNa+5H4Lh8rzygb84TWd7BycQTSxUGOOvonnKjz4ajTeYFz+NIoFmp1rogzJ
0wXb/HqUlCzocU5npKI4aRFDtNZBtrZ8I2vgtZGbm7cGHNqm7WDkVg4d4JNRgLZlAkQArJeJVbOB
e5NHewLlLjlaPkBh/oL2unnj0l7DE9dBLV9azFzF8iFtuV76DzdwXqKIRrHRBiQzRVvRI+dR1Wzs
VgveZWmq6o0Zsq5Wr2aIZdu+ZCTbZFm11pfhx/EQqpCF5Na0rm31QbG4YhDHKCXJFHpjpJ8fGhpj
lk4Pzjtne3VyZeHclFT4JgqOTjydA1TSAXuh7B+MYjmCwKkVwCpO8yHooKVu4vVdENdxrc+hwoRU
L/waNcLvZ/pPr5YFYJl3GOyXQKd9OtM5bA7REvtdkK1Ajn5EreMPpRN4YbLadkvrpaW1cPb7QX/x
tBB/Wz6VLLbEjn3ytAgWd5cSUGTQWbLYuZLKJk1uzKY1zqffD3X6uIAr8IJ5AJwt4QEgOJn9YBbc
fgRAFaRjlB7K0rPBNNGO+v0oJ3eRyccKxVznU8rndNWzv5p+NJUxfQ0LTas5vINRJA9hNCAGTnZT
YR59KhJvPLaT92sdEMW7jx7fRWb/E3nVWcupVA0RF2BesWPf4an5isRAWo64grI3HtivhoOq5DIb
ebmgab2+vrodSWXrBegUdjjsKgnHRgUY19nFkA0oB3vCSYo37unJk+MSLVcwPQTYJwkR42QNtgs3
bT2d6O+OvyPIt3tdO+0fX5jFDVRCchMd/6cHF4uobh14woFCPX+MzFwe+6xLdzEp1rtpxBX3+4ny
q4talydXsVIB5z35kqH8ZNHPDQ5G9ppIrSqkSmS5/YOrwpThwu8gkEs4bCd+XA0LO0vmSpCOOWmk
x2FhZEigkFuUHAkwA2mx++Or4jvGVOR5Oeu24/V4kFj7hVeanm/IOYSlEwWJqKY/+ygzIXhEbDL4
97ob8E5G8ecyG5wZ60FdJS70MMD0um/L/e+v5WRtWkdRoNgsdsRQ55U6GaVz/TaBe5YFXkMNzuIv
dy1FSyzvdvjGBf1qKEex/LJVE8z106EsEallVFkwLZkbIHSe7ttVqe1bc/r851fFnVPe+jbZ5ukL
3C9Dj3bUR7HlRg8Ib6cLbKY93bux/+O5YMN1sTnbALVhI3ByUaEpuqSP4pzvY6TIs3R7I5iSUv2D
C2Jtd/iK0H/msl5PuZiE9rFrszygCt9eLYaJttrCaxtdm4VfvZHV8PNbyz53/djzuZc0H06WohGY
nAdTKw/MDEoIb9dwZZaRd/z9M/rFKBiiXNu3WWgFm+nXl5Qb5ojepMuDsamaHeLFj3JGnfcPBuFF
YhfNTJfOyZcqGWBSh+QcQ/4qsl1SNPIm6urx6vej/GJme+4Po5w8HauKyLLNmxzp5hifeVUGBLGr
sQBao7r/06EkmwjL8kwowjjATjIrMKdPc73qTRyQkZrmDgIvbTnpU+b1xhtP6OfLgpPNAmeZyAkF
R/jXT8jXiKJGiYvJc1J5oZUqLrsxSp45S8g31oafJ4MkFJBvk8UWhbFO7uAYAjWYS4YqWVd3TjMb
QGIBNv7+5q0T94dtM4uddAlzIDsHzwL8lZPZUODEzMgPAPAZVch/rb4sP2TERXUXA1r8KtCWkXlv
zMCfx+QQQijVmjnmcII8eWBA7nLsU1FGUdS20VhRNTe042wzkhcDacPM+/01ivWpvL5I6O2eEK5a
AwXIMnj91FaipojLmj5yT803UHblRwfXr2hqkrzrvTdG2msrWLBvyAXvWrRU1Ps/Wm3VfgAFPLjo
D3pQS1VhUTJ2/bi/kb2f00139ZQdqO214HwkQUCLtKM3MsR+nnLwvNgsr0df6jRr2OaPn/ImbaNI
2HyOxiUHXZEtNLM5FCzhZyMLM+eN+fCr0VzO2FC/WO64Za9Ho+IGFRA4ZjCmeLL2OSF1j42ssW+Q
9e7Eb4z2i5mA4MX0lPSpQrGbfT0aBKw06XO+f9BdgEjJ2CWFYcjoBWCyRrU6VGVz+/vJsP4jT+aC
MBmMChyBm6yCr4fEWkgoAUG2Qeub+6R3v80YHQNtxtukxkKFrOP+9wP+6hp5e5VlsWExOcu9HrAH
EtoaNZ9DJHtUqyP7yZ+SqzpLqIRnVCt/P9ovnh83k0oRcYDQ2+x1Vfnh2G1nA+ayRuZBxFkFvXbX
Vg8GmIBjKhP7jTiYX421fg5JLqJawhn/9Vhe5TTjPGaghb122sVuaVzkQ5SeZ3m77H5/Wb94asqz
1pPw9+jLtTz242UVdG9dQtCLYPHJbK9rrR4trzV3sD9Ao8oiRWE/R298w35+ciQ/KJfCCS/g+u69
HhSmdL8kCfHvI5qlq3bBP+GYozj6QO9oakq5/9OL9JCGsmlfD8YS0d3r8WBTQBbx2KL1dO8P3lAm
YPcTpM5ZPJrnKYEzaEVqZ/v7UX9+igSKmpZ0LMflL5yTd7CVsywVHOSgGZEZLzUfslpjlsk6rJ6/
H8rjAl6/e6xfNkGEbHEsC9zl6wu0QQNjpME3mlpIIHBVyvxd7YMGWsnDxfts0dm9bsnfAVnS9+Ub
i83Pc4hyA/MV8+v3KtHJhWYJ38Kk0ng9GlpI5YpkABiPvtxfRvwJTpY+hA7m2jeG/ek7LilIwcXi
/Tc5YnonT1WDLp3xnPK183P/CEwku/Tt2Hvj1v5qFNZQ+vEoYE11uqwtw2IReJ1wPs8R0SrdNIEf
ef0bM/SnuULhixdhvYO+I/iWvn6AXQdORjjsHUUzE6nLhmwj5o7HFY/LPxmKmgpnRReW5emHKFv6
psudPueCwN5ZILm30pzznQnq/PD7afmLe8cGy+ErJMm0cpz1//9hzcxF4qnEmvKAFNaVXc1qgyUx
wzX2D8axKBIx/al5nW5DRqvt07xYOBi1Y4UaP4yzT65n9PP29+P8NNHXp0TphHMeqzK7rNfXExkT
KqTIwdxXW7jOWi8cDPi/QID1hGdqKg2r3XeoZP/J9bHuuQ4hr9SBThZpbacOufCItqDL11B1DDqR
GFiSfzQMSY8c+qTPRDy5PBLIGvXdfewCb6TMmwxocSiHvTEtTiJ6uXvcRwJ6eZkUYWDqp+tRGu7S
wvOSdJ29Fc8UPZAEs4rBsyNBvZClKd4Uo7XxsPcclF9Yb7wEv5qZP/wCdbJ2+NnUqt4VHAh7AwOo
R5P1Cc6Pc/f7CfPWMCfrMqHSE/BLHtxgT9MVLb9HG674GyWpXw+yLh+K4CZ2/68fm4V91xjhgFEh
jXSz98yowmZm+OYbj+1Xs5/ig0t+IdOfusrrcYoGI0BfW3ngpIRWjHISd620RqpS7PgkEoQ6vCQN
461Dxi8vj6hAFkV2e1ScXw87907pmyXDkuFTgHZb0uUpi3r79veP6lcrsA3shqM1zRVpW6+HcbGo
U7Fkf4fR2QdYMMv9rDrKLBKkw/zHHxVeZrFGjnM9vA3268EAQclhdLgmoxoxLpQxIgY7aco/f6MZ
h00kh3ibKvpPJ3i7IqOzZMFChLnquQYZHRxYdG/s536+d5zcXTrdrIlkOp6epFQ5ycqSpDrY7UzY
yNLO2yHG9oM7MH9jjVon86udjmRLZTH76CBSRZQndy6bp8EA4kX3hhzqfVpCUazIWLiJXVGekZDY
vlGfOpEVsFYpTu+kyxEGzJHa8k7W3tSpnNkyQJwhVtXpTZWRSPCccfxvOFv5TXcb4796KoA8lciH
VWa9h7PaqyN7BqO6/8M5qhA3UI4RJqUSmiEnr0JToCGtkFAga6uNfaLM/GBSzLiNbfXWjpJpcnKn
PV43ycmR9jffVSIZXs/REItA2CEJD7KyMFgp58IY/Btid2X7obArM8222hvrHigGVJtwDDj5LstN
M8Red4CPUKYoYUX0UOtJJ8/p3DbFNiGlCa78UjrXGSetO4fOonOu8Xq0gLhGMe0ATNofZKo792JC
OwTnt0HQHVjNVEePBt+n792RZITRMCxs9+yd1ckBjpecSpzGm9wtTB6NP1n9eJ2UlPvuQpBemPY7
VO/h+xye2lmbwyDVSM51QiCTD0+GWCRe1hGt0aISjzTlcgYujWpWVTZI2DknYHx22WTczrE2FIlO
kSGw4AivyanA+Y1q8wvSR5gEfSdcaJNkwtj2VYs1i7QPvBkEHtU26TSXOWL0KAPZ2wCM3aSOUywk
TaZLn36dHCOczpXjZSGxxvY8fcGrB8dts4AgdjZpMQ3oe5HZTeBZzCVPn2y8RxIHUjKH7p0aSt8/
NmFTYGDuR1/ta2xd7REni2sFHcHcAtUPziMuXRZ2vB1LcK0HOfeuf61hh/jBCLKzugw1BtubcWky
49GIcqu9CIeOHAdvLm1ni9vUPB+iNZoLDOxSfKutcP6WlgBZLu1+zAnwixNXndcKFP+VK3XaHAHp
o/aLojJsdvCapfrgo8h2ApZBMJkqCqOvkk0VEnKI+si8UoyqGFPGKUqiLcXAOHmCoBxam4hFudwM
Ujbzl2K26ekjLyNw/hNvmw63Ye0U4X0YZp57LpzKU/sW55/1MZ9Eku7Iymnc56mJzaygBJLkcYrO
0yJTVBd4vTaQ+CbzLoo7MqSk0bTuTaGteiQLsza5nrHwXxrknt8Iu0NDbSo3j87s3sSt7dffRaYa
gTAwCtO4aTmQYrAF+jM92IgORZAhA8u31jw4zbc6Cc2PgCpatclcfht23Gp1sNVJUe8bXYyXgApy
QEUWkWRPAJDrbqOaBMqnGY6qC0TO5mUjGp0gLbWyfCMIEpOb1gl7HJYUGXvSf6IygtpQmMztBR3s
NjYn+4sY8hyFsI8jM/Bpj608iQm5XIoj7qbtUvHFtFqdbMthxowxaoMIGcTizdExe+zpsaXwZRG3
UUrkhoXjwnaqamdfVKb1LUptiNC4S9VwwFAiye8QC9FCIZEfH1Wa2/IqmoFgkpXkujFIHhCpkDZR
4u7IeRIP1UiSCDj40h/PVeVw5mpijf3BC2dz3kODjL5A9U4NOLIWuUuFcDtC3FKne0zYDPdBExkj
J14Nggemslvft0VpzleKKLIuqMeYyFOStjrf2TRDrfQ16mZCW0i4I0glg1xubgcDTCTmU/Kzgijs
vPY8rXtQegCO7IdFk8L1tCRuwcOAijYTIVHQX087IR9Z+AH8ETR5x9ptoRZtXTd9JLqnYLnxanM5
G1kzXxpTdh+dIW+mC4oG6Ud/WLGFszn2ehO2tTtt2YOD4jV7nX8zrVA8xgONagKLZDci8LYG40AR
nYDBcQpL99NQDol5O5FL1z7lhLrdmY3R3eBJo3g0GuSfXbAOoe9dHFD9Rl755ZlDfNUC40LU90BQ
dIbn3vBehhmy23Huph5aeNpbySUOXPMj9l4H8tKM/vGAMij6Zo9CVEhVW3885n7t9NuuSInAiNkx
enuB7zO9jIoRt74cTefJjc0WlGgvrQ+pyYEdIAYc35qXffJgt0amd0FeYo47pAd/Avui1MbOG1e1
pkuME6LacI7dcQMl2n5HAEwstrpuAaCYepHeLvdAsX0OaefXV21eKqLy+niwd6wlgBBDBcUhaI10
uQUS1IyfGrM1P3nE5OhHJE9aXGQtgWlns4xZ8okhhVvq9wIEo+i1oQ+sJYOFX7IFsrmZ0WeKbWQA
EQ5ae8qjD5mY9OdqqK0nkDJeiH3fyBFD4D5jbUj4BjS7qR+HmnqMHWE/N0hnecDZ1/hP2K6S6KAI
hWPtLjmKbPLStu4Iq8XFaKWhTC9E6EMP41QEX980RwxbqnaaGE8pLii8qwj9b6JiqLInchxt66B9
9NiXKkI29hh3gI82Y1XxldTxkOVbTZvQYyKmpAz7cTOC0xhSAPjNzCz/aBAQ5AYE3/Xn0oim8SgX
Ht7O9xKz3SHLwT3l++Wsz4p8WsqXhm7/zJlpyJ/HWKlvte96zZdJj9DLmFG1g+ey1GJDgi3cMY1N
wnnPspHZDVTkzPRvWa3adnVDRBP+cA58K/WXZOBNP3XmtLGirAmfrNqtk3vD603BZPdwxidAQ5vD
2ucf7rSQVXyfV2EnyV8UpCyS3dbLfOcNqsAYbRLEh1cv9oCc5wusvqsGbIg+b0nkzM6iSPoI6xZP
zuEm4TzTPBUGDD5CZOAC+8NGL4iWP3U+Xf1nfJBtdJcMVd5+sSciC86cBAn8dZ1H3jcJGoaPPQ5Q
coKQbSSbIoXyf5zdAZtgWLIsQyvqtEYx4Hrc4aAop6R+z86oZhpXRjGoM2iAQj5IPZug13JqiU9u
r9vofuJO97Bf6xF4p1xqsae9GA+HFEpwHHhYAp9GktXnu3mwC2PL5af1Z7qtXRT4epb9EWgQRiDT
8ADMlkVPmrWYlX3utEhUP1TxQk3OEmnebBy68RcplgPvjMAviueT8Is6SNuBwAYWCRNswjxY9lZ4
iahu2rkZWYKqkWcetLLjxUSQjEfyU55rYzyIuI7GvWEywqW0klHtOVdmAsseVkvsXFMOHHYwU2uP
DAXHSh7hnnoXtYa23g+ubVzXDXw10niBVX0heGIYr2U0l1RblJYCELuFfmSTtyPspI5EL/FOFWnq
HcxO+s9GR/zBeyhIAASlW/mQIaeeNKYdnycqooaRlnDP0AfPuD8IPPfM5yqaR3ApZZTwKZ3z+fH7
vv0/Itx/rceh/1+DewA89fyj/Hb943+rb8VfgvxshDqWRTHTd9Yu7N8pPYb9F+gyT9BRpNOC0EZS
aPgf+S3qW9qMnJn5F6oOjur/q76Vf1FlpE0tWOwdk6OX80fi2+951/930ATxtCpukAdy7OOXsud+
ffxxdDVksf/MeYsIu7gyJTZS4pOBuNgwn5raMi5z6h6gDeKpIlqxNQcSFvgi8qmYy+qYxzZeka7m
NBg0lWl/tDRGu7MGyxTmNvxCkKLBMJabniYSAXphUtrvwrx2hvPWoBmT4Dfo2RmSAJcWF206TZp4
QNhCRFVoPbAjB9sNGbjvtiBjSmDAPksp9f40BSRCw3Y4tyPiuyb+l+7BUErcxrFrd9u2M79ZblVF
l8bcwUYN6ymG/DB19ZNO2c1uqPwoXCgx0bVnS1q1znM2L7N5vdTsUs88fzBo1UZVXm0nYdNMSC0x
vHiNqeqdnyYDbC2SF+yzPuTGbFWJ/mOt6+G9aHoZH1iWwTAqIlYOlRpgF3vLuqOvs6Jpz1KykKOd
A3MRzKboiZ6xosG9nHBVwTmBIP6tAF50wZnJxZeN1dwNbI4w44bsbOfRa4mr2CytqM5Ll7jEDfmF
64ZH1xOO/D6uPy1ukj+z7AxokLzaPUQkXfRsq+b8jl7FQvIpFgciM2KpH+1UpN8kgSkllKoquaqw
p9wqVeHTMvlMZ/gHyQO9nJbIqPcR6S/f0MjUBvt8l1NTCBOEf5pnsqUYzYZ5Y2XKOdAsT+B3+SAn
DFdosS9CDkI7t5PdZ5nK0AQglKp77NYTdezEYisYRvChA7+0hny3qBwc1DD7ytrYGHq2jmwLvHsR
BM8OvAJHCJ4LeE7f0B8x4uafCBrBtVWz8hmbOplt0gmhnpBAGsfAYaMG1lhR+APuMDEegcWN89Yu
HEkOqy6MG8tpllVjlMSEVTGzLsD0JytpN07io67ofOKt7vmpKIW4eyI2DGtTY6WGh9S1mjA3SjJJ
QL8kfrcQxPrZHuBpHSMEmN9g8sklmB2r++yGc/GBc37f7gzfALs3mnGodxOn3ouKasHnXJVAiLoi
KW/JV05VQH5f8q13K1zDXsNpGsvgVNHRkNOynQevGbayifKvRqfiORhmZRFZk+UraMIe1SOnND1t
8LWBsQ05LZUXTtmJp8xR2XUp7YXPApCWggMF/hFYLL2+r5rWwUVLL7aCqBheuINDYuNYggTnwBp+
ILdnDXrq3BmAXsruLhiJgnvhS8TnzQNE07OnkAkmWTQpmKWgzMeH0Uyar4k/0KJPSKAmOGTOMOAN
uusUrrk2qhBC9BGnBk22HuHHabfpF3YAzL22vgxDxKqHyPZxcpF2AZGlrcFe8nL6w4yhG33XgZjO
5h43fN9tvLi1vH04rO3rumNPspN6obSp/QQPW0FYYSP1WMJNIok30I0cd01dUpmBjmWcC85fL2GU
hENg6ML6Gio71fdJrMYXpUBHxTAbFMlRRgntzIdSCr3DEx88zVnfYRsMZ1IL732TNIOzG02VfQJy
UL5zSQGF3T+K9CWJUyvZA1H1n+GjrdHQZLr3G5S6/hVIEM4eraymu5DdOERTpmSGJN3Jz3NOV8uu
jxABhAaP5Wjp75HXTbUyXx3f+LQYDh42msPz+yiX3odmZkOzXYbGDfJCEmfQorGkCkEwhB10HYjU
Q+ZPYASKvHKbuw457fwRbpGuz2kuqyOrBmQUp1QIWEAzUXYql1I9qdDysmtb9abaIyHxXnTbcXFF
33HArLrFvhI6McBF6MT/LKzRK/aRuzKb/GZsbgTaGRDAflrsQ2KzcvgehOUwHWPWtILBNgnOeiB8
sFTeeWTx2gFZuUASI4e0UNAS0wzb2dHedNY2QzVu20m5D1CRgcmDXIlukiEcvcCewuYO2eqMrbWp
HcxrtUGVdskySQIKtN4NaSr48eJuwaKfOm0BNQuJSRVAdLV4X0Yrp88M8f6BDHvtB57bArSAzR9d
4zEevz/38rJ3vTZhKuX1Vz4GitKfcCJaB2WqZxZc0D7odAtn2TuC+tOuclnUNl2lom5Tzk1MBKVR
hrzR5EW1G1CBqfpgeSTNfsa1Y3RXM/GX8TFifo5HXMpU0MArpDb8XuVmBD/V8j2yfgsHdTrCRRwh
tT0pa7LpHwwmuistRIwdy6zSL+6YkEG/CS1et8shnFrxfgLLawXQiRKIYFlsL7dVE6Ym/j0+3ls0
it3TQrTASGJLuYxAaX0Hk76iC4Otz0SeTtgNy7JtR/GnNI9JUkCza93i25hfJk9zopNxXrsEKhFK
9ClKM+sM8jPYuUIYQn+Y+Fn2QyaMRTMraKVtCevq5x26SPtbXU3kWY2Oe0jcKb11FzJLIS05PdGq
Wl7mT+B0AXOrQvQPLcDDiYKINyWXDWtuRRBOHeOQ6zwsviXFmZcQD+y0kekILNKyQ/LFerZZ/hHC
TJgFAsTNU2lG2eeWUpmZxQYk2bl4B4xQEdCbZs09pIXKuDQqsS55oVd8YOfPITGYhwjh5xZ3Yz++
pNYyf+Q863zNo7wsDmMt3cuIgBNzkxd+AklbriWy/+y6u3m1bdHU+d22+/JbW3Zx+ePG+/vf8ffO
2/L/kiDNkUywCWRra/3vzttSf7F9RnW06nI8/oM97799b5b3FyUh1AmEAFDI/y7n/3fmgG2SVbDa
LvGcrHrhP9p588dPejwEIqCZRP3k0I9DdHHa5mDWUjCbVAhfZxi2dUqdGBIUgdSjt9XsUK+he94J
CaNvHrLLzLS6XVf256Zdf+JMfQzd4axukSA6ZgxxXg97q4GPURLKE9RqimEm+dve928TSq7afwrr
53WpiUDT1Iis5oqFoXefqHiDDJXd9WAmD6SddDeQpfaqs9PAV1+9GnhGDte3GbN9mHfvmiQ7Dl36
icrCsiXGjlVL9tP7ogOsjXqlYefRvA/ZI8RqtdnSlNgUA6kERQz405bbWIIqzJKDa7TvXK3GwI0F
6dsgLsBYAiC3JMZzDRmwFJxHoEI75JDxeu80oO4VY7OvjeGlntxxz/Y54ET9OdXZDTrKfGPQtTpH
a7h1VPqJrmS/dckLhAL7YixkiLI7+NCsgMOZ2r1vtpvQ8SFpXkonOiZwfIx6+JSaTh2ozsOm7iDZ
r0ZUm3xDIHl2FAeDKKqMBwDcXBOAG1TPm1EoHPzwEeCSAqQCWRc49fLBhUnWZZM8mHwTMtvOtzZl
Wbtllbf79qZIxls5WDf4LoOFqm0ryisN64T6WPFxaYA8+tV07utIBZzlr5wyLJDMNJiB2KPvvP9m
7zyWHGeWM/oqegHcgDdbggA92WbazQbRPd0DFDxQQME8vQ5/SaHQRhHaa3E3N+Z3JFjIyvzynAL7
HadwvqNQfszyNoJdvqMcZNV7fbST8mL1FSpy6yh7KguPAV0/5k8pL5xQS7UmpigKJ1vz/mhz8qB5
7nH2fNYHO/6wf29fWcPS7bQSzT2sfFaN10pqJ34rm9HwdaY8WBSr8lqiITasli3+3qKBJbTnog9w
SiUpVfQU1Dvib6+anZ7sonnu+hWAYtd9iXLWQ2e2jL8aJQ7XQnfaK+ZzdBuX5FX4BuwdK0tjICHW
wVym44iYIypn5KEQM0W4UKGGuTN32yK1d64rH/o++dsZ1sUdW0QLdb/tG3sCAF7chOiY1cCTNJXn
4VOVS6wlDjPOLrgINBSLAIroDN4xq3pegct4NRwcVZpeItdaDfuBWdmnLYY17kpMAEaT8+/VZe9F
w2dk+lAXCoFSRsswC439e18GL7pWXrwyW2IKxTu2zJyvdl0daMyO22XMP6bRKAgHYabTrfaVCo5f
o9lc6TFR7dvwRNJSfFn5eDGQn4GbINAq4AMH+aVEGwIzwJ4OQ57C/x+5I0M+MUCJzbhTcyJ3UroL
sqEG0iP+Hoh8IC0yv/wzGTR8agbvaIY0Zwu788R7+MUNUrUdpmpfdSU/8CzDmEN57OXzn6AuzmoY
5SZLHB17NQjnvjp6+Ebg9OBnFeYXTeOdKdmu6sayBt1oAVjxHdDH832rBqQB95WsvHGP6qh7BJXW
Iwv9cRD8zu+QjK7L/6TTWY1WsCUT8JDZTHNK7qwbhl71eVRLhV0uv1sfTdXuLcgaZ1dzwVYHbRX1
6yRjU0dSRYHDLFCp36XbTvFiJMY7YtNnZ1zufYQktGn1Q31JnWvLSCRcZqf+04yUoGONuGWqrPxg
M99j7ltwaYHs7FdBvQX5cLPW+VKs6bEzqDXBSBVHZdQRD0L7MAXaaWnBPZTB9+qpX3k+vd7zgH2V
oQGZtR/hqgBMnp7gdktuMAGIdZhHWy0n+Y9Tz1lGACR52Cy+xT8IXJscCn2zONO0k41VXUzusGgT
cRwDma6aad9o6oE27zVvSCAa1Cr7cQLikqbTaXT8I7dQc9sGtbtfA/08VrT53MHcmLQff3Ky4biQ
7xFC08+/uNZUR/1OrzXmeQvWcD4zKIQIVVGVSg+Mcy5nB1emFy+qfua2+FH0T0yK9/XEvTfN74We
DRZRpQB2i3L5lZSHtek5v0dDDa+La8qLlprHelqxb9ZHcHESn6flSyBzGDUnx57iUZgO74fKCyfU
ZX/0guMTq0NxKdzsprVwX1SJT08fsyxqEY3HupfepurTLFBYOs0IuqRYruViI/YY22+RDnLXG5kV
2oOzB6O8zxotngaqWRgv9wklCjP3OKX4/wxxBa35ujrCjTJVHRmCHOiO077pW2Zj3DUYyoDkGn6Q
S+M6TMuTm/jJwXRr5hiscoUMJMJC1VGt847pxosY/Bf0PZvpfmUupm/AYgjeg7BwBhjTfnZpU/2n
l+WL4SUroePeibOeh6lxyip2M/pfIoOJx9WliJcBdmZNY0xKy9h0czfuswyLhtWPIPzH6clW+scs
1rhhXkzDpP8sdI1lYoMDYGIqGEutLC5BwBsITP6H8ODjbzxpGDuMku5GH3wedB/p8dKvTpwTH7xP
8fS9WWvrO4PuN98dy401ETaAL877CvJkVA8OBDynUWFWzyS0myz/Ejh8Y5sJK3/QywjSzYD+ugSa
UQZb+kvPrOqwLkgYtcwe35BwLq8OPcOPJairR71g8ILBdts7NyeNF8dBkRTMYav0Z7CrbxAk5C9m
aXgpvbe6dYZDA0kY66mtKJAY+0FF4zQvPIDjJI2RgSS/A4ndx2tbG3DLVG3tDsRd0BxnILh0E38m
6VrnBHwdyBIHxsvifOZ5sFO15xwqDIXPXTq8mYvLu8x7SphIDJOy3mwYxyCytYuVmlBRzK4+TsZQ
h1ZnADCVvC1LtBYH4D7xosGSp1OSNOmNceExC/TDOEMxqgz4rUaxcWoUSJzxJtdyQ+Bv8JpzBWEy
FwQ7SqZH4t7twFtrlmHVQYiZJP6yxJBxqYQVSr/dLzBbqsCmn1ox3YLFtGmTebpxd99lw/336Kbb
FtNbASNG71zccB7vzOasj1idUvhBLj8GSEuYVJ9T0/q9cCcMGB9WZU9zhY0G236R5RxaBrRpFO0Q
zjGZogzdBMrbEPOOysy4GuCxa7IwTqlBmepDGpI/pix3jXmudR/O8AJEX4FVS/e285DW4k9ptqdV
uvdOLjHBmXop5YfgVVsPnlGVjPtE0M7ssB4hgKbsikfXPWrD4O+AHfKV11oRC0hw28Ren4qahlij
mk0BsH2XzusLQimdf5MJL0Y2jvtuhFFIXGxrky/gxe7expr/bkf/Sj33ZOi8z+Sy/sXpchEdMlln
AgtZy32JstIS5o2HmpJPNOG6ov7okGc1qF4qe39X14ux/+rlE8t2z63tbnGdb1vrGUXPh2rTN6TO
u3bwYxX0gPzKc5VqB2R8145UxEyyZ0uU29zOEx2IVkeoLjtrA5brb1P4707Jq4qzoXAR4Xj9j60n
J3RSjBObswRwPZnjThPwyApoxwJftTN9q6mKBLpBZauPtdsHerprupRqvge2FZyt4krL97dazLNM
z7oN5nt9bObgNLL6Q8Yp9rnx9jR4XQSAXYKQNjM4yJq5P/U2tQ2G98tIsMml1iXhRDY38KmZ2vrL
7My9KzUgvpdhZTQAxtHZBj6EyLbmb7Po7t+64MGmmrbPi+tRUQWXrmtujdU/Ks2JOT8urssfKPwH
Z6br2z9Zklu6Xt0Fw+WNFeRho3XmRRcLjC6mcpPGy6TDRU12MztgSZsVfja3fBOivNgUqiDhTp7p
vQo7e2lr+x6zEWm0AHctIfiXYnxomPbDoCy3qrFGXgkjCkuLuNcfRVAId8BmnYn14Xvd9HNwGOvg
dXApXrphPC69Hs8mKKrR0h6VZbx0LX5v2vZu8IcnSWyrAT4TfB9WVjPcK2WZRlM2fdXZGkR+W8Rm
aduXemmtHTsM+3U2rwwxHiYXN7CkPUYQB3wnAIVN5f24gulkPy6vAlsHNwrmoLzGiByESgUfM7VS
zqtMr7VzWXvhOr+wiLJrsZhwigqERLZCsqnuSJAbeoQwNcdTwTsQOwzsc8UrYJydQ7JCCXPdD6Vu
YFCuS9pfLM1/Dpi8Fz35NDyPBsce7wzWAUazfRnXr8L9zB3tZ7VOQnMedDcCz9Hcj73HZXH2ch0v
TUdqlcH999yIC/ZxeGeOA/l9iWBJhxP/dlmiXR3QBvSkj6atAMe3fwOjeZxTFTXtO3rHnwyLScVE
KGUafk0NvM5TcmuJs5DuRDZUHbmtrRtzENm2ACRfzEksDEBrSJ7F6n7XIOnCTDYHjcABujgP8tYk
L2Wr7YS5RuzJ7Pu+/1342lvfunf83hw77LVHfk/enLb7Z1lNBw0oodNTkq4ah43FNX0jJKPgPCv8
MKmnSNN74HsT7DEna/9q9K1b0HJ8TfoTyFAUcwanufDUsPUGKPnG5DN78SAMl/6vpM0+2uruhFPj
OTXMa9t1r2plIZlZ1nQkTpCEYONescbgvSowaltW/jW09nOjgbGqh+IzM/EzW37T7ahMXxQDAEin
iP8q6Kij1r+rpPuoCswzFPBpKDNWFLwp/1NxacUYN0NNbRovRpA+boTvfqVT86STdoK24j/0ec5Y
KilavMzyZkKSxqF2JbRWb8ATk4akKblBCudESQINLZcBKL4u/dBcjgFNQl/0/GwCVkl4qpHzusPm
UsbkJWm0I/pizXaewsDNa8xyes5HLpI3gxxl1sGB4H483/9u463gJEaBTYFs9lnMl6M2veYkG0JD
7cYfcRhb9niCPbUi5Eofy3wI58l8qv2WrE4QJUK2MMKmCJ/jj+UZD2W/xknZGOHiYWmCs4YVvkdW
fWGDg8tEl1tbz++07awW8JUuA0f0R96zUDaSDY0b9jofFhMQYZ5SrczN/DAk6KtSVyVn0VTICq1W
M0/2WNcxMyp0KRCBMV20Bv36nEqp68rfiT9XB1cTkivaH8Jpoa/n8cKWgCi890bzz9BR40CaR9fB
xM271lqq31mi+3s2eoHTdzlC29lUvysxvSZ5fdBsl6t7ah1XdgXZcbPp+VpnU/GYz7V5ojRlUsVZ
hd9BhIx8CWTYGME54Tyj+TXSfcXeQOKXsk/LiFO0leZx8zASXn6Q9QlE+jGtVvFplGBe50KVu4C7
9S4d6MHM2TjRb26z5CDy0mPFBpEW657rsNH59XF6JKc8TS6LtHD4dKsbpji9qevMV4anXyNeRGM2
TgRarjZPoi+zz5RHDbPLL/hC3pbUCxJ6GvN9HWc1YDsgnJHDXK9PiLXMA6/lvGpsxHQwdIkGRrU9
bswx3bvGdEp7OH49vN7W0HCXN6IPG6c+GYZ1zSnVKrM+YgH8IScTCVsdA2HtVYUIsvsq3eRllv6D
Ip4FoigeffPoYSSDgxDKEQqzUPJ3EogQhsBXX0xXWNuncvlAhUQIZXlEAXmbl+KdcNy5Lbq9Q9Hm
wsWpAnFky+vRJzlsCSyMvQZQUZvOdpM/WFVBJ2l8SBUot/wpx+iDtH6N7h4Fugr2waMkpmBsJK9Y
zaZF4FppXKaDEZf5Is4ofI9T0l2Rm2wqoq4XIP230gwe+VluM1f+stMElJ1GoIc0pjW+TeAe+Rk3
J1GLp2I2g6uac/e1G3s9gpS5ZSx5H/DiR9R6ZkM1yUyNc7cxzlpOKgDssgOEMjgh7n5RMqWd1U3z
UWYCpUabse+IoLqoO/iMJn7FcX1eS4/87QjoZtbecDDf0hl2t9mYVJerTdyx797TgmXMjWk8aYFE
mdeXryYcfSY1tCDKlvJ9DOJCmZuCxWYqlOyvLPrmkOhTcAHdsNDKYcIf54W/70XxQHSI16LPZXeM
ZeO/2un6gjyDZHVRLadk9Q4MMC40hnD6VZnLi4HhBrfEXOyw/5h7s82LMXLS9JCtGRdE28MbMD/n
onxXHSX1/7fz/6Odz4ro/9bO34zkeOvPf4s/5f/o6f/zl/1nT/9frEAGJNTp6LORH+i01P8zTeP8
CyIdu0EEapi3ePod5/FfaRrnX0wBgLHBk/B8/qL/TtMwI7in/4nZ+D77HMBa/i9pGjI69+Wg/47T
eHBR7ugS/hdY3PjANP7POE1ZZJUxdiav2Yax0qC69UoVbv2Q3so2qkTyZa+MfN06cHck5M2POs1j
jDN7DUwcg/05IFiwGNCDhoh+cELJS1MWGe24YXDqndYE6nJaFlFvsrnjLnfRWLlWDBNTezMkvb4d
JK3u2n5hR/W4TB3HppmJCA13tx9l4J4amT9n2rqbZqlaUhfJTVDs3zF1sd6znrAk6YU3WBf5Rjvd
fGVzmgV38L8mSJOzVPnU05nctktCwbe8JYj/cl4WJIDiKkum2DWS9C0Q94Y1cIvFYMZZQU7eTqtr
vlezzHYtHIIQbbEAxI7LF4ClwlwiXyqVO7dpMK1DaUFr9tzqb8VhESXdJCk08/UvSoLfJmXE1iT5
uwW6lB9Mgaqs4h96y4PRPtX+VDwCRjHuwaQ+rAOpXoRH/4w7FChih970GlGOOk9EXrSQMOzjXcG2
tO7vQJXGNwRU0rXEkKppW/NaRCFSq3TbSTs5+ybKe/6pNs6i+5SbAGPdREDB3DitGIPDfXYAolsj
tI3Bo9KjUZl+ND4wZCiopnxIC9N7K6Gd+6xlr8sDRInqavGroPYn1cy82LMO0mHb5EGuc02L2vsb
sEVtbxI+QsUKCGaYBQjVjhm4u9Ah+meG7/7HQD+vfTccpRK8VuqJxNCY06HAcRxQUNv+/CVlmlCZ
dfqtrcgYhINiceVXh+X0rqV4rF3NJkNKtjmEs19w9cpRygz3vMHIEsMZx14Pd9siFt6Xc3WczdK9
qYBvIytEG6WDWG9J317BZ1R0Jqx6vpYsYXKDq5bjmnqv3lSbxVGwbb9rDK7SpI02DPgXUkXm7wpR
RUMgLhzmVbyJxEy3a8NMKbfocOjOrluZDyemd/AD8OlL72aQ88wovftc08d/cmvVWF+TyT7bhX7O
C48BPzKSYXn3uvySrnTWfXGqR9OnwHOjNEujsSoUVQ6jY0xxGQJhRikblinCNeudHrRud/G84mYp
b1dWbE+yeDFX8pcHbp+gX7mbdbNHljxfWd8IAdwP1pNi0uHgiVELV64/4NejGWutW+rvupPLJyw3
t0RRtNjdjuNojHsLlVVinsoeH9ySXFILaWtTIo1detRoJmGgSkXB6u8FKzZ7RFrwFxGdpVpw8kVb
H/iqYlXOJ7AbRBSQM6rCgaY2L6SJXeuQi0zSGnDWBwdFFzZvAkFalXpRx4v0mZ/N2cgfFq54vv5b
FP5LptPZWp3dgkGgG4ODhbIyWGsS8/nNxNjRFh4TmPXEJvQ2E39tThUPvedBWmJ+mcg2bQxIwORz
d0AB7NBjDybJSCKVBGUKWTmccxRNrGufsxzrBitTfwFvP5Tk7zZr7vnhqHfvbTd9awTGIibv3sGk
vieksoUxea07+VkKsaOWW/eDZXzRtZ/TS7kmNAeEJESc10n52BQ6N1iki4IMWxNOAYIOfSHF5Zvt
dYC82OSNSA+yXjEb5C3ps1wV2Yl9KSA5VZn36QvZIovJWRCnXREOGdx1lB+LLJ/TIvsRmv5VL3xU
RuYXjxWpY2QNUJLVGtWurTG2GbUnMtfy26KpoWs6suwqEfTOTe2aZ7QeoqQMGOcoPVAXJ1mKrdlq
/R6DJUsQHjsMDBqN18BgvMqdonlHaUpLhPBApNVr8EREDQdOYayfRS+Di22JOE0YI3oDd9u+lcbG
b2D2G459gQnznLEqFTrCfy8ZKGxm5nZ4PRRl352CDUHlmAG0OfrE1yh0c/aiTBYYsjKIKD9Diefc
KKeHslNbAvcFF8ehPHdJnd8SgMu5lr14UIi3jT68dYgL7eKTiGfoZOmzJxZz4zX6jy/cfeomx1o2
eyWK3R3wFTYsvJ1S1WFVKbo/hmFeuOn8YVlMhsgP78j+4hFT+B9kDmVIG4qXDzJdtoi0cPJMRkpF
hEq+2iQzGfx1tZmLMrmKkpSGJ2UwWpyl9jelhfXcwj5E06Gm08aoITH0Ii6HmsZwkNM/K320o/V3
0Dd3N5Yee2kRVo6N9+AeY9ezKE+q61KJWwdldZP3ixeqOosKduWSrqX/pTa1/WrMr+v6IR0L+gUu
Cj5tdsEwM1iMVJq3QE1nLDv0Iu0cQ/S8d7QPoQG6L+4lvLm+eX6xy7UPl3ToCEzLs+dfqTb1G8ph
4k5E9VdM0g36tlGvH/uSxnsDLRerOSNGN7Q99ZAO7c1Kx5NoaYwQpv3yPLI/3KAurFscRkl/t7a3
S11egs5+SRhjJrZ2JJp6LHiIGxKSKbrc2iViWzOSt1L9d9JnV7dqD/bC2oF3WT3a+It2NDULawTe
R6/Xrmyt/6zquZNeFhvML7jd0/RTILrdxIlY6d8l5qc9FjTXNAPXSxoms/PM1uv7Iv+C7uG6RRtw
4Jjpa05iPb82pbFvMXiCzhMP+Whzl8seAhO1i5+VdFoWnZ+5uVGeHPDiZJfMOrG7nEdV+afTxSFt
nQjy0jZv0cMtxspHPsXB/FvgNLP42jfZ7FjRYhqXIFG7O6X6QHz1UNIT09jNYK1hw9LnJpNv2cxu
3vK2TNnOB3g7o6HUTGbzuT61R93EmyhY0VBdsFfr/KgydcfL1NGYBN/8aLeZtHZJSUADWulycDoL
D+2kfZNJPmRBEPOBhTwa4VIiq68WXoX+ru4XrLbsRZFo0/pPNvh2Fj34lWMj1QU3uKG/JiiP9Xp4
MoGjsXoYYmw6LIpxGIbMhNyW0VkibNgmMfPiwv2Z8X1ZfRTyxy/d61zLd9NY4rFb9nbhxE67btcM
2WJZN1udDvOQH1JP+VvY6qyiZ32w60uLr1cnqlaMW+QIHFX2GUjWedHpuOpG+jh64wsSSG1bTR9r
NW4rFoX2lqq808xWEv+hAZqx6puv8lCYfCbMp+exuvDTQpiXb1VhH12ZOEwYimtPe3dTT96jy/YY
dgI8mBaKmdYjPbAKL5KZ+cTyz8w3IUGMU1QP6kHLeC0igcWxc+hXQrykO7Ym4khjdrYuDXRy1c8z
aZxtM7A6J3xC3YTnxi0dbrVfpf0e4GD5pWpYspYjg1Og8fi5SseFN2vOr8US7/RJgnW+Dv+0+uet
w8rUqLEWjc2AtfQz/b3NJE0qTjsglCuPw2KQUO0e7d588oXazyjCJt1/GMYq1oKzOWnbjFirKRIm
0YD/bXmuJv8XlCQVr/rwfT/Q48pmg8Rr1K5EoBX2w0tXmwcdSN29No3Zww7YEPNfgiyJet/mIs48
RQFKXt7snGAp8e24Fs64kz4jOwK6ndgTEM8i3RNGxMyNR731tw6CYS0w/6Q9vepF7CjVGWLZthVV
5vhaW9WHsfi/zXJOjgyDI7iNHAH001OTzVxs3iJwD4ZHsYgeKso5F9RaY2t1TN4cokB84SWfg6PC
UREbbSpaz0vIgvNdQh0lUOFl4W7m6lJZCesv10T8rhsKEvtWFpLpnHZwZPchue5XJWghE+oDKkYr
LeMCHcPApJahblToTeQ0PstYNQlwhh8odtk2wFnCGfPZudYun5fIF3whjvbLm8gbiTYkl7Dj/rkn
MblNTZaK14lMUYviukZEKBreGrkddaXjRkXjJbuByGFnJ3i9CDz6S1iDvotX+8nCVBahHfI3U0H2
2LOIWBHIFo5xyHVfhZ535oIXJ2xNCDIfoV8Wrx1dYbF4ezEHV2fp8JaXXwF8Ptv4lJ79sNjel5H+
KXV33rlZxyQ4P47Gm9WYQFFWnhnrFyaCLK5Wj7c2KbJcW2oKS9ltmrqzaBcayYefdrxIa5/w62Yy
l93ac5EUJoz1ru+fe8Jnr1kDm47/L8UPMbdOPIiWGgJV8mGANcbyEbkI06a+Ys1i5ZhwT5ZdfGmO
9T7d95jTNGFVmwjnpkZAjxH7geTCVzV7Ysv+17Mxe3HTTCteNPlmdtkTs//+LdeL7/z+Lk2Ks6ZV
dHqmXb+KR2cZ9MhsxTUZ9W/ZacdesGro1i6TRG+bJ/13Z080g6sNe5Vop8wrE5VIliTwA0lymEHv
jjc/WkLtnPIqfcgDrnumgfu6xhR0BWGDxVg6UNKbsg9EpMp8DAwa2lV/5aarxaoOrAMjGOe5HIDc
BH6dvQ+uV/ym65VtynpFS2ub8uyCCwuHVlt/a8Avw0kpLXLZ9LkAKQn2gU9cOjTMVkEBIAwXD+Wq
nUkMlRN9tBEfm+ahWd8a1Wr/pXFKQ9bL6+l6X0y5pQybYVGuPq2/uumY16ZyTLtNavSZoDWfTE0k
hdka54Y6l/lnXWhjE+zzZh79LVbRlImLXjGV9R3UiTsNavoFaKvY8aRVzCZWxSI9wRoK7kU9tOhD
EX9y5IYZzpVrICyEWJ42HIZ+BNEsFQ5F3K7G0Td7AshDmWbdpl8LwbCjQdfMh2UoNF5e2kSK9gct
DgoL4PoyIDwO7pLypNTIpVi+khRyyTRj7pA5m8BBTW7cSO1l2Wal7cZTQbExMZ7dUqQOezcXrX31
urY0WTZwxWFFOuVvZLqk+6X3+lMwlsEvZCTySVquVlOSNdB2aDnyRBeVzUpCPTfeNRloiguXlQva
4l1KcIZ6SvVZfRnTlf/4EQXPIy2kcvGjSWpTfvMNzcFoXsh1/eXYQhRbckMaN8ggIJkeGOJAGn9J
traWLK9d3WRW7Nr8lnpS35SdBMPcXG/lKV11XmCel3isMrN+pRl/fF7L+mFg06Ndgck4fWHt87XQ
GQM7Rme0F01hiDMIo/NBHRJMH+U5n0BHUO0aK6LCfDUU92tv9nriL2QQCZd5Lv3I0SmNHy5wmfcj
6oDjZ2Jp5pg5iTu/Y9adzsNgr3vImtVIDcb0Ze59sTfXxjWeOpvl/Tul0jglhhVwMom5Wxgy5YjF
ncEnljrZJY2KjtOE86yt/Uvu+kxZSBkBUVIzOzUbNOA+JUHANhH6Q5fvwl1zeXGlwkWHgG69L30U
zhdGMBuvE3un4zGZa6eO9XVJDr1jkfKzulk5u4o+tQ+1wAGV14y6d2tnHzAZfHbtyZWl9VO3wfhl
woN5XDA7/DQDFUoZFKTb+jbbQX+Ux1ZXzUdrGLA0ZjiU62HSF91kgyyBI1KVixnVDLKHXW2u3RN2
4faosFw/5kmCxctnUIGeak772BWzeaiXkuxZl4l3UebypOZyeRylTjpXnzxMaBwDGHXXhPsDbemf
AbvUwVFFwPa54z91wm8u5jA6j+wBMtmFfWAce9mOfeRWTvA2TLnz2IGCul+782IKS0f2A9MXuSz4
QvPl6FZVe//2MYRvWuEED9yfnJBEQY4BLyVFmHnMQJyk8Ox49nT/bWZE8leHuoksLtGXUGCyRmVk
WaRPey3uisU8VaQzBScJNsp79KughqiMltnUunDSzb1u5VhaU/O54Lh8h+zeHnOjSZ+ToacesYmn
0MpSdNscivFrJczgXY53u2klkjzYLsmcftZ1me1Uxd04l9L4U3hkx9ifNqpXdiQc2oypZm3yNmuu
LCP3PwZ7/DxHJJCGNmek6hs8qNOqmp05SF4xfM5u7PriqpcY26Ka84WiPW3HJxKQxrSxZGp/WI1k
DFtiL/HPrPm4b8bcUs2kHsKu1lIGrR+D69tqmwMS6hEQ1KYjmUbPb8imF3quE0KtiW1gwifMLxqb
Itm+WS5zBKNECNeij/QYCI9lPM7seLNKYx2cOXUeegNaGpOV5kBuOeufJjRTIZwF/Uznc/G8+dlT
liBT6FZHy10t8DZD44D1RBxdaYb4MQrWD8MZY9jRLPv0IU19+3myai4I9io3Zi1QbmBg5R1oWTJO
kZhcEC/YXFvbp7WwFzKsHYuag+WfHMX9is97eLQ4YSg7+jqaAHUUdAhMWgz7MuiIj2LJC9PMYd2x
pyXJd6HPpwLcSNSxYYa/MUepZ7HF7U61HionoaM6XMcpu9whM4uT7/hZlVu9L967xXnudSrhZqeR
MQEf8F3b5U6W9kajtPFkCU1h2Y8BKjUzoexYCUgm63iefJls4FUaYWs3Jg9nzXTXo+FssNl1sRHy
HkGhOFx+Cusb65D2lqdWhjC9mdzXAtDkZBmRMh+SbhDvrsxPZOv7r5klsgtwBOsvmxjo1RZbV6eu
NYt34HzLT4lC98OwB/uYLNrWn7M+6uukmPgVLV6/h/DTBoeh1GROTVjU847ns8oOCszoO7aC/NvC
QHYrCjS09somJocyy/Csbpcv953bD6bH7dWSusXKSC61z7TvkJl62nyAGjn+Al9Ro3zTAnVbTILb
EE/YkfT1wf3KWVE7moIylj+0G51J3+uz7X4D1vXOGRWSEbHvoz77gbF0Pg0dAfuy2vudo+/EqoGD
8bx1V2v6RrPqx3mmP0QycVnslQRwZuLambP3pa+M3ZRVJmH4sSZkekt5BW4T2Pgh0eB0wxpccNAT
K0apemT77B5So1rLg/tPchbMx9fuQv5IsifFElWq0hNtrZyN/dSN7NIwQpXS413HwH2d1hmTBcg7
U8u+B+ysG7uRp2EWzHbHcdg3iWtvEbbbhKS8sxfQsWdx5rnSJJfZQaq9XHgHGSmeVhqiHpKsTdkk
L8z28h3SifzcGBUKzHYgkNIs64MnG0KS/U+u5m1OipHgXs4lq66PJPJYylJzg2oxPaqhetVKLbKS
zvr0lpHGUpZrMSm1zdiNu9Svk0MLT4I7qftiuDz4vUo84mRkqIVW9SgQm2gZB0o69rbIaYz9zW2d
ZzWl0ID1tW04V5MvXLonhhHbyRlIQjTaB/tN676Z2UmqeIyDVvWhxnRoGC0PtsN37kxcLgJz39YS
JtWgHpPUveeY+VwAXXjR6Ku3OS16fsfOlaZN/kr5WewaR6mI431H8IGYZyoL/jbLk2/lW+ZCcVpm
TUyAqIlso1n+nb0z260bybbtr1zkczHBCPYHOC+7V9/YsiW9EJItsW8i2PPr76CddUuSfSX4vVAo
FArONDf3JiNWrDXnmIfK6p0jkAUgaWn2HqZS93eTzFEfu5pmhRUZl7lz6/jVvun0cURrdzsthxvL
na5EFrQ7aL0n3WRFh3YeiRr1s3lemRpX51iQoZuh5Vs1trywtEubGKaTyHiXKh9hvENUPI06f/jm
z4NDw4Mw5XmsychD4DnRNxy8TFznMZ4XE0kB/uhxawi1ZRpzP/mgNVVWUzF17Vc7o3WuAgV/RzJL
s53h0kDFs8qpw9atQdqDGXq8gWI8asb2kNv0HtM40VfDwBOT5eM5I4WWtc5Nd3nRodjTWf0pCE00
tI046ozicyOmUxmN38cRPFJNfOHsnaZ1+iX40eob2k9U8Fi8qiK/qoU3fo9o3MEw0+dN7xv3KaqO
C9cEQTOPugPKUTNNzvP8xC/KlOKDmxkYtV+5MntsO1IOQ940cA2EFRPOhR4CnHXXROeFjm9smvhm
WhX07yWVfYcewFrjjrxiRHgofA+pMDLv3h/ZnQbKL6s4ZI3eNkZ3UTrtth7T27afvatJdWtLT+VV
2ijnoRp7/5rkjBwVJCsd1ZKZnwRtRFkxSvvzyEmAdB9CuQdMeNqtyh0oXBpuTFn2fZu3pwO0DUkT
b92bw3mDF+5LQDT2RWg0O4zPybUgqns7tT5Z9/VISlyPfTgO/AelGCuuVTXJs2EQdHWaPjwyK5uG
mMA/Y95PsxKHUkQrPwlQs3fDfrAisas663PHUrIZo1Efd2XRPo4p6ieMLTUPRXltYdMzy/nUF+61
0YhHaUX7nCXRpwnIL3pstYR9kgdTMrWJErThgzyaQuMkyuwjSeAOmLt7oi1I0utPBqNoKcR1u7Hr
Kts2M+3Eus5prbOwg9jEj1yb3yxCfOucu0E39V1Y1nWts5PKSi5g22ymNIH3UhsuqClnOoALine9
zL9MNB/7WFo3XREcdzTyygylDkTzpS3IizDGsiFgPG2+joWxzRRTF+zNNajlSe4E2JETT6u7NEKw
UqUMC5hwz2gVETpg1Yi27Mskn5rDrdd4XwEHfeI4m99wO8WqcQbsSv7RgA0ss+kYj1G96dLo1HKO
h7g+SWkgXQ4dCtVuci7S5LvMhxSOW0NfRk09aqByPXIgvEt6OT5qPToXPbg6dPhD526b1Bo36C2W
TnqignBt8ArCziSFFFUwTuerAuoeZbA/Bl8ijiDGCRNy48Ka/PKuihznwVx6bjmf0uUfWt4nvza1
saZu080WOJlC5WxA/JElZDPWxbxBmWOKvSMHus5h018QOOdv/Do2z5A4ZvNGewyk7Nycv3kxJQb9
mOKJYjRijpgirPfyjgUMAXB0AtGOVrQRPpmoUBrqoKSthr2kMMPE4qZ3Vge2/Cy0rYnmZpNqgwEi
Gsu8av8h/v6XqPKXxHT5/yeqrJ7KpHxp7Fz+8Z8aEOtvn8wRGzmHhRTE9m0kFj81IObfMHZdOKBe
QOIFsZRLluC/NSDybwv9B+dzyLFA0ZaUsgYaQPy/f7l/E2DGmRZOtG8Kz/H8P9GAWD+C1V5IQCRG
fRQlcolcQFZCptxrCYhkGMaqnzIHiZ0x2cPB823qWPwC5W6eJP6MkTwxSrBZuRlGORudKJb16mkw
ZvKvs6EZv9mcZDhTDs3kbaxaV93aGUPwCUSNg/3PjbTMN0OpgnitZiWdrfZ9hmBlIUaDN8IXn9vR
cc9RQBjMqWiP4vzJfYUQcGRwjkuly8qzbLBZzblw7a3Ngb/yMMchiXfOkFPKek4+VCeVU7Fw0RuI
2GloOsWXdBIZb9VtihS8d6PMxKVEncwkw4y/yjjKunUTFC6GpOGHxF03uIWGVtP5NOp+N4paE/cq
+PAM7uzphBKlR74i3TRbo7hKnpWXpNddSkzTlr/CbtbIaTpnHYmRYHll2eqzXYpgacPq8CaMGwDV
GiEj/dGc1uJKNrr5RLJgbdBqaqd8ZaN9DXGyVMNDQtMTeU0otLUdTZO+lppnpG2J3YhnwLK62/Y+
Tc8N1s9c7WOjsKvtmBoUnXbXjf5FUfapTWM7pO8xhE6KnozBxCMICpBTGFbktKIDxAbMzlx/aTk0
VfuxEyYiHLuP7K3DMfa8ZMbqryPCMNDJ2r0xrzH8lkiG8imctlI3jdwjcslw/BiY2Rldhd49fD6s
CqnsnnoTd8iJo1PVXizeBdA3UhOE5wGgn6jjeq89dH3RtURMDxqAZmjSJof8Tk0FjMObaCHimd6X
fhc+s+WNcj/yjd5OMmydK9hexX3lIM5WjGOQlCC+oNV0g1oow2STelaybyUGxDXDmDbbZUkTcjrq
E6RDWHMKhPxeWG5jiJt3POxUtF5GVtGqiwEB40Jqrftqqr2HlOhCZz/Olrq0haB4ki2p4xwtqAbR
wNdLQ8PPGBQVCWAcv3dqDphNj0Etl/QiViGHYQQ2iq485LuI9pLFKT68cDqn/YbQJf+E7878hAw8
RRPd9vGNkw7dp663Khw1PsZaBusZRX4+jv73tG/sr+lAn3ottQfzIqyn+NEUHYSuqIdWE4DdQGnd
9yOHJbTWt+DyrdtMpTEtRdr+5hmONevQiiR8HiiyT2w6XojQJ3lN90c+tL21TEZBzT62Rmk9J3mt
72TXq+Mm0QxjQ7e8M4myVgcr7SOQciSHTbvKUTLdarqkxyZOiwnZCYJgTgFmNDHc4HDPg8kLyWkM
k9KdV7mTsZPonBhMaolU0Y/MosJU3TM7NoYiyBgJpXgRwyblX/XhpSEmcxW+MiESBEgqSOu9F+Vq
TeKiRcfdEflloksLHREe5nhTCzd+rGK/v7X8pL2BixZ9irsgKQi915JX2p+6J/fHb90K1ZwTTyov
+XmRoDeiRZNVY52BZMm+PcLywbTKTSFBGJglN1Yf4EI18DswtXSegL8RAwsunTc8rsdFXg4W9r61
qvaE3rzK0B3ZjbmO/QgBqWPBYYB34WQJ8oCu+5yYbRGusZlb4WkJC5W+sZr7YCPSxbDEmkXrGcRG
O1347YjMZTeyLuTbTlD44D1svCS5hBBk7eGoZReNiaVt5eXNpHZD3OhHk7AWiI9O3dhwk1JQnASW
FmdBhxQbpw1/ubZrbSPCKUV6TQ1UiZ0zib7eu1VsdEeWmnEAFVUtrC3ZnJxO111eZePWbhhVbFoH
zKSGhMPxOBLuDV25KuBjobxXN/6sCpPjkx8f4WOMxzPV9AG6OibcMV6qSYuvKPjE9G2iY3dnKW3W
W7wnnD0C264ug6ou0S35ReNxtDbCeU3cY3cR1yTbrLKmN2p2BejTqxIZIGesoG8RZJuy3M4MscFq
DKizkOiXsbmNhqy+SaRl3kdhGn5BEhZe8qjzsoRSFM90RuNz9lwYp/PYe+JUxr1z/qMy+G+N9Jdw
3y2Szqr5oXhMVPf0slL68S/9LJVs82/f8vjyiVa2fmhT/10qgbKQBBO7FFAe/4O9/v9VSoYwCYw2
faIlF8w5RGw+xD+lkiHdv2mZCkk+EGgCAbziT2qlNzx1wYcCO+ew27AhA7l7Azk3ITAakUO/bTSF
wRCxck6Lzk+vlNswRnhRP17+rL9e5qa/hW0s1xKedGEy8WpS572uyjIQA32T18OKfjhsp1D7PXNL
sNLfGtCWJxZbQv3BJd8Q/Zfbg3ghIPzZ5AlA5X59SRBF5N1LfHOGO+DFhYq9LRnhHf3xjSFdDiQw
EelZ5Ly9vkpOTJ8KnQlrVxSU8ZHnCLp3pu90u5hKEHG+U3JUe/+av/nh0FEvRbak1uVxeH3NGPKG
h8R12anBGTG/Y6XNSSygf+V10Qd5DL/55bgYmUaIqvkS38ZBpiGVs8x8+l5NSTu1DJzv9IPVAQ5I
fUy8URB88Lstv8t/CnhfWATZua4HNozHhPdnIcZ/e7hOyqiBSfMvHkjmRlk1rvohPjGb6RH2RH3S
dc6XJnWC04IReKya7ftf6duHZbmojxAdTTnXRNz++qJxG44VoCOoIj8ESAUw+Cav8g8ell+vwpnE
9PBcIQkgzvjNrSG2K4zZRF7KoLE/x5WUsHd4j+/fytunw3IQmvoL0gZelpRLdPzL7w9tsj/XmnKi
doS+CYZsusykWzGm6v40BppLkcHGC02EvPPr/TR2lMbpgIwl5SSCOgGht7NKrGm4tYa4+8MQMR4M
cixYrzjcLRDOt/GaQ1IhcEQ0ijLaDw9pMIVfafx1X7XCyVqIKWYamkI3ef/rfPv8/7gqrCL2ar5U
e2Eivfw6o9ZVqvZjOvfCba+ScB5PUj8oT6261muioUzng+f/Nw8J52QJC9cUJkv88ucvnn8w6cqn
bkREGCp/ix4gPPje9IehST++zCBwOJSzPspfXuvEgbqRFMzALQkGBiJ7tBmDDwNyf/PlBaYg6try
mSnzNL6+l5DROCqrBuYE5em+yhzjPFSJx2zFU89xV6rL93+sX9cOH1UuXQa2ViuA7Pr6esBpXGo6
Na/AFsEQZfbqz4FaVW13WxfiIvXpIrZafJDe8Zs3Dv0jkS64WeCkLc2Sl7+YS4JYgXqS/lU7eVtN
lAxwCDc4IFrpbt6/wV8ejmWNgmVFEpoPhtZbPsqLh0O5tdEBJLVX7H3N2TATiV6W9Av+8CogcSHf
kgjNpv1rD2U2lJnaorDAGCRMOon5GTckB4hPf3oZVikTAi5aNoxFb5OgUkVX2W8zPGQucxp3CHx2
aNqof3iVgMLDCyi42KBdbzEtvfzKAumTr0NyDMdVtJyyD9F9VuAG37/KL88Abyxh3SR3sRL+tEa9
vMrkCNn7PswcwMIIp5jEXBJYhk+Vaeju/Uv98gz8uBT52Sy+rpRiMUG9eAZM7A4TicaMAhyggaup
6Ez7aKoTVNnvX2jZjl7txIHjUbBw1qFxzUjhzaao6cZUSNpxBtYuXB9rmFr0cjY0qrX0Jk7rLd02
7BWYGbCr2CNOWX9I/fGP73cJnOK5d5YcTtxdr++X99VKo8TzVunYj/SLQ1Dde2kVdfXB/f76G7qE
Mi2rB4Uq13nzHiM/BlWLv4euBDOWGLo/w9OZkZFVy8/vf7W//oYuFyD4WFrAny35ph52Z1QCJLNw
Ku7n+sIz7PIAgeKjfNbfXIWENQ4ZHldhrV9u+MWTwgTOHRZZ1Sr1AR5XmdWACR3iD742zH9vHhTG
OJ7JGYKwTTYT4Hyvr+MkMMJ6D6M4o5B2xO1mIi018bZ+93xccXdMkVMkB56iPt2gcAxdDwVkSEwU
E1JkMWgFvWInR6VYPg2DKBstR0NsJMYr8zTJivm75/QW8bnplOknglcw7yJzw+49JYiAPkVW03s7
+L4IguZUjSWA9Uhk+tgcgSwQWRJbJLYeN0BU2nBFH2ByPFQSdDCCcxZp+jlH9HqC5CqNRwTAQ+NH
Lk50Cb/pitbvhJOJP7a3c1l24srzEiIPRJ129NfqLAjWioapt5+sVMcnXdrUX5y4Qjteoe1bK+6u
vgjtwPDuyESY8jOzKbx5BVzcc8BJuDS4TGLDgwPAVlFezoFTTUdgMObsygjtRO0EWI7xlHp7KuCI
eaAjGIen9cLOGYqxXNlChuypmVN52xahs3ON4z+Md3ED+2PxExn2VQZdKSFXO1RXKaKGYGUnM2si
DRTYK6ApEpA2mY8AtXMaWd5KSLjmcdUSAHgjXQj70Zpg4SR/yGPbhQjll1jLZjQgKHJMpyvI5/BV
e9B279E6FHANGFQO0X2WDn60TvQoM8BcIrmB6WzMuMjokGzsKbXjtZb0mC7pVLg3fixzxuIzQs2j
XnvW80xQkAnAr56DaJV7QK7ABE9ab8gziZHphF18FXXoDvFHoH3cuFUGmygv+NuvYgMKNHuXi/LE
Ag0+r+PcBUqNtiBvz7PYdIPjspb5JUIDy/082X4zHTWNXYI3MOxiCMCcMWC3IygeOLy7DU3Y2HhE
jNDZDH0t0qTOdWoX+mQAxWFtayPt4SwXxDJoBmko6eq8AVXoFhzMwMrg8JhlwtRyN8LU1gjTVJc8
TtqpLWtdwu3Rwdax6hbyRoZYEgdeE1a0fZgrKDwBQDPyYPA2UkVm/z2wMPyc2r7KG4Dgqa5BKmZt
MEc7e7LEuVkwajxu6iget/CHhQLm0TffMtMvMYQEXnLpF6Z6NhoXKVJQJS2j1yHwxm5FgV1Ul8yF
RWtz5LOs/ttMZga/aqehZh8F4+z2j/CdZLmP4BG1G0kbGEx65qCVJyi1HTZBSpNxpVGs+GuNr3E8
0n2SL76+REVXJHSg/xNt0AdnYxvXzT6G1vqdDM+2B6LEO/ytaMibWiPoKE/aOTKnU7TvRr4b/Lr3
j6w4E+YWODng+zx2+nPQHkwNUd+2+bWfV66904B15TY2lJJbAc2QvJtYpxWKVzqkKxFmfQ3Q0rWD
rbKywt/HWIzqNSspO9jIiLxbGVMAn9tFFnOxJI58mfLK7Pcef6VNi9Dgscc/EsMrwcFQHVqJWGPd
Wiacerup0X/59JGXrB0ve5pbL6EAjjECr2pACeIAqLoc7pzMVs1RzIknOCSGLqyTuiki+7ILYHx/
hZbZJdcDHo/6yPUJXdnLaoClMBNb4gAoa4OvymmTM7MOjIj2Ylo90TBvImKF1MSr2dolgJewhlc5
RLafQ4D00RcYZiWWH6gDrNgHLXGpWRV/roY0D7D+e6iHGKOU59lYDiBniOGYDgiLgZEKhCRkg7kc
+A9DhtV2UzbA25Dban1beQbzX2PKiyuUKqjUiFU3zrMpU59Y+IG/5JYPZwqSIKtGWTatXsUIHT7D
ZagxykT+qMFIhU6zQ3ad1hdTKPF9xUbrNjs69CQLJoBx/G3twDxft/ST/Z0tagVMYiTI6DaiquHo
DhtSnKKeNfQ5AMzkqGK9sA+VcNIU3ohMyrs26mIiyrs5uHNRPJOC4/uD+6zUhGvFR6rannhNDPCK
PKBBblTnF8api61Jb/wyz91jEOKNAwHN7CCTzGIyV2aLk2Vry464dbPvxbzBPO71YCQsDFcimFD7
R2bVzvDIcjgRGnBDQ6xNObbHCoE44lgESyTKwOdIj5RphojEc0iMNy3Yn3gzenYUwAuM6AiPA/mz
mAzY8FFXEgOxs0oaN9tM1t4jy5oyz1zc4bsucmzkBT1D+12dhA4sHtSp3n2f5n2AaLUws+OpixY1
V4wQCdB+98PzOnMnQ9RVFRDYCSOz01eguwNtR7dg0GilTePAyDEU4JbIAFjsT8YwQOOMRumi58Sy
PpOT7OqnyiAgbmsnUz6seaBcavzAGg5j32iSXqaYYUWFFiPatewB98mkh0+pSOATFQaON9Qu2rio
US0glKzTfoCij75yI9M+gH6XSQNNR2AwGw2A+aUwZslH2vRqzBCx9V76LIvFntWilGM+1RXTo1/T
pF+ntjX420yrjrXdjaBMDaZo/E1Qi6YDC5fL/GAWNZ63BHjLvuprIss7OeRyzaIbhKzIvfvVhxpf
HiVFaXT4oUShcXwMC9m9SqYrun5TuXaRpMD0lEbt77CC5idt7hg+yMnG/uLNfYlCtxEcTJmUmenG
6rvJXBdZOMzE4Va4mmai1Pg8sSOQ8C9BOQo7fkY0X4aw3IM4gPl8yDhxmo5b3Uq2Pl55RD6wr5T2
UG8xKfgOAhjptTFYtLWwESBIQ2qG4BQFHwESemYzIOeJWfY6IUDhYdI2rJHaIiKN0ISIrSCXxACb
Oo3XwkiHfOuWqbf1IoYzyCrF7O/oLYw+BRITK5okEbTvzpEmGj5AUemOhOJQXTIHhAo/xXkdrNvI
L1ogNGnfDyeqTFElGazvyXqx8sdnGWowhGNqSMdPci56B60a+P5zIivmfg+9Kh0PZGLw7OAUdpHK
t1mQndTUEi1U4EAybIsSMgGOCRaOam9lxI0NkrBywtGcd4WR+Cib1Fy10am0psT5BlW5qNlfpQKp
EGg2UhdfI10gKDCGZdf3lC2y2miwPpCE1BAuloOiO6Cu9vBGuZHrHBKS5SAV50XY4jn3HGLLyg57
MDItIjRtToK3itlhd6xzH5V3WWhoWkPlTVc+ySPBJsEBA28YD12206FLmvTsR0m1ofEDDpOiywIi
q8j12LqKr2DLL+Mct43VNHvS2vIr06iQD7namb9WsRMRlBIp4vkire1rXQz9sdNkOBJRZYC5CtGN
rSPs+y0GU9dgh6oaAsSGNgz62y5iqDpxtuVxkySU7RB4lx5mviJDaggNLtryz6HC8WwS0FTkfqfX
77p49KYOZ4nJMDm2MVvSfNGYP+uGrZFQttI4N4ltcRcvEyEBaTXRIu/pKUTbhrjE29CMWUEMI8SE
2VlLTKHVEIOFEj7tHjSb+oAGwSDNopcQ3tY6D4evKmUAzTIssRPWonY/NynRAttSCDwzEnqCizy1
SJhOzpEGcCZRUh+mQuTpKp9VibtTWgSwgMHDw4rK49I1I9dcWXkO+NQiIuJWykQjpXX6Edu6n5cH
t6xDMnZyhjMrhRrhWgypAeWyQKuwmc2ogJcdq/4J4xJQvYgpOwN/lTYaWVeH2yeyvPYL6vz4W5Vp
WqYzKBVzw5lteEYiWn91k9Q92GFILWUSO0asvSirZh0ZWXOKHJp3FWPSuOw37aix+NMEhYXk1QW0
1Lx6GAghOZlLG5CfBPXvbsfciS+hlxb1TZBo5cKJ8tADxN2El0thH94VjmcaOx27QEsJuoPK7ZUO
bs20KjGz91Kx6yGnmK9Q2zL5D9hMTz2jj6LjOC2NGwX4wrypfRkOK62z/mJWtnU5Nh2SSD+2jesk
JeVm65q9uwugQp4qE4/Xql3MdqxqdfUIFri6xBBJNjxpofhNGumqeW13CGH4+QmcW7aDMMQj2GGa
T10OGlf0PIaniNjY57zuHQfVfsPumeB00ptAjOXDSLLTgiC19disy7CHSbzGlNVyDPamckYJU+uS
ZZrHB/nGCUS2MbgzprnQV5Bco3nBEgJQ3pHQamY3VlmU6PVqCaWBGtvSsr2ICbbgrcQH2SiouVrz
Jx4q1y8ELs43g8frtc3z0ul3XW3lqI5bx7mNmrT/jDOVrjHhcS2ZBXOJYRK7CbEaVTv6/o5s6P6E
pJ94XHvzzDGEtzXhoTM78jvGrbTb+Ekr4G44v/z5YVRN9x0dStyDiGHX4Tk14FnUhurAxhYRgiWW
jJIIyDDGqEhKdAs1D67dNtfAZ7Yz+ZZfKvDWX/qU1ZvFNifqN0CJd0jL0sowXo4mehkLJl5h1CiX
PCr170jZq2DP9Du7rZ0cbGPblphBl5ieNVb64JYUCRjNMnNBpKNVtpz6sUs4yH3OC4Zk93y3EHbI
b1PTFh18Gq6ysXNv0CZAIiN8TTLXV16bbEJMD/0ugr9lnxRe53y2XdmN+5FSEEFDTzcBrhbtDFzz
oJo9JvIZCBXZN+aehixMgwlF0hZ/CsWKR9iqw0E5G+G4uIKCvGptEsy1qjkp9ACXD0BIc3wo1Jtw
ksU4fwY+2t1HbtCQj5KZ4tafHBd+JH/JWiUtW0UyuP2XIdFmw8thEkjIE0ftQPvUYa/tagm11aOH
tqI9XLcbpdMohwJcQ1F0YXl9IwIQFQ2hWaQRughkAIe0XnNslVVHRHEckIZCAVqIFfrk7sEYYp2c
Dk4lWtogvkdGoeWE4YpSo7vWTQEuVRj+SLpHUwRbWSmUHFDfx+u5TZCmz1BBFadnw0j2tP0Wy03n
k9Uh5gF1OFEfPb0IGs8rxzCFOof/jsUowbTunfaFiG5L7VfhJsE+Ty6pU8jPRuWS8Tr1FLurZnSX
2g10x0lSdGCtvdlIv1DyTRSg4FKJ5QkdXn6FrBzFiV0W+cppF8tA5gcdQIfO1t+8KhrIOrbwgoPw
EDD1Sfho6w3PJcsh0NRIbMkJDqJNHmFhJYsmye/VwDJDopFNmT2bM/Ja5QPCSaPxSRdq5i3HhtAe
D3Xff+e5jKyt5XLUfJ4nsGh7k9rYOA5FgoGga3Hir/we/P/B111b7uFgsXPCH++sHade07wvCnux
2pJJpLbabOfHUSWsO10RgzYMk6E6Wlx2d5btwvoXyLLAEOH9mYzwzJj8URaf4qmzeb9UN6X7oaYk
6c7xgE9yk5F7JjbVzEn1G42DtLhHK9SDDtWiafekxtCmWinAKe3njDJOsfEN0jVuc4KW4k8MFT2Y
eGE9w+9exY6ZN9e5hW0dzdLIwEVlQ1Kf+aE7PA9jZhAzXY4Z67QkSVh7GeeVxHOT02z2wydH9cUz
xW13V6NrkV/7sO7y53Sk+t65HiX0SriVFEdTU6fVpziOarWXud/Gn92WYTVdAJV+baP2uswmvAZO
3wqwqDwaVllT7KYGckzkdzhdHHnge75vCnGqSn1RVvYz512URbX3nRig8Q5BWkP8ahTsXW84bpaS
kwwYcBBAZDIxSPsb9qwpPvlXzasUZrg1V7E2RLnpm8S4NNwSOhVBWAjNXIxN6To1mvaOtoTDUcaj
BbuXzeBc/Msnvkhrjn8c0EuARFGVgohuddpdBJ0lPnEyE8CSupjydMIrdUnCLTp6Cq3s5s/6wpzW
GIYw2FlAaQHDrDed1NEaofkOcGGNJDuL2Js2djuNfziH5irMKUzm0MwqUKy86ag3roPpDJ/NqrM9
fczJpESpb1sfXOWH9uHl/IDLBBDhBBUz0z8p3oy7m6jVNq5BYxUMBFXh52UrWJEMVqqt10CPT1rb
Px88k0I/i5Rx47MLPWPdoh55/1v9pT/tLcExhM6YYolzNN9020mec3jfXYNjHVpzNLfxmjTFYNOY
xvjBuPh3lxKmS8N9GXja3pt7xp5HQK/BpSiUu/XQQls0TPD7pTL+GVf8V3n1FyPcFz/w5qF9+D9P
ZZu00/lD8fS/f508ldPDK9HV8s//I7oSf/PmYGFAmGChz12kVT/16ZbFnwRMM5k5Cp5Mh3HWP/J0
CIXItBjx2/x7Jp4dXrt/a66WxE+TVuAyeGWSAj/kTzRXYpmZ/eedQA1EO2+JPbIk42nfXz7ey5FM
GBPtXJTi0RnLUMjbkQhGfM5W3LbDbTDmtXONG2owjoy+S5+CabI8otPL0TgNKyMcNp3tQzgg1sbp
kG5moWinuxdf5W+UWq8f4J8fEJlFgIiEWSl26NcfUEZeVYdZ932MXVFtLSYQ5KkVOQAsQWvU279/
tbcTqmVtkC6wRpYhBkj+m5Eb4B7OqV0GzTVCgWA3c/6lHsEB/PlVmDCbDjqwgDfzzZcex1NmUfGn
HMsAARC7Bm+o9PqfSshv4/9ET9Vvvrm34oPlXpA6EHWFEQI10Ruxg28iEfVQknIiLdJdXw/meQCc
91C6TnSSxUawNeP6yYaf8MHtvf7Jfi6wqA8cywcnhulh+ZJfjPmUQls3sL2xN1FgTmICw0PI8U5M
Wn2wvC07w38e338uhbfDZouAIPN2JZ3LsYaGrlG0i5TWWDu3K4wUnD7nZ9OiUn3/d/vlxth1FjkH
9RLyAPQIr28sKJJcpCbVQzZFX1tbmfTbmydaP/MHt7U8AK9uCzYIl0BMF3iYw6zlg7z4BqkmM01e
BcpzIdAIpEkBxXgAPeNCfHfMoTwJoB1fvH93vzz7ywl/EWAK9GCsB8tS8eKioQ0rcgSnh+dE47Gc
h7p7Fh1w8w++xd9eB2WC4wmb/5pv5II90ghA31xnJpvo1gmtpU1Wp4/v34345dHgdoTLeY7/kN72
VglJk32SrfQXTXzbIRknwDUNenufRDT6tX2WE3Gbp/a+gXShlD7wuDDo6o9mszqbAko0oatzPPkf
SIJ+d/cIgdBTSXORL755hoAA0Vpc2CPp7JRHzAImhOyIrt+/+988qagjEREK7hzl0Zvf0pzhEfWQ
SlbFoAd/ZYqlPnQaQiOZfUyMld6/3O++68VHhYhg2U6sN5ezgxC+fQp7ySCLaoeH6V70/knjO8eR
U/2pApRbQt4EtRURiKQkffMNMlUWHiJXjEt2UR4K6FhXIqlsnIGGJbehVOqjR+nX11HyFqKLYKMU
Phd982Y4THUGwevYB4OC2OjfNsI/xpQ+rDMOrua8N9rbJeVkbORm5tCzsdCheD3dGBK2GpKK+bRT
mX6JDVqL73/1vz5PQE1QS1PSIkMUb/1lFNOIpnz6LF3UkS0zDHCDrWI6ev8qvz5PXIWSedGNoyt6
q0cVYRIjhgRarLA+YNOqlyEm45twIE16OfG+f7kfmqHXCyDXc10kqejS+Z3fLIAWiBJVOhHWMpNW
wjGqBDdfV3OcPds/4tzwd0S3qRMxSTM0nHEGp2Q3mOC5/I2moD57//P87ktGTL0UXKZlARB4/QC0
XcmkQHP7RRZ0zWHoZ5iNI053+cGNf3ShN5VBhSXLGWIuxJk1R4JjxVsh9Eerw/K8vv122ZwRrXL8
RdO/fIoXK73E3my7Pd9uWfax2ODooePThhZchjHtkmV+PExHzDcIOAhVFX+0XPzuabLgkdCbdpbF
6c2vW4GtmJjxs496BsnVrIc7YCwtc6/eOLz/y1mmfHuzyy7Ab4bRk2vyf17frMncs0wtYm1K2jmK
TJ8e0oitA8Q6xVBG5qZL/OCzpFPtLuMHWg8SXC6TbXynwXcC5PybpAhLYG7WUNI7YCupZsa7uJf9
6pH6XpXf8Gd13nmga5BZZH/EFmpxUotIBUtnFd619dSJYwOuPl4uMxvCdTPIETnNIOhldjqfzOt4
TNh4ykEtE8moncNyb+p6AVtEQKyNDd3DuSUH05zPsT9F9rqj6Q0lbu51uwtkp9ptP7ot1iw9WvvC
B9K9rjuc2pERAXAqscXBaquQZGx8yA2IDoc2y/ZNUFvtqi3KCsCmNVkwhZIqJO/QJElhT7qPVmCQ
cueegsgqTjOda7kvYDWQQqHo2E/ohmCmQuzLvXjJGS44UsAriBI5hGe0l/GPLdKXSQcnZkVie3qX
1jj4Ec7kcYbFC4dhH9gHKFojyRex1j5mNqbzGotpFbYPNinul3WRJ1eeX3tkY2JchzGu8SPQ9rTr
Ca6EmD8xeVPR3kxr0wMqUGb3kDyK71rjMiUKOBMQHicvxaQ6hMFlNnvhXVKkgt2/q4gpY9KGHAuP
nOsfiVz7CClQF7mbBEdIsrEBhMXHbmgld73hmpq5BkVUDIdjAireUwfqW3OwVYPuPDfuGgt5hLfx
+dpIm+pJSeYLjm11HP5f9s5sx1Ik3dLvcu5JgTFLrZZ6wx58nsKnuEHhE/NgYGDA0/eH56lWZuhU
nW71bamuSuHpvgfA/mGtb+m0MVBkJoZzm5L/yxis7tlkVKQWFzE6j8KLkZJXxxV5R8d2VS0kK1t2
+kuWRALtEgIhK2a/hpWxdqvy7oKYjeXJcetgPBCHVk9QkRPnlLIpSVjwtLVdQczRklu8rC2TZWpn
zfDNPIaTRTbO9xkb2ToyrCVAiyyx4aO5cQ/AgdaSEHEnnYe416KrWrKXu3y+KvzWcEPwukSfMBQN
g3TgDxORzRXn6/45HQmaBDakujujrSZMt7bXXyJiCvOYesjyfzQ2QTP3ui6Yatf2mIXHzrHWKtzB
l5iap5mJNbbCVJkPwAC8fh+QQ2cd6UQ9Pz3HrmY0wUUzYX/MzwqOqvyMjoaUw9ro8dki8q/qI4p1
89Y3zOJNW4XKrtqZmPm4maoctoFRBdeZNVSad8Sul9Fa4xcRj35JjEdKXitAWZ0wmVmG7NMlmL5G
kzDM4R7UIXSreXYHksVEwY7UdZ2VPGnI0OQ0NSyG2PV3jRuFQpnYbSQZ1ZD9m5ndaxpsv9JyxJbV
UfDRjdJC+Cfs2UHJjGiuPHmBIuxWDMF6WRjzAJIRgXIWT07o9jF6s+GGXq4N9ziMEb8VLbnyO+lb
XBAD6Y+XzL5Jb1JN6kDx7yqGlkNjg9Yr69wCTJw1i4iYvCIxqAkw/WWFq/tcLRZp93M2VWd5ip8o
nhiIkr5iGt1rprUOX8tVrsOzk+APjRXpP++yCizugrX3xNFLnSa8aHvwbedB73f+3vJ9EDi9N9BA
91Vt/5wSVVkH2ZG7tbPDmSCdxDOL9ywIq+lYI3I5CbqOZt/B2N54SaXn7viUsEIOOJphuJgIDaKM
wQrcU25o0CgdK8tdUAyQIMF1ymuycp2XKhyLrxbIWhDpAYlslCLdtBH1WPVLCfSx3iEQ68h3sRue
EnZmD8T3QGksSIkBGB0Zqq3VEf2lew9ZuvKiiqmfi6KmKwg90wUE64lgkeqiqZRcHpRnlcKKEA9I
5yhE1rBeNlTWW7BLESjsIZui7tJ6zm+M1bdShuYNmoYnDUcpKE8U/Zs0UpIc1/EtIiwclfok3sHt
X5ERukqCRCG8kgiApecOG6nlx9t5SsWZQQDLTzIGoGehT2qK2HdlWZ5nres0PHEqoKZN3pqwTHsP
vuAc9XatPTemEUF2dQwFi035Z23477nffzDF++dQiv/FNrj69dexHz/+59BPOESM+PAlAtcB++B4
/MufQz/LIjRcMI5xmVjwM5vl6j+HfobzB9M4H5KF2PyPCKSpZP4x9bOCP+gWGaYwy6Wj28yR//N/
/G0SNPz2///mfvytANs4FGHIjJHXaDJ9/H3q12Ym4duOf/ALnlUgndeQ5whCo3ys2OJV5m2dTO7D
gkzajYt5VWezwTEWCRku1BMekUZNFtS/5GIzDxyHcn6Bs6xvFncyfiqIqC245Uw/94UvnWhQhb52
lJcFF9Wo0EE54cRGHKGS8T45RoZx3yhCzqW6aYpIGrSYSHIWoqSqcgwfCHce+52PPYlIA6ddJqgM
DFOPCUre8NkEm44s3hqdH61bQkgj3Cf5wv6V1iRC19wPVjXqMDKHKn9alkK2+9yAl7jzGTn88N0N
dBoartvGBA9UIMPAj8Gg7s25iMmMRq/M6LSVEYItk6VUY6knRxMScd7psqn3A8ZwcqzT1g1ZQ85a
p1cGNdIRAdHUzrFeAuJNduTkFvm+7uyi+frLJfdfzPh+6xcwbmK+4a0zBt4awN+7P911KxGl3llu
Nv5Nafr6medZ2P2/TROYUrMX3lptbLmWTeP99xI6rBoy6YV1AxvWtvG3O7I+QSEZstOUrhjj//V7
wo/0W8lOi8keCHALAyI8Ydv4+6/9SVOvPJbz8Q1bFXgQNLHVSxP69a8cBFd7WnOjzei+G1Jp/MFD
7CA8zBG7eVl7zQqfuqjFygvoHHrjawFvJSNnHoTFgBhmDKz2JU0JnT120H1uMYm0KCxSFZhH7FJJ
AOLdAt7tDQM1vvASrr10DnsoZxLrAiSFeT63qX4s2FjV1lXUaXcVWohDb21ltc/s/3IkOpOyCZZl
/LNf19SBBmTIOYxH4GZU9zq3CPzTNpowkj5sZm3+SjS9GXR97KBNQFPZwS09VT0el3M/94jmMUhp
gRlQtOMHgSr+y8K1BRcYwdy6QwRAZtCQm95pXPulO8mcJdrRdSv3UwUZCCe30xlo3hFUdFEaOVLb
vSSFb17Qb3czrkUSaQnLgIRmuTe9vxg5TF8xD7sOIc4bu2DYMCkwRUhRs2dMsWN3s39EiuXezgho
w/PcAxTMbpmPgNKyBF0G/685eJOXb5n2fmlyVFkJKAmnhVmRmLb4ZUG1QExF7JYFmaHPN18EsqtD
xS5c3K8rs23Q2BnG4rlrx+sBQLh76akabrBJHX8+kN8TkkwxluFFz8ZXbFF343Nmh2gTIQIjQm8D
Xue509mkNLvc/Zcrwuf6DEjT+KOvXKIJ6I4ccVir0n5eJ8qvXdKP7KOBsqCayYAiQMwGyre9q6Ak
0HeQWp0r8u3Z4ZJQ/IDMEEorS2c7J51amc5uQQSLLMRycoR1IGSHSAZS11w6S+qjpij9y1ZVNTAL
256Ns0xtiZXp2uXdsZAeNgKCnNEgFlqapAcwcKYyanPrqUwn+anTpfzMCMZbd5MB0Ii7cfXkeZf2
9Rn6TtA4ZTB0Xsyjj0gU0/UvgzBHsLr2JgXu6l6LQkA97FCTWQc4gOU5kgzH3PJv3Wc7IDlUG0F3
Xpt6w8Mp/Tn7YnzO+RRF7NO9dSzwHeSAKdnSaCPh+9cRXaoz7Csx9bdewI6dgE2MKXvdbLkMFmjC
rXh0gxtlrc67x2f8XBk4/S/gaZKXJ3qL+EzCoybjiDouMwhFHJUbJXnKt1GJHCkNPWkP2Ec0+mEx
h3o8dCDWmeziB9wi0ZsmTswRhXgVLMgWlfaDM+Wt8qviAUOfgh7WiqVy+8c1MEgsbGzR/7Cycv5E
+k4koba9AV6rhSYcC1pPLDzn4SffItK0ZGFssNGKMxJFlgn2q1y85K6tMruA1NwBXw7r1RiidqkQ
wKZervp4Em3wFoixQmaxEGY4rl3wNduud6PNtPvM1rbr94a0wR6afVVBO5A9NOWKJOs1YppRPmbr
2F/53Tp/wYKjG0AkneAZnTYWU5PlQZxaHY+pFdHBQ4jG/37pFn6Mm4iEJAGDZYmJUfVvUrPEuVGl
jPQJOfGN5oC4L33f+oRnnAvU0spfNxmjIaoQqaetWDDAuCFBIajz02CvE3w9Vkn3SdAQWNL4uckH
Ns0jL3dxTLkRheRjwvFIYEbpJJ/e6oLgZeyEcKoNK1DDTjXB3RV2G4zvzdyUKsIJURDVwuXKz+ih
DqCYeu2dCXKesBQ5M44Pq9ocbYDyq9PiXGpKsV4kYlVBlI3qW1zjGtO5HC1iKivIJEbsYuHHOlxP
qNEdOtkLsujJa16dvrtD+0vups1jYEI5L/Kb1Xdh+3utkV7N5G37+y50vZ8lhJzghHGg+cy91HYP
Xpotj700yG21AgMsUxb0zMeaYWiQkpVFE7dpgZrz2Ax2d02C+Yjua2jyTW2NrOxYwZEgh122XrfF
6qx1nGRlm8Y6yWk+R7COT3pQ1mePt/rDrV0+VUWjccPA13iZpwKPhpMY+VcB/gYao1fJkVSaOnQj
f5AOiJ4AoVUkgtEdo5pB3VeDQdOJUyMf2wP2T5O8xGUGP1Ml2Nn2FUMKTJF5jlwHgQoAYT0TLAnF
GELAbko8hI5TiJKd/ndtfmRdarz3GM1ew1WpG3Ig/Oe27833BiY2RCjYg1Q99hos3KdBk8fVYGkV
WT0SipiMewmlmM8d0m+fFM+FbxjOhpJ1GamguCb31iwSWE9t7UriNh37LfNqgQlMLJoSbkFYLQ1T
3SQ8fhtSQgGE7xxGvOaFW7fuU2qq/EFxvfdbMC7pQKXgud/Bgb6ZVQhbH544CBtk+Vj3srLSr106
uRXAxzVrY7r8NUMu29Xn7szdBQkk27xVaNpvwfOOHDpLSD5nXmbq1lqpJRHHWtU7LWTX71i6mF9y
GpuXckqTjwBCJurGIg1eaNX48i1gux7Oi5rxjoDE9IEzaKCKnLvFoRNWjdhX5ez9WPvK+4ULJH2t
FTfdDi8KGbZmOUhFAPEWigAKGP1lbhimTVJJSC0zTc30AjDRe1E9T23ErCWtHkCAUs7VRal1pyE+
5SmRx+5ktl+gCHyLQ2wQ1zN32U8Ib/a762tCdjLOWzyDkH5SsLg2EKW6Qnx12QFb7jnTkfjdDkFY
vEw0AaiR8rI41RbjKWZiqLrP/ClrymiWUzUc/GQsq31YBtMaDXDHwX4lkPSjxJUVAaxdvlqXrj2v
/tEHoqwuwnXouucltRMHC0huTPdzhjIG/JluHlzDTsS1NoZZnnpjVVyRgNJm/HagURN8zBOSIWKJ
OoTm1luTwOUqCAFOFxdRLOUlhZknl4asE6hcYpG7USCl6HgZZro+lzkl5bl0u3pLjMVcCcib6bCr
DyNjIr76uiR/4i1nkstkMq2IJWzbJHEvq87ymOGg0Cf1japxSmpUXYvuiAKijBAkChGJ02APKXEa
RjVVq4EKlVAm43bBu1teBmNoJGk0AyHIPkTvVsahbpzCvy37zCWoGjSe9RYkTZ47+2rhyQiQd8J1
tbMyMKxjtOomFJEIgzY/dIlAkt/KmXdBntdCK1PmpD4fB3+U+eMQrhnJ5tjai/FpXTAaPOYjfOdD
NRCI9mMsatcGMGivuXegFBH9KQ0HlIA7t+4DcZdnNvbkHbim3rvPV5oPjJPZTO3NQMTnFDUaXm08
l2sJ6YInZDs8Lr0aQ0m0tEcuNLzglZmQmTrDlZG1WXPZyH7SV4OPnLZFFxyUPiL1mcb3LHF6gghH
6eANIh/c1nddNyXiQQzg2q+YkmJ5WexlegoBlnD7lcm271tqyptAEyxgJXhpSK+dl68BJCipDyV2
cZo8iYWmSW3Nxo7h/B40IMhvwhIRd+NvoTyxe07DJhiMH5C9AKM1hbl6+zxhOkyBp0R6WXg+gilN
e2EibC71sbYEFsku0OIlg84uY6iG2Ohk5lTrnlx2tztjdEcsjqVlZkbs8ft2DypvzLi+EiiPHbJa
mlZytFiC13M73kiFchk7A8Fze1QS3RznteGA10c3ne+LECFay/ZeAAJuwgKDz9Dfmy4xDlt+SS32
DiR0rPdWpW7nwOaVtRcFSVoOR7dPIgslOxLjBsQjDXaS1TANA6e615Y7vmMktj9W+t70xTAllNWO
4GzGohDqUgzDpA7YQz9H6zTrD2FOorhNWocHtisy4MRc4uPCW2/HPbGbnN4Nl/YnSTQdTlyQHkhX
VxJGyj4AKN+ZC5NeP3D7Gc6tPz7Ojq3wJgeUuKB9cQdVU44XuyVWnUBkskl3zuyZ4phtM3Uwih0f
mDYb98YqSCcgCC1Nf5i9V7+ulEseM2TMdvFcoHI/yMzIuIWydH1b/SJAZT9nlcRPmjBHmMw5h+zr
FsG7BEV7R27xnBARhjR25zErpy8LbZNDqajxjwC/n9Xhu8n999DsP8RGiPnnYzMkczw5/zY3+/4v
/nNy5v6B3J0lM4tsYln/IpdjcrbhMgR6IhfSmLnRH/4xObO8P0CXMRsDCMWK1vEYGPxjciYC/m2T
crkQbOhN/v8YZcxY+B/SHDbTIfO73yYhneBFIyshpI8B7R0A8Z8DBejeKwPx5wXyt5nd32Z039is
v25pXTb3IZyObXkZsJD9bUs7yB7BVJrLnclGCuOShjVo8qeLqp4NXKcE55HGoWkvndG7NqcKHzyG
8gefbeWvTtnNdWtqNNo888+C2i1Pk4PSvxD4mqpMfIaG55y6bn7O29A+H8bBuM1HAdWaPIPbskqI
zVjS4KENWhYmRrhzZzfcD+70ufT4qNic2u+5AdQ/SNIXbFhYmbyO3sNzYL3vFD4RyJS0yV6ER3G6
GWp1i4VHfSbwAHmAu/5b4GbDMad52eXDJpKYsVJOix0lrZxa8uBr/AJj7+yTZmw+loD17DbNhC7a
d3a8LMRJ9dJfCryhTsg4HxQ9JVit0s81Ldc5tuGSAD0jeQ+dr+LRSXhUavTqocY3Xlp7v06NynwI
M8/OrOCEPQt3dUy6nFPJcxPD+4rLbG4XhN7+HBgaJGqF0CwjcWVCQYxm4aZn33w7ldb4jk/Lx3E8
1k4eVWZj/6JwseZ9ahJyh0AOy6IDDppmZ1DGa5gs3t1aJ+3H6LX5vQU1LYi6JJ+ceLKGSdH6L+5P
BRA4PKs68mCotAWfuaVR9J1jOGL60zahsZtVwbO10eYMLRwD6cHqveS0JtPwOLTaAjHae7l3TlAI
lZ0FRIdtbdavHeZXFVQcF2b+LHjKqnMD/bOJz3ficktl7YfnLSG6LF2CsCzZ5YA726d1SYJqyB9u
46Z3JRHstQ1bqCP1/NwfSb+KsB7ivirXvnnCCLqoA+9B/ShMVwN4CBeO0Rzz0BcuzRZfYTXxQE4V
xtHICrINJQnmAMcF+UUJVNNBUCovJvjNtvTtZ/xKWRsRtkTRwKjY+JySbVUOBEJ8BB0+B6xCA9E5
ts/+uRQhZZhdoLSKJmD4064lvBC7dI4Sp/YdJAA2UqyBudx25bbMeN8L/Hg3jpnIPi6GYJYHX/uM
qnrdWttPK/mBmQHx3+QnZUv140uPkVo19rFArDcdpj7Ek3g3KL3wXOChtHTDJwcfJbu5TSJJy/im
JxgMj/EErjg/trFl8D3CzIxqizPAnphRmC59e/KVqn95hV2SzJExBq2+TyFYIXw4ZIhzOgXlwPwr
SEpzgwpuJ1i/HWb2dqxxTXDCdd+nnVVtVhv4ipyCLiuiN4YsnI1KlKI6FE7T48wfA54mXD5EQ66m
8SC+z1eEXM4NY7iFfvD7BHZYBohj+H0yawYjd6B+Oa/z3MMBrEg05RzfjnQqqfFxaBoCmlVbKpcx
53b+D74BumTWbo4IFdU7JhqKhea7bljyfNw339UELTzhFoyZqTLs74rD3IoP/7sOyb5rEhpC6pMM
NsttalG0wFWhfrG3UmbeihoKoeq+/6502u+qB6MgFRDqAKqh8rsyksRLsWjFRFatoi72jHWG2wTH
uLcjiCmTe+u7vmrHtL9HkBZsOtqtAiu3Yqz8sy77rtHW73pt/K7d+u86zvyu6czv+i7EG0L49Hfd
F3zXgEAfqQfFd22YJZMvmGVvNaO0CfshMy23rVOo3JbsToCRLyODTTvSIpxgEjgYs8FQbDeSgPt7
uciFHA0/1PCx18ZUM0AGUxo/xFbWqu8KF+49tFtvK3zLnC5z327lcPBdGYOkoUqeid0uI3oUQl50
XTOfG4gloIZGXHbpjpu0LqOQ7bl5q+mp+S7GU9Na1FUVunX6syXpSH0GvdXU9MTNOr+1iSjYvyDF
YyJD8ovu78NidoK7oXWN1Y2E25CYt8umwHb3bHpM/RAaOs2vlya36OS0v4VeNPUgCkX8TtZMXRQg
Piw3Q1xr2MexXwp9w+dsGWd1YLQMz0ym5MRc8PuTE1CXcrxgduPwlmaHsAofAi1246/CKLv6pGwy
AMbdoCaDWD1i1xZyCaVtYN8tloYsytoYrRXXMjxcnkimL4dHHZosxCLEEXXw5LNKQrTdpYW876Sj
7RjPlFhPzeK2zjEZbIIxtS0nHiWkTvLwQ8GRn6c53uCTWwnHvzXIUpMMiEXLGcpBO77UTCTbIzxv
KMMJqV94rZIcE9UigR0xqipGCuQahZBzXw7cHaem7Ef/jNiDkKF7vZQWEUTakuHzMnjKhF0WukkV
dy1Awvd1UkL96EZvEle0TXN95bqdJeO5djCMck+2fnbZDXyhx2Tq6uSRueE6xaHJZuEo2FfXvPqh
J1nTqPWN1gg79hn4+eyK56/Wn2o16y27Na3dO12a9iWygty90KvUUwxUyRZ8Qt7c3IMnMtR5liXe
e2c56cIAG/zHPh9QwMdqHbLxlggZ8eZakB+++oV25ZcD/G28csZKppfgC3xxVppNXRDHaoYomTSP
UdNHYLlIQOZTNxfTHoUvAVERI53VOTfX5WN2gaHNM3EmIXLqa88wKBeoUmoRszGhp6qRRJzGqkPF
REJQ5cTthpwQNsycZC6oOIjrPLkEMRfCa151KSWRSLXb7fO1yvcoPKtraob5y23NinATGqUdV+dw
cBpz5U5mRoYdt7mhu8gOAoo9jnT8wjRJHQmVk5ZnDhrHI93wsmOe4cY+6p+zaWrXp4YFAX5AOHxx
oGQWCYZEuwXaCm5C4kuvGmsOjhCqmp2Xh4y9Avc6CLD4dL5/sjtbX1rWoA9gEj66pZxOeDuAQxAG
gssp6Q7McdJDoeaPlQDboydIVxwTENBAAUaM7XNzG4KciQo/s0695xQvjc6S17kkF2fHe828eKIn
5UuuRAiJfRUccmKhyDQql9Qm35cHr3BPDrlxe8f31BIzwBdc0B2r6V0/pl4MjKo6mHg038PEe+My
GW5nbEuRregwi94Zr3p7BGsuSPnlaVX1+8we19ulrcqYJ193Lj3pHi1XGe+p41wG2Yy71SjBxa+2
cZN4Ios6Kcvzwl/6h8kbWyYZZLKbUDT64hgM2dfYOGNMNddyTjKOiZFnuUTDEzEinOqJjW7CAGDL
cx20eU9C/MQyxPHPZJ9ui6GmfiCDeLlCKyivFLLJs6bCyb/WzACLJTUPmRlqHqeUT6pNunOC43NO
NoetoleZ+aWlxAMjy3RvtWDabcLXosToGlZ0vcSN3KQv3Lx97KejeoXARBYTnP6rGVTTV9MuyV2y
ME7obEa4rG9vs7B5FF1j7nDUGadKJV/O4tYnCDTTjsqYTSKJf7uABe6RYf7yVCXzKsHLOT9dSlxM
/N58ht863cjyFfikYOWmjll5eb+2rMRbe+ZY98PBvfI4OI+dpZ/8ua9flwkvOztG+xzzJ6kQtWw/
ZCjIDh9Uey4AIpyRN/MQSgRJmeaFE8jL8n9FhblnzhGCRskd6PVCeCACWDYS1pC1n1bbeKQ+F17/
JQYBRccRSSyAWoYA7RkGMMgBxsUkIUc/asDFQvRaltx2hfpcUcbF7CeNvdySFeCNvBSl69PjVKQt
kD155qqQ+TfLWpJm1TJ+FTKb0j/X5//u9f8jQJ/8z1v946+39m+xLduP/9nnW84frGPo8rEJYe4O
BarcPxUywR++KQSqNixx0B4R7P6fPl/8gSjAdExsYLT/366Yf3T5eOno7RkXIKkRKCFA/v2mh/lX
+pi/y2OYPjgkwpg485DqkNzyu8/HqQIOfIZAGSfnHU7uISYEr9uj7rf/G4/W3/9SYIKxRNMDwRBk
twVbmo/hr0oH1fkLnBH0AozOIl82jKPJkiB0DlrRXz76/wulyPdfAuHn8dYYkfyu4QjyTNaza+9E
Jrl9CpAp/bzM8b/+I//F28GtzncW+IxxgLb+/e2kLnLh3mdWAE+XaXKb3pDTB9JEZLjB/ps/FWym
kr/MR0zmPDgEGOowHcHe5v+mlU9sjmp48cQ7icBmL6BkchXKmghB9iABMkgX4McuXQdvX6WTPV6A
ME2GnWSWPXHEoZjchppKxB2ob/owokSryEY+jSCpVO36EI65ae+TBe4Dgks2a9dpNpQ3JSvj/qhM
O32XVsJT23XHmQl467fPVFwUzqlGH3JtSM0/ilR6X3mzQqAbTLTOByiM7leOiIWcHTt1irullvxh
i2HKxwZBTveYs1qWqVq7bPO7KgzO4fuQ0zFS1etrk5Syx1FN/G4bnW4HmAUuBcgT5b/7YeOT9yYS
i+KjDIGolaW/vM6DOb1s8KEiConNJoyimiisA8SpSJN9G4NF5kpNUvnWjpW6Bslh0idOiImeZ1qC
L/TX7pVsce0TIZmN9zM9Q3EoU4L4tkYt2xK3c/clqFuniwCJGG/DKP1HGvrykSAZKkxASFbAZhpt
L6VWXYwvQVFAr4mtrFYvdaDHmzVo+aQblkY/gbQ194JOg2U2YbiXZKGidtGOzwBYDaF6YXNSvjVD
nr9x14y/siUkQ7JYW2+bH5G0vUNgMvzyLRyc0WrxzYBSYbZRpXWNAB4LlOYXS/1KdhjJM4S3LwMj
Jzt4Te3GvqbqC+/6nqUSH6bNzA3wZvk8i4Chll3ONytyGkZUoyofmrEXMmrIl36yptkwEDws8g2l
knqek0o/ydJIgl3OyuHdJWn1YcA0WR3EovRVX7JUoCalBmBmks5INWYvjS0SHYct48T8NLUu3id0
iBSim6NuZ04M50Uq5Ij1lnMN5m4wlcekKaxzmbeNzQw8Ny4Bh0HxLPMGnN0cqqSNde02d8oMR6L7
1t5OYjqobbvTps0GpV7r9W5edXpLaNT0s9R+9pb2zLTuWXenL6OXb9YflREd0Ev6yWhhHKkYLZpE
tUglWvpWWcIZmhSctQ1a370PkqyVnabQeiFDGJGV8LX9XrYKCyMyF+B/XjLLTX/QMtExacxAn5oT
sXDKQ8mAmKK+b+wgu0xKh4xS1NBOu7PZd9OjoTIBHpc7E3QuzE87pBXkEXVJxV1W8RervZX03YeV
DeDQjd4t2O+NhnbiDL3/Y19M62PJYz+Me9PLPkanYj6VDZn/yg7UuxM9ttqorXx4MbwYFiu0Uv2d
CbJFXNAGZIQblVbZ7eHRcP2bHfNnJNo2MM/Qqd3XAXX6O2Od+nbBgcGque24bsIhRY+bFyZDWDRv
5KzagHCof9p5eqEIalHcc/+9z1xA9zaNfxuiRYxKNZKhaM3LZzDlXEmjJJJ2E3S3VRyWCfg4djUU
Pd2WqlPSJBqxJErrCeuG/7NPjID82tHWMuaBg0Yo9BgOAwVNjd3g2TBoCA+CWJe2A6guO7FpMbOs
28QZHQC2HdHayxWCLcXbpDa74b+rH21SprFHmsWMHMzM5joG3Qcc1eJSmcOZkOiw9QZ6yzwhy7mp
0Ans82qp7sRK0CXcoFbfp7yB8jBtmP6g86bY60lyip0klaTVeg7EiTRAKX+w3dztogatW3CcBrdg
d1MIlGZePmFn8Sz9apHazQCxZlezg9ivCTfrlOBhRn7OrZtYhnMSJkGNYd6ZQewwqW3B1PX1uULv
yaK8tViikpsDahNgn8IfyfPZB6022fJsGQPSwSbLb/Ru0LMZ7qxFurf9VLeYc9c+f3e4WuH5bJIb
8J8BGYQFJTAIpFTjIc3GMHtlTJAv5wSbp5/5BgHap24x3ToVDNQYNlYnooDJzcPoORgtWMwBIqqR
nzknACLoYu25RSZFjAGtbmmBTU1wMGGVQR5TxzYNqxENhmJm1KRMGnLd5KQh+r3z3AC0wh7g+1PM
QMT8BJQkkaeBpcCW4nsnOwByu6MIgnvjrMo+GauQZ6VD0iyUGS+7nNhJw0BLnIuFNPkfMLHCN2BC
/U8rmNE7OMaQQpPqVXqFBWW4VrbZ2cfQYm24bxkw2REL9DyP677KHw2/M980+XH3DuOgGmgbvLcj
8/D8Fi0DsCASySDNADd9TrMJ7SXUAbLEkkkW6N9A2ZbR6PnybYMi7qsxsJt4FEn71uhK37U98ahO
3Vu3HAv+NVArU0f0SAcBzehd8/vBrMIHFZH21NifyA8JbhZQTFznac8hAzAZ64f2m+FHMtTZfVi7
83LoUVB/oGkSXmR1lWfFfi9Wjl0mv+hyrK4/N3JcmVEKjjqNFg0rJALIRa6psrL+THHxvaENZqKP
dKSltbL99QT4E8ICZG/C2GiibmYC6dt9Ng7myW0s7siJccZDioqJhDpJKFOysjTvHA9Pj+EIRZ6l
Kuozzt4BIxb+GBxbxfrMtWn9akPpoHiaLQ6QArKaOtrWxOXEtKQiQbsroM0sZVpu6xOeAHk/YStq
Qme+gaHn1JctJjPOFKSgDh1zKF8RbHCb+mtb3S3gI74yE5kTKlbSO5kA4WwIsRH+FGq7P9jAjx7u
kbT3I4TnzTNg7vynVwwZD/bJNU5Ol7qH3K6TITZQtiL7yAPyRs1w4nTQxDs+IrWD24SWeXQ2dRmD
U2YmY3fYkphJmi4W3pemmgx3cHj7ywUYIZMvw85bnkSeafGZKsWpvJ/UGjIzoT+c7ujF2/LOksjQ
LgZIRaV9JlPXuRO+1BrRCP6ZyOYZBZrHTStQRChW3phkIStbDQuKGXu43cy2gk0S09k50qYISlxI
tvbOeji67Fn8luAupfPptkiFaI9jgO3wAgUR7vlZ+4aKApmSZYdDpv+BFGaaUSUCGNjAc+pWwVHN
9kEd9AQ8Ywzc40UcyKbHw94wIXH45qF8zW+NoYUXLzS458UmodvpjLFi5JRjZt/YBXccBwmoafpk
lR7aqVh69LqI/G+BAFITDXBlmWauIrjsGYVPh5z8UkYUKaOJ68zviPte5oHCbpwtr7qupTf/6osW
RqfLuVjFGKz9LC4KEql74SRUkLDygp2jbIUyAfQgeFR/e83AQALJhTV5WZSuajp35nb4GNeJTQKL
oS1vLDUsZBugt/JdSkijjvrQZMoLAtrD26J4BpvtYp5p1JF9XGsfHJ+RuZ28W/GIDVdqYti/D4fE
JubNNadTNdUZZv8Mw18ZVxgMTERanv3ma2uAXbr2JZvEKhSIq3uXQNqbXFXigBpHrGf1MpXcGJAH
Y2fNVXNuM602erYipqoPOVp0i0eOmJxT4qUqwUtIuBIZi3aKoK+lpvDQMlP+75KEJoRz2Uwb7w3v
oz1Xu4xEC1hmaRk6VzJwDF5XUnUvKFbgh6FmLcwnDMtz9yvHRy1v0WlJ/7YTsBGoLFLOYOq6/83e
eSxJbqRb+lWu3fWgDcLhAMzuLCYQCJlaVGbWBpYSWgMO8fTzoZq0ZhVnyOlZX+tNk6ysyIgAHL84
5zsy+/zRPf33SOI/7b8cSfiv9ed/fPtsP/i8/onwOX78zx8/88+5hGaa/5C0sJDUnJVE5SEX+G0w
oZn2PyBJ0CTiuJDmD9bIbwIEw/kHyAqdUA8bCgmDg3/pDxh0uLQaq5kB4oOj2//WYELwF/2h57X5
eTprWDhE1gIUd8Rqdv6DczsqpDnaIFvISNNsHtUF/zfsPPlCoqk4qWyxyKkGDeljHVjHCE3vJx6m
jd1qYH+tjPQUh4NsAjINJEKZvIP8m+v5tax78SrcyjwPhCXwqEhGFxor9cCygSDssuE3tOt0oAGE
wVkVT144DhcaK8eJOnnT4A6xDq3haU9Dg2Jgparu40HYbyll46tgxBGyPhsDgUwJBfliIZFT89HR
3XGbSTN5/OvhwI8gn3/NBviceBgxFrCIm+AxJKxftBMVqaugJq0vm3SUR0tHpNjlzTTu7QHah4hy
IMmlUcSHyC4bKl45vNuz58F1BskCJDaKpnstSbHMsmxQ33SJR2HTqqmF2IahFHduHqSaTlApTOwI
Ohpw9KDMxHLx//E+SALDBqMzLiMJ5Ofv21JdhFC5+mrqOL4rwvAzhiyxz4l6ALit4TWNqo+2ngSe
gcjaRyqWlC7T7PczveHs1BRQfWS8hXmoTqENQt8r9AuVjubRjeL2nJVK3FhlnB4jo0r+JoZo/d1+
+Q4w8JDF5XLbYJb/hZrRWnpOGx19lUVYXJAnwGA+inpc08q8MDKr+pvZ0y94t/U7x9xPrAjfKd8q
6JyfP6tlzJOZYLDPwcqfwf8/0mIagU3Nc+irMj+H46gzJUpKPKQV1/5U7P76y/phS/r5DaNYQo4m
cVOil3Z/+bLAOE1tP1WfLIR0AxSKXYybAUXlRxWW5teShw2s8k4dpdbbCRNpfX4rBKZzwnPt+ZXN
XayCokUMD3b62i4dHSDekje4aFUeIE3j2Sv0vjYZmWvJWTEILYPKcDSgqVqgpJ7Zu8jqgTpHrXW3
AAAYDkXeRk8k/kV3TCFIAGCZXJ//+m3/oJ/89LYR1OJ0tG3pwUm0fw00EtZYRXHcv1uqVc2mgrx+
mjVnfG6nZoyBYCbET1mJTu04mSRP0JyuZ0HYXeXQPO9jGZNeMFH+rmHX1XwFgRGUMDu54Umi/r6K
JcTV3WS7t9Lt7G9TPI1X/KvWB2+8BlYP1bGs4/YSHVbyMLnurQMG7/jX7/FPlzIYEq5gJtOMg1aU
xM+XFjdHFanWfqsbB4wOMWKot8FXkOmCKDol0OWvX876P73eSj7hAEMJZTvrY+APx3zDkMC0GCMN
bCcgJEUsybMk2+I+LtIjhhDz1ULzfWCncSYqEPVxFnZ3JvbtdmOiR6cKi9QFHhOA0IwE5aEzyiza
tkJoe7bF7Ix1l+7MIA1nwH9Fd7nMZnebuI16YCJuasx0ovHBmOpt78j+bIS6A73BsVqEDL2JWcRS
axJsewJIOnyt1LZrWyrL19LWk3/zYfwMK+G2XqfJqN904I3UoesO4Y+fBYoqMU3F8j56ocLS2erb
mU+MGRPZNiiZNh1Pl795SZ7xP59c60vSLuDQddk1WOvk+Q8fPz2r0zNUeF+Fd0dmwcvWhPe/tTMY
jX/9Tf8Cuvnx7tZDkq/Zw57yJxQkj2oK9rYjm1c9y7Zip1z3Xc5QI/TTxUPCL6NxgUtlM8fBCZV/
x7iVXc5Cjn83uzfXZ+LP9/GPC04Ho8YvBM3n53edeQUQZdN7q8Skv2QAqPvN4In2xkxburtJ1Zny
EVg7j2i8MCNoItKe47Ibn81UZn6Zj831ZA2MpQx9WLhKp/LTdkMbD5edKHwiTC0OqqkBPzhtW57N
MLHqDbLnFEQ6kde8ZOH8LR3pz1+lZeCnBtrG9tbh2v35TenJQiaNJl8JaSBNQOaT/NCRMfgtt/q1
mnuE6KVbUuXk+K6Dmrvnc2pd+AP4UVw2riaCaQxq3up9GK+Y1fWBkaz+K3r18hUn8Pw1S8WpYGoL
pAf04Peiy7urLJrF8zJZ6luDGOaas1jBX4cwRt7gLZaSSoP+7RJYklQuHwC6TrIl2rAqD+Y8zIyM
NFMEtabdIxRzTgxm7LPABHkBOqdg9qaAhG8YeUvYaURU39Lp9N3WI6Pg75JyzT+VnPhvSctlJwb9
Dv3tL6UUwrdu7CLzlQhx/UUMrSx9AzstfWRcINLpSpyWW8ObirMksvToYBHwsyXNTymy/RShOYIk
YC9Ewhb5k8P84g48SXfXZX3MWr5mObyZIsl2ZsIGs9H6rrr9cY/9d6/zn6iN/3Dc/IlLel9hAP2P
//XFFPL1j+3Ojx/7Z79jwRXgfCOamOOOjdp6f/xGKpD/QEeNw5onnrvmOv4utqZDMtaHwMpuchFj
r57z39ewAiE2omiONZ3Vprn+df/GGpbzdr09/3AmwTmlkDfAZK4LUlalv9R0IulAsikT8a40UOpE
+thgD8s7p94Ipx9ezEmQQ6O0snMu4nUd1vhWM7Gs4JnZEQ9sLFLARhmaYtvW7cSIW4hZS/HpxMuV
EOng3o6N5SGjhK4UhXeZEK26wAOSr9LD2msPSyHTfWYjJDuZY230q7cLbA3kcTGqe7nohMIhPYLs
7DvMEgY0Y83cvSJ6c7CX5IUZGe6WuKjolhgOZMk8NWf5XefyJ4CEkt+M9lk6UV5tIEXN0zUMK9zO
pKeIUAUMSrP+cXRq6fgNS/PJn9x5ya+LisJuDzHcTe91U7OzO5P4tOINHbVzazN80G9txsnuSVZN
t0qhK6fcmsbE+rFQdVMxLUH49zDMTmV32wSQVbb11FjmbxjW6vTQu964QKNhc4RZmlm7d6mqvjWJ
hlkcZ74kqdNOl21fsEu3QT8xELxC+zK4ic/bq+YXZBXacsJc2Nef7HC8Jt/0quoS8tqqrNl67Dua
iqGz4YUrcafszEMWN0Z2Wxtx2n6PbSfprhKpuRo2yxr+7ApPcL/coeuHg4EHDOxmRqtGI2xlCbOe
To2WZm5zSJA5flfZl1YDTWrCsbTFClwtB8YthvM16Tk4FPaxhrYLK6Pia2sKIQB29UbtRdd4ZPAY
4DVKpeQNqlDDPOnyyyZ8EEkekiwCtCnvrvNBVdaVQg69PGsDWzfLn6YE/tJRMSnuvovJ6MLnxYyn
5lvTj1V1w6IyGHOv2S9d8mCxzsKrZ2Xfojrrj9FI89lnzrNAzvRhVFk4+ZpSz7pLzFAYEUu3Xri3
GOsZlMsp2sbVSFAeSWwa4Ru0q3wQ05QzfaRKe2KtHA4vjYnn8WybLRJK3UpGnZQ6XUvXJAAx8Gwb
VGmvsdJe8bAGTLI+FWm1Yze23IZaX+/4UtFNa5Tt+sbR6O+2TEnZJxAUBq/aSCDne0kqX5rQMlIc
T0nrlX7hjYlOXhccnJtR88Io9CNXMsLTJSrhNaVQzMNFgtpX3yeaOS1vlNshqlR7ymzzKkvRwl7n
Zp2ZT07oDi94eM2AoTY+bwT0hbXHUqx23GHhC3/U3Kf1QBXRE8JDCkLE/y69PG7lSQcJCfVDb1V/
p+HrWSn0PXF+bBrZYqv7PquE9oxbrlNvc0Hr/wHK1cNtJwvNPmh1PiaXzVxX5ler61m1M7QhCU9y
ZBsRxPo8DEzZrSHvr1uYmv0BA3hxxxgizWi9m9Dg0mPOTFndEQw5dK0e6BQJ5O84qmCRMWvVi6YQ
1bIssmpMBQNHxxW6suVEhwkIYfH4UBl1E6DAli9zDw5JIc4OYqwWrAAF6Xt46LyAJRlqWg9lJF4J
Lb1AxQ95yMjI2DmHS18sB4AMAhUElQUS2TpyTZTHVfGsioFH+EzGxVmzWnVTzYWWA8NPJf6/WrDd
yXGnPzN2Xz7xe8mzIZPFV0MyflSmS/pfNco7Jq7PC2nzd2Fng2tPeNM0cXEIAtTssn2RaTIIdbAK
/tRwfq46AXezOHp1dJrE2C+VGgOWIfxmpKZ0L+wO4T9hfEveo3DU2F+p6Lrn72RE1CXYIa35zi7d
fF+zaNk3pM1flGZePERpMd52ZWaZJzwgtCOSQLcwKcWu0Zb6BXhW9Zg6o0tySW+YX8yqWIa0NiFg
hCAQDLkkzhiQgWg8RNayMJMvFdx3jATPTm7CnZwGlhLJPMmgpf/KT4NkwxEmrv1tLcOX/RIaDayp
HCGZWZnZRa9If4QBEDbX+A+cgOARiHKG3obEL3bW9Dm06rFvJegAZ1TlMwrR5oETwMQXIzSUP0Wh
ZceBCdeHS0DaVUKw+da1y2hrleZ8SVpK+H2MY/y0edWPgRpyEuJcc0yvnSZ1bvmYp6MsvOw7Onb8
Cga++x0aTYWiOkJ0uI3KSCVYUC3TLxvDqA+1KdunkYd9tK2xCDd7Rwlxl6P441R04ueSXcFlpFyN
gApDPMi4a1/YsA07w5VyN05OclcLog3WgJaDcrTT7AJLja2aleHUXI3CG8NrJlLZAa6PQRAlOVD+
2NrzuUdizj/3hwRWL8uYsG0Ow1zqJwR59mNrJG+iqcuTMUUXWYxZCkSC3X8z6pqoPKRil44YriFO
5A/1skCSNBQpgaCImEpWRAYl4UXPPMK3h769HfKhwnS8lgJWbRYvCWmIJ7SG2t3Yzdm2L6vqWkf4
ujUzLXpBLNnuMcKooNFt7QuLALZBEpsHZAYIXm4nvWqyYz1XE44HPgWfdKloB3QuuciX4StK0mti
LY9lA/4RsPqNM6L9EE2jBWnCarbRmENZSX1FVPFlazTDMY3rRENLU+hf5EHia6G9FW2n+yyu4m/Y
v0EbsG0lSlYcPXzsG0LATo3HOqHAHeFz9uiV30xU6aD+x/Bhwry+48n3YVo4i3zpkKtXF8Pey9Lq
jCl/V5Yg1raqy7Ee1GaLfqKpdYRRSX9ddmI6U+S4Bw5U76JYUm2Pbsb+Rhmkye9NRRDpxyRnYlv1
vGzuslxfg37yZtl68Jgw8qRh/5QmlWWd2r6aHmy36oqt0sKhrmmqWoz8rk2xdigiipI7Y9FH5yX3
DPUGVkqurMZ4PiQI3rdjL3UUq8ZXHQ0JG9lBKz4zHvlX7iCf8kpLX4o25ngmRw1Nrw5NM+yi5mzV
KjmEvWdsFS0gOzhEGy/TAI+EsVpzmU8a5niZsFn0evqPecouipoxN3eGNjPatew9v/wAUDfO2aRR
an6bMEdpR9btnNqomODSDUYy9DsH0MP7FOP92ngqqfprIcJmH7V18w5U3wwquC9IkMacOV5a5H6v
I3cIpfL4jjXT26Wd0wXpLOogrOtrk+0aCjDXYUwdA4rQmtUo0RosZ8M+4feJUuKZxuXCDkd020Vd
lhcsLEkeJHFpX2ETg2qhOcZOM0YVgGXW8DgXJkYr0XGebgjBHXeYeIgKZH95YYUkokB2rEnvjrLx
w0uz8r5EOPTiZjbOI02JZ6J7+7uJFGD2qQ5KYeaW7pPbdv1BqazcTUP1sRSOfiD2NUfPoLuXNU6Q
y0qOQAHcJf8oRhPHRib0Q5yNODg8mEpmZRXXrdLjLbSQgYVal9ypUZR4xzVjF45F8Wja7nKCf2U8
sZp8zFemxtKAaaowvX2adkPebu58wsjN9srLOx+SlLapY7LNVKbuKBM6HqYJcQEA6WH5dY17Y5Zh
fEwXJ7psgQ5T2AFSZUIZXmZV95nkdqr5XP/eFqBNc0dIbIUxEh3PthuG4glQk7atSj3fK+gvbyOV
5CFmGUv2qmlkjx2elr1AnnRVjYP4PjJzJgaugB9IJ8IeUJs0Z99PNeWpU87xtRhbhvhGmrE2ZNzE
BKUHOZjRvJXUZpOCw5KaX2ViD8d8ob5gk6s7AZY0s0XZBVWQ3TGYHDMbc7Iia3bRsJooGsq2pGZg
fHBsraIlXbRwDVSPEVqgk4tqDyLD5A77Dl/KYwGqyePiJA2qcgnSAn9mimcGUvaXLef8DZ3ZeJlg
FiRASbTfZ7OEb12QA+y3qQ7lpe/K+tUy3eJkoMXbyCUcJn9ehB6AdajR4LeNui0gwwKfkktESdfd
YBcRV6ogYtXQMy8o8qK/c/A2XPU6uE6feQKBpnlF6BLRiQzQ8UowncH7ciLNCxNSrrdciVbr4BfB
ADlklxAeGGPWRecb7NpXlo3SWE0Xmb0VZp5vQydeLkDvOfolHJkk3wLDbHlLM/PXjd5YdIJcseMV
yU/ZAyo4PdxqcxzW58lOnUPcuNYdHBJc7lUm0pNqEyfc9mzhHscatTI0hAkHT4fI3h8cIzahWGXG
9DR08yXEomrNzslyeLu5Hh/muLQCShj7xgrhHTWRkO+2uY7T8qwablyO4aOYs/SCiWf05sB/6I6R
HplOkFUV4WHChtiTzZJDK0sqk+VeOpFFlebtcrYrG4XjGla485wheyGRjyIwl+0DHFduxYq6kW20
rX8Jty8CguzSo8YpB7XVTt4UkUJB1afquSVz+XoQnE+GbBsgpZKJU9vH2jVkzeh67JUe+oSJ5d9C
AsY3CCTXIEKkBVcCOnYQp44dpMRLuxQPln4Fa8O58ioxvhqUlAEeHfGuqgrFT5naerjJUaRe5xyK
RyA47IiELB9QIJUvjhtRTteiJ0cTHlp9V9eevmvIvT3Peq9/l1nUBWUayqPew/lFCriEH6Lu8c0V
4XjvIpa9XUp0WRvEnSPxqXEKMoCYr30mk3dPn6JvmSKEaUbRetkziQCfVITpdm6s7s4Q5XIgMGvA
fwUh9qJJXPfEbGrc1xoIlxVCgOvEXeatrYun2DDCY9ur+X4OtfRT4u2CIYXkuCFAboOKIHy3I4ls
0EYMI8G93hkcijx4EmAjHt0SOa1ezgU2dWh4au82CfVwBwe1C2CkH22pDxfAhKNT6dkZkhTePhHd
eXPviiL83vdNcWnWLQ33OCQXMUGTa99GopHNVcxe+5CHJcrnLiF61U/AfnwnqI15ndbVF6mFDKGx
qvsOSOtqWTKqnYeWRO44v8kobNI52TO+S05GNCBTHhK7paJt82/YikcLeQcPaKfMq61T0BNyfhfG
rReZ3VPZQOfDtzYD38qGKBNQOqKFnwCDehtFkijolNYMz16JQx06kLkyvwh+n1xAdoinMBLBDRMe
sqtJvTYtoNdh6sbH2lgK2xcTjn9SyA33m1EuAuEwM9FjP9i1dwYmkaRvSwVtk2wzanzS05H9CAEi
Z6fT43V7SuWPvFMAvvRuvFGlwKykGvdLJyr7pUtyvSP60B3Sa/KamSe5FPpse1ExYkjK3jq7nXCC
wUNEqEqS8yZrxoil+MyuZRLdPYOPcN8kk9T80Yx0+2jBaUXw3UbzYcS4IzZ6YSeaXyAmKLZwa2Tg
otYpTxoq13IzNt54ge1dT4OFCVy2bxd2+F5INnBSNfaHhK20x4WcjhAuqMZ9h2rKxzWpodHJdRhc
M0MQ0tqDCW4ikceGwhJDe7qMAde4gTNYjqrfTq45A6Nre+Tr2L4fKh6XuU9SJBbqWTdIXNfr5nFq
BbyUsi+ZerFw3jhFUrwPvWGfkNSxJHDkfRIOatsOo/auI5+j77UYBSzWdM90X1xQoFpb5lOOPxWm
fqWlCRNrGHF7c7TwPrSlczloYrp3+jK74p3SiGlFRiS23mK9QKDqg3SB7SQMK7uaXS1mTbrUAc9V
KDyEGkXBYs/zZdM3FfmwjBlDvyJgZGdXbXpHaHrsJx0y1AA/qKn7tFz5jSTPbGXoVrZ+aTghk8HM
WI0Yiz5Zzglu1KLftbmnmLs1/ZyfmXZE7jZLzDj1k2mwB6IULc26b+uuim40Iuno27iyRozQZhYL
+SmKZSjfBoJYbRRKLYSXbe+2EFJaCYrnG8s26R6GLIvZ5ePhnsLn3kZtqnMVylDbm4VCPIp7s4yj
fY4d277paMbFMXRSVKqpGmlkeo+t2Bk4wAx4Rk941bgH+WdP4ObGtE+975PbhTYau57DKag6Cxw3
0CLnhs5BpI+Zhx4SQliadEfBIsLdxfDQ3Uty+abwlmiWsNpBIBjG4zJyVO4gxfGqCX6wD/QGGGQX
RPybCijSskmIJiXNzHDobCe2oiLytrONFSEI2cuAKyQIzbqNi7TOD6kBvDDgtfuddBbPCKJB9Wcx
xn2yGwseM3ckM6pll4D0Cvc6d5N9qTq3X85tls3iwCbOig/MhwrnnFfCGPaApZhIbmAsGeGd5tq8
eKfpGih53mi0Z1I4qyN8IzAUs9azMbTcLJ73qeuQOZvFCCQPfWdiJ0+T2isAEaKF3si5M6sD8kgZ
XmCIKCmSaaP0R2bpkmO3TAfkzW0qQB6g3NFuvGXidRe0h5P/Pzr2O40+wY8hSGy+0MalpDoWr+gS
61Ong8zwydSMli2mlOrCMXDh+QXKV3cnTXorkswNsgsju5A33VSMF+h2GDHjYt7GDbcn3Ul+WES4
l6PWUiD1Evl3txR7NDGmTxI1dUdRyLekIydZtXr4yBij2Jh66xwHpofHAoT1WcJMPYb4PbehSRef
IdMMYnS4sgdq6Q4DUfbeAGPBbC6ZvzoP6Hzba5VTXkCLc+BK5rRu4NbKD0TnjxNEbF7LfW7nAoHj
4p2SujuZPahzJUEQ2Cg9A6oulLCgvjYgA9EyZKzY4p6JVpzHTy1m+o1KMXKnBMv6Y6+1u14sRdDE
UbyPp047OKqlFRaUYGXvbTJ4TLitZdC7zUqiXBB+FzpqX68fAgbjKIK7JsTFEYFZJcY5Do92p1iz
JrgEGapwgM/wQwK3NJLXzordnQ0QbJtlnTF7PkHuln65tEt6iHPnrCHHOaRw9QOwxfMOttQdGTev
icydcgMLo7kF9G7slR5lRzmK7hjPtfnQZ7L+ml0ZX3U0ZQj+STO4yReXZ1eDY9JlrXeJgKh5gXCD
+LUz8yM1PiiFmpf7PuKHO8R2aW0L7qkzJpbpC78ta0u748aWSab2IViytzhVF+SX5d9y1UdPqtbk
lm7DebcwD73pRcLIkg/22UEbulFdnNyjE0s2xmSoK8PI56BlRUScBLbTwlKMmpSCvkoOw04n9Xyn
1/GTrLw53feARDjESEX3Z9NDWDLI+tDJ5FNgTDomzXxtMVDckHv/aJTYWY1M46huCL8WAz4lb8KP
qsb0iO/HfatsNwVcWN00ZvEx1xYAFjBtW9KGnwaJkcBwBOy+kWpdQ1l5Vk5b3zjF9EpJr7FyhhOz
jmeIVM+iGwho7haWRNVvHWe4pQZ7K7hpsYV4PH2m9AZ6G94jIxl3xhKXzwvB1yVIRAPSaVI391mP
dn6TpFN+t1TzrTEA1NemQQ8WbayPxRBpuAdKgj9C3djOeWL4hBLfp3GhEZLite025JbdkxZQv+Jr
uENQf0dCxOOcAfcvUZWRcfmMBwMyVyEPCTrpQwNOL06t8QUH93KZDPMpxP4XSAuFjIhrQAJG2Z+R
nVWXBTTSk0EW7makrj02pkbfU8fTxkhs8hGWMrpKxn4XNa7x2Xg95RxGyXUE7LYb2UjCNKz2neRZ
pjwMuU5O46w0wupQ5exJTHCJO72h3kqFt6dtFFj2seaTKI8dt5PPnKHqZajHExrq8JhAjfCtgTjY
YGhIzNk4aXfoveo05yYYzrjOmS7CSWQIa9ij35vKukZymWG/sXobsxmq3xOdWxlvDe6XcZ/D3zpb
aADI2+KyhfI1HXDIgIhR+VOtpzxT29B41HMD44I2F1vWS+XJiQuqlKK1N41dPraRfEYcQnpZQn53
jotrIx3jqTAX4fNlrR1bCu0DHwrTsKRzoarp8snIjfdKxs02K5Aqd0IWe2qBIiCUwL4QeIY+vHDC
02VWiV+j8vZBRz7WGV/pNLDu8olFLTcNMsqTVKiW0O5GTwvwpH2DommXOBabvCxtAOdBVlHsD4NW
w3UZqQLiT8qyjcYxtW+trhv3GLc4yK2oXh8Ec/RBI0qtYeYGVj7ORs5BuEdLFdWnkdnvBh7rxYCc
4JvR4vJyIgbXKaACn6dOeXDw4vCMIAEg0CMbLHQ07OlmCI3F/S+2LAjnMSjH5GIo5HBiOMgZDvhg
KvPudk5T+8x3WH6CiwsZMJQ0KYT6Poph6C7GNM8eYiIGBAb/qeStpZB41+Hwl9ZTTlerw4qYgQSD
WuYyNGF1BFUyHv1Ftwber4EP67KtuWSPjrC/T8yQj5qHfBWOVdz1weRgB4Pes1AYDua9ZHm4LYzp
LTY1b9nCOQrTIFRjYm2HTNNBOpZCVvsRwdQJTVD/FDJJPVfAXEiLjiG/Gm7pg7x2KNEZpWGWwOtF
qov2ygCDIhoTCi2PcYnNL39cwnTeWQsOtb5JPgjYjrYMpW6N0rvttczlOAon6ZO5vIBVJEkHKw2D
7EwA+EhjPFItUHhqkMbcEqL8nqQ9cRusI8KgS2QTUS21+DUxIqSWb9Y1Flz8VAE58rFvs0mjqi3M
a+j2IwMg0e1UMjAVQkMCNUBKtsxtPe7mxeQMwjmpdih9512s5/qhFHhOOs/IP4elBHMwrWYdfT4n
Hapdzmu5n2cezRSr2rZ1Q/1BQulBgDKqvwnK+kVuI9FdijUe0RFCF8hFflFONUU0alYJ6Coz1YEO
bZeRfMSCd3b+RqL1s1jJxdQHCI5YFgNdCmRN5xetZTjaY+YAafRbqyRap5CJOZ1xrxj69g+SiZt/
ag3+yGH7WX7m8jYk8hdDwMLUbdzTv6hYQ7CaKSnM8BrYpjpBpZwe0lnhhS+qonbcEvqEpSCyvfjB
iKSt9n/98sYvLuf19dfESdMyHYBwoOB+FjCNjeuFlfSSICE7CBQJY1gkiAnCBRE7FjhnzfHqZ/QT
qbrUh9y40ZeaSYNo7HDLQl2LLyKv1r1Lox862//3lTUPFW1h8V+rGue9whOYRHH/Q/Pxr3+6TN6Z
GVVf/V/+qf1ntcbpdr/+oZ/+Zlz8v+l+VrXLT/8Q/EjkvR0+2/nus2P1+rvyZP2T/6//8TdTwMNc
k+v7Xg0QTPnbGDr8xDEwJd/S/5178P21+JVwuP7Ab4obC8ABclkUdmjSdBSevytuENYgmyEXln9N
MIC9JpX9Lrpx//HjxuK/8wcQotpchr+LbtZsEEeaBGma2AygH8h/T3Tzw6X/R9EN0CWb6x3jnzB0
C9Xrz5dcX+Pu1UjB3bQZK5RtXHD5nzyT6WFudgk2UyNmexNtwIVFX13LrJNpR+ExFUsM7v9tMjrj
BzbQuae/KqPmhOhcZ0baq8T9tMtBJJJJW1TEVzlDWopOnj80xF7odniMIm86Luyhje8m4Jn8piA/
q90ZqQGvxU1m/RZYlRUdPa3MFIYbKrnLKGGHvYWxtEAhHcZnwVZk3i3aQDPlIvZngDwXSPgx56UG
tWnZT1SaEePE9swCWeLeNUaaLJQUs9bchgXLZDoE6GJFoDekNwVDVQ3y4MROme3R/IDtsRrAV4uZ
rIJn7zLpVfyAW0ydY1tn/NO6vS/Yqzw3XQ7vxStdfrFuuG+7pcZQVL2IGnllAdgwd4DYmLMxntmZ
Y27H9cZDzmleHZ2PmGntcgyh0R+SZmz39lSll7o+XGuJgDJsDjPDmKL2jdVim8UTTCg1Dueuy8pt
olsvc0+xE+J7PcPScm4weoYB/Oy3UuYDg6+GMOCJae0cW0+es6izhYr3FAu9/Ionuz+FDX5Oij3d
rz0QVw1Sh01Fe7mJIfg+0wsi5O4Z16cVyyiyLkVf87DCryD66z6XGd7EtK+bvtiQDgrUfsKENu8y
p+OL2rS1XrW3BBot3stItkJ39pAtrIS8MjXpi9rB8RA58uZb4VCiWrTbPlgzdZ2qhHlVGp2Fjh3m
AFGpya/subopqW2jwJVDHQalzMhmq1g70XbaNJoQR+3VzNKAlzFrMIDQOx8yKTG7pMxLdRfYz6QJ
5usOmKu0gAnNNjrAxNb0BLsJfkKwQdMCF+mUd5dQmTEj1bzhskvhAbE5YdwsytLxZ4W6+j6OWxO7
tj2oF9WGrgDFBBXztKSxlV6yo8RvwRdOGASSzrdYj3VxBHo9ZCe7Jpd5LfO/IyQd7itZovyI5mlk
DoR+oz6ExUI2iFvip6ZbbuMa0I3dYweypfiGCQXvZz0bN6WN6YZlOqW0JKDKw/ByhpXm+usMoNva
FWFYW3Qu847WBlM647qye+948hLWRRuT+vkU7o3RSQE7KjZ/qDjnFu/olAGmdEN62xviKtyeZDMT
wKIp2bKo6M4y66sG48JeQOCxOuzNikAiNn6N9UQD7FTPhJw1LKGJCXO2GlugEykJYfkWNSl++CEX
NQXQLHIcSllpN+fckV27TZxcI46yt1ckAnxt1D2Dc6VVFavcdlS2WW2GAci/INOy8aUtvs9sIRIw
Xs47q5Jjpph2c0AZmEoBYhIUzQTO8+uoYfjFzNB+ElNxgjDRlDsoRvqbmksLNczIwkfjvrSmD84C
JhPtghkREhfFG3UYy/8dYRvEgUTKHItAgy7SnRIARgQIhd1C91rG7ZuiccIxbpVaEygWwSYruiWz
N+jeyR7iiRF6B61RcRq0rcYIpMYBG3nSvuhLw7jl5p0CkHzVpUP40h4/ebrH2728zKJlPN8zA/Id
RTIdRJEPkcL9GCzYAV0j9OO6mWYlOi6PM0YvAmhpgqy625uZsezmgZwLIDRnHu3azgw15+ymvXXu
i1icRJNo7y4Dfw7OCL97Z8v/Td2Z5EaSZVd0K4TmBlnfDFRAed/S6eyDE4OTdFrf9zYSBGkRGmtQ
yIJUQAlCbYCbyJpqJToW2TFUKbpGJfkoM8AI0o1m9v/77917biYuJRXAxSyXelWZgcnRGKFXRzzF
Fid9r3vKyvihEGqMvpHRrcIsSWZZQRiDxHGw6xOuO9BKTs7aK0Atb1uXGDuBmmNJkxr1oRFRq8Wd
16901ETTJuLwO6oBDALzVOtgo9MunGio8BZhLB4tL3GvWW/tjWX26ZgWFMdseunROCd8fW7okb4k
KgDGSar3T37pJCg0jP6J+pUpoM8AbOMTXrhUNT3Ym8OpFFfQTtLktzZDeAn91EZCadrJhqS3Qc7I
uD8BAnEdMBl4zHSmQay0Jgfi2lmZdWrfYfiEB8MySHQBIumlxORp57HF5NO0kYDbxrJ2oMtmfVG6
GP8qQatXg8N936nZHDxNNDOkTFkQwx0vAjETNimUKobadMtwG/NLJJ+z4JMY+qalY+p5oXFpNMVt
bCNbmyiZVahTtdfeQKBda1qsLgnErOe5b2/cjnRIm3Y94RmLJJUPqVSNJZCXQlTpSJ66WZTF4o1M
SwSayD5qs7VjKmPDKNpZb3XNWvaUfuanJEhzil/4eZXNNHin8B1aulYeYpNBYV9x22a52l3L8O5H
XaDjOsnIBRWNpSr1xZTfv3pvqQ3fqilTPPM0HFyPgXxrm+KMXZ/Vwg1R2rVROXZUwXmmu1utUPfI
c41WysStjWTLsX1hJAyBBrkh/oLuhbShZg8KfkmOym1eMKKLBUxUqbNAxNfcVl5N19ET9KYbO24/
t5XqLamTfZCm+CdFEqCUp4IWjuO7qyJJEbGBgkeWO2l798HJmgmpDjsvl1YGSV4jVEszhYSFrQ+U
dZQxZACFvrH8ZuUyYJ8y5WFAXSX3eDUXrp6MtUJQ+5GW+Zy0g7VPitqyDdJB1cy0ew495Y6uM2M9
RHgztNVXemNyLe3MShRxonU6O2+ef4HDjge+rXXaH6Q/jfpOc5HPuQHrkkqALO6U28DKNKhGXvdI
4JRzTyuAIZOiku4zk9IBDxHXvspMpTVy5kmpV7rL3qsRmYCEVkLGLHp4kJV+R45lOtXdCO2wngO3
rJkxkabBaxjju3mRGydcZkgLxXKLla8aZVWFL61WwnDsQqKceZZE0ihk2rXb29EDuIUOVzQNtS4n
MggdBzMkfc4blM4kVJ1LsyvpJ/hVtCv6Co86GKFqJaMF/ZLHsjjT8s4KJ7lXGDM1sYS9QGypMSqk
hj4IMcWRPke81h7qDky0AFNToJDsfQkwDzhPmr09iQ9bR5Fr46F29MyaSmXtx/SDC+dKpD+96wuZ
kaPjKbvqKy0mczoEFk0H1GbkprW/bCxO+CM1NJJlgar8ykKxc4kWqIV5qQTTvkV5jscbiEjFTZcj
pFHIsGEd2iGkXTSxu9Qpxa3sqkwMST+dNGpdYdyLw33TkV2SysKO9BlmAgrPbk+1P6/ltFtrtZZv
O626Bvn3JcOHtzcpwaFJBztKwHajVpkJtcpB69CGZTxMa26cgpFSiZ55bPr5vai3OV1VayOLvTtv
VZfUukQVJyTfOTuqFpE2UXzZFPTxHV5oki7Ehegp/Pbt/ujowiFE1LByjdqZuoa36HJhWeh+c6Bz
m0004HvTRhwSApOsY4jAxgkpsYlvua31lwisxYaErZdWHYRDWRoskkJ7SIUiv+QIpCwbOH6wi+Mb
UNRsYZ3RudMgLXJErqyuEP/LkIgE1YumvLXuxtTYT8Y1ps5F2NbKVZ6F/U3D7HNFpieITtnchhBW
5hoS6WWtsJdoXtfdRiSLPEh2as8b3SB/EDzRpE49a9b6nTa1arpk5Pe9NpWy93DiP0aQTsZGJD4p
pWSO9UaM9jZAxqkUtc6L5cvWJjF78VFzy7kL3mPS6lny6PXkQyCtNK/7Nr4RvTh6LL3qVWjFZWgC
ALfQPn4RixqFdeMtAFGpz0lQJCtNSKvrspJygK2285yWhvGcKFq1y11VvbOCnBQsiaEflYqt3YA7
CeGNJOVNJfbhWkBzTkhCbVVvWid0M02I6nkgicVcKA32NLkQ5rqcGUh3vGoXZjS4HV1sKOM9pIiK
Gt7SM+FcFSbtjVg3y9Cr5LmYqtILSnqSsE1ZgFvdxk9FkLnTpMMjFSCj29W0FMaFrEY7IrdEspSJ
FRH1EBS2GT/USivNaVshQjCTeUKe+ajGKDUlDzlfIiypxqkhh2PP7pnTGn2/CkUjQRUvefOs9nBR
iZVssCJZub1ubamep2UV7a2qnJi5WY3lMMe+rZOEfRWgLmB+U3mAWITgjiQSert0Yea8qNduGhSr
ToQ73aX23u1AxCRuKWH9JT4KwpW2binkJwkdd5R92RIw09SvGJF4uSjtyzy5VcQoW7eKs8V3z4xP
J53J5Ky5UEoz2IEh1qYp5uuxoDjWAWUH7xuKdVNt3auIXtA67SX5RmKotFHZOkjgAYKre04+Tezu
zk6sFdKtZuEnrnLtUyLNHAG+kC+14USPiTtrwxxlNJ0lb9LFdndLXC3U7qACET+qiPybSSoHvo6N
5tUHpjSltPWu0Pi41xzTOV3aMDovGbu9+EErExeupEi7TddBlCJYm9gWxJWXgRnhCIN0sVc5c3RC
ygqi9lcI4+u1oA0NYim7ZgjGSLGROPswjwTNHWmXdFOdrekn9L44ZLE/Eohtq5g6OsWzFgj0+W00
uTNB2FvM/CDVruOh/vGalkmInL5A4uYNRdvtBZYyypipKJh5dWPZNOypMnliMyUv7v2WECndxdwe
lE3K2TtNFl2o0nWPvdYaa616zJz4kaQk+a53UdTFmVqNAqlrn7lf2koovx6UvceCQ/8jj/PSThxQ
iz0NdcR5+hyXRQqcq9ejpZr6IdpryLYT3+oczDYQiCYhYBKPqCqYZJrbknBkt8pKDSCNeYpjjugi
b+h+m3Nbs7fIC65l2SefWRS8y8o17xKvnkjEpy1Ty9wSYEOPPUOI3mDkQFhk7S1bsxDV1PYUycqB
PknErh+Wc70L1LVEqmMVM9am2bwk5fmpjtQGGlJZFLtatO4FgoVQ77nGjsQyHO6Yabqx1JvkyL24
cuwwNyyrrVnAepJpFjzZRt+MvRB+P/KyudBZ65QI4htB99F/DbtzqbTTSkiDm8LpEBwZ6QaEUTBz
VCO6JZ35lsZRcV9UVrOr2AcmXVUrr5wPDmYqXCZS/BIXLqbItsg3ZDgCPFL8RlwwsYCfhGBqJAhB
MVHk3lwZaToVdHARYMW9OaMq/eBLuvbYMu6cC3K2CWtSr1hkaHnKveJQ2yv5AumZtOAQ/qQMSH5U
+Y+62r7yiNi8FkqyS5ngz1vcqRsvZqSuKs40UZAtaGWovqm22tzqNHUAQNfmuELbMUo6h3kskuGR
4wXtohSUlzoCFDEyo8KbyMwWJ7FUR3ctOTis225+5RdpueTIpk/YeIUJfLd8lKYyciTJMVchXZSp
YHXkFGgh2oZIk8ZiQpdYox/LPtYx1LWk7A5eRjwWWkI1w7jp97KqhissL5yAxbce+9rMYjw4I75D
NyapLxQ3ade/+sQ9jZhxQmWLxXwbCxF7JVPvUZvIMXMlRMBAQIt5IpJgQFRhu5Z7S5w7WX8p6eam
6YwHyiOKcqghl2mSRkuI/eomNJVkjFi1IxK9tI0n8GExpaH71nbs5QMKdVLUerwp/TadGrZFeiUX
B7UNrJSr3YcuSXCD5n6UohMfWZVlsOkq0Two4vYQllJ7WWRJuKBvHU2yqH+syBSfKV1lbLzej/jR
snoUHFsYi9D092GVtbw9AAoBRSIidgtGwhx/V3R/5RsvFpNZIYto+8XhXKf0RJxXJmfCLBXQ63um
yrmaNZ74d2NQUe8zSI0T8GAyiDYzWnR2ny2zKBaWEuLwMcKGNzpQg0XZvylkSH/4C9BmZbI9Mty4
3ddBPiRH2m9y7VsD8omoedkoFzKxnBT+mTONrPxKJy6BTsugLdI9jT2wiFYN9dOlRah7M2LEB2Zl
SEVfMgFsJiodzbHYlNmY90fDORBXe0HHZIQ3P6Zdl1u0R8NiEmILRByMxGfSK52BVr+tx4YW3rFB
J2NBQPQT2zCyVDtF/azDhc5d4YkdT5iiBxbXpuEkS0dulBkapF0XR8vUNf215LTpPE+IF7dtaKEg
FQ3O9qWJ8lEFxQxpz1v4LZ0lFTPdXBkMhIHM5LK0s2IaacUd6br3aAdqUB6e/OSE+XOY6DuUOoCa
eq25L0urGJ6tYimjkJ/TBN+1Pb79QFeP+EaxSJG0jrdRD2apYCAgCzuCyvFWrWQ07htb0dlYY98g
hcan8+rU88JpkSA5gE1qtDQzDGiHFjgp7gI1Lu213LlOi26qcBO0nVFQb+RSb28yN9aYQFVB1V/Z
Dp34UUTeIOrqQQ0yiLa1bkfApb/xFJHfrG4rIiQFPyts+mZW7d5nBhIEoohd5swWXKvHtgjQS5Vo
xFA46ZH52PQF4dApTdyHUGrSWxQmMC+yOBXaJXg63p3cQd8x8nE3c8BzJZEZdKEUNZtlKDicK82m
q2dGlLLkFQBTtk7T+TepWDjSEZ2SKewNvWmElZ8nssCmpygR6cAK2No9OlwO3H4GCh3/NdaKrdLk
srzKiADg2GjBoFunnabUU03Kg2TCoin1K8HX5XpCjCwBf7i4Kf97ZtPthjklaqZewKxe+kb3Vus6
gvumFrN40iIWd0fEyFZXdP6thVF4HZoG5xaJmz+rO50yLdralXEXSjbpfyENOKcJ8+vYQSWrwp+B
ITQKQpQW2N9wjrfGa11K/T0PQnNH/9af6/BmZYq6sHuQCkSWRGvWpDBY7YyYYqzwchBpozQ2yVr2
AbaR7Ov18VCWm1k5EcDZ3rcEt5R7uahAC3R5ayysiEbyWLTr+NqjgeRPHYR/0U2cN+lapCE0Dgra
lkXuRA/Enzik/jVptW3SnrEErHtZkIYkO6AHodwLU7bO5L6ta0wn0W2UGfYhNwP1uvIE7TqVOkKo
3W7TypSIyC3iL6XqU1uU2k3rpBwLWCRdFiVw6VmVxldR6abLAG8Y7U5a5vd9YRtLJTW1WYY96FHu
3e5NsWOMWLLno1VLMd1rif0Y+mU3dUosqUh0pCUNAG3ZQBJ7s/IhtNhlxTCZGSSFtDVbBpMjrW2k
VyxdINP7PoUyE+kkHiwirw7lKaV4pi2USkVhyENv+feeVyD79rDsFLj5IglAvZNmubJuiYDwpvrX
BGfVQ4pLu5fBD0dkcimMCdmMfNxRbflTy2NBIAWuLpJZkBgR8sCKOdttoCKZpacWeOyq3bQLoor0
abzSfQ8q2o3igrLIMZpmY2bNgVGQjViNezMbSH5jj7DSKeK+h9ZNrmhNr5wOkZdMFBJT7CRf4POu
MEL5Joh5hKJuCs2xbzpxxYzCU0cAG6g6CXuf67GuzYgMDeiroNuTG3hUlWNurVr0L5l3jBqOK1+c
HEm6oSFJqNsIlarqzIKw0Bdi0gq7nEiUSUpTEhSpSUInq7uEv0SqsyUOHpOYuyKS16Q+pE/9kNRN
SqSxyYiDnkq90jy5memuWlqkCS1CurIY7OnyRn0ycyocV2bWOit4foQcN2mZp9yfIRAcIybxXq4T
CJOQR2Yc5NhRpoYrop4jEYAZux1ck9b01Du2dMNgYBNJ0rLp3LRC0eY2b32et3MppywX7TAYU4LH
05p883FYlEAmI6+Tx+yf6Q6Kf4PTxhTUUUqnambUJVHmxtdYc5mWz0NfWFo6cgTauC3l7RedYPUi
occc5qW+SZUUJ25B4UyVQrAERoFtSXroc52SAA3lceJjsZlRoVtLXyRMHTI5EEgnkvcuhmoS34V5
XnZzs/Yus6BY5KluYT4dcthV0c92llk7W5XpwLgpCFXIAyvHFegggUnqgrFPCWJQYIu+FQz7kmkH
myKH6X1m8FSKNAGvUUFv9cyb1b228hjn5RISbEaa8ZdMIP4h7owDMDV5oqpMmVzLd64lyIALugDu
PjT8ZGrVqjzXW5nurcuHtiw0jbIVPKe9vyys+hCnSG86iw6lokOqpRsAg2sfpWL7wnobPdS5QTQ8
bv8ZKpwdEFVt4hilGY0FOgSTXAnoIimi1CyqNNduFN1SJYyRgH/kBsgaEv5m0qGavKUre2x05y7S
RMZfvHcbLerahQEwBkZkX8L6si51EqGunJR7SNgJtUKoVTnZi+SKolAKVlhJ80mYEQVr14hik1IR
LolUzifYQqN1K2TN1FVZn3mhTVgkZpLdYPq69iKKWGzB9cxktjlypUDCpAdJ0Qk1TKxGBJOpMh5i
n4QP3GJgHZsm2kK64RBo53MCcAr40nA6pcq5RO+TTHMpN6Yc4PyJGCndBCnUPI2Ex1yXlQXgGMo3
P7mHdlmQbw7c3JeaQ+NLwIPBejOSwtox0llC1jEq5K1TkoCuOvpLbGgMaYAU4ChhL1CCeovYhrOW
FPVLxbFnXCDtaB1TFK2yy1gM6B3H3ZQYPeHJUGP8ZCxaq7bWogl6QDLbs8B1b2uw5gXu/brOLzH+
4JvF42Xr64huv/2U57WtTcuwbfF/2CF4ilpS2XdBDcAgc9q50CprsYHtOLJSql3ig/SVbkdQ8Bh8
oC9Hu9voi6BrUDJyInSzZ8Ds+jonnhn3XCUX6Q+ktjMipHwQdfyFVOOX5IZDfozLr1/3jsUHpcfp
v/GTFuTqL7/FBw4kEooPuo4fPsiPXx6kKX/3N/PKi9+/O/4EU/lVmcjPupAPP6v78EO+Qhv5Sz/d
nb/8RN/KVz58m2+v+n95TQMH7+fP9CvXNH7/j/J48fqff//Pyxov6nldnHzi4tbHuPuZfXMWt2tA
en52uzbe8zH/JT/1PK4JJdOn10R9ULrJWb1W6oknb3t4PTgHBByH/HDxtxc//vHlkJ/VVaIl+/TO
bQ8hkLPzuqSPgOBfWQ+5pPO6IP3EprU9VLnHqKn4+hjy/y/ntcYPktvPVo9t8v67QXGZVed1XYM4
+rPruvSc43mtFgMm7uQVndnedWKZ50hUNIf4vGoM68Sq/kOZS/5DURyqc1rcZRE19WdP4DX36vWs
bpYsnlj+bo7FMTyvm3TinfrIrWTPeqq8V2GgWAbndeMGQPlnz+LN+3ccJp3Ded28waDy6VV5x5yK
d3NM4rPajmXlxMHrNnHO6oQiD9jqT+/U+78kF3h33r+7OF5c5e//Fr946ZndsxMrye0h7g/xeVUc
snpi3bhzzm4PG1JUPnsUEQjAFDtczA7Feb1j2ol6g7ah98ELdg7dGoIkP79ZUwpessXP6pD8rWPv
V07933r2zuM+nXj2nrzo+fDcnNeKPhh5P1spfqgNb6rXw8+OzLO4WSeK+BG1oHdWVzSEYn92o1jS
cS+e1SKhWOLgdf3sqr49Z6XhIT6WX//FX2maMwSCffb5xu7h9dvP+N9MzD//4w9jpf/D6ZR6okZF
eHheVbd6YlG+fv8urZ7DoVl58fr+XZS85GymX/9UXZzf1Z6ov8dMTXPUPef0SGonloBxEiX5sbhY
D//1Lr7/1+///fs/Xnz/uz//45//4c//9P0fz+paT9Tl6/c/vb7/KX//U/H+++J4Ub7/4WL0/vvD
W/7+h2CYan18ml+OwBL4EmEjoGHO6rdwYiI0Pjwn34ZGnkPJoZ94N4cm7/FwMX2pDiUP8nm1oYwT
++CUiVd+PKt+4alx0G+fuwJr33k1M34Su0CHcY7Jr5y7vk0n+um9Qswfs5x8qHX+h3Lll5Ltr1SA
mSfOJ/Nv2C8/XU/1kSPz/6wEGwL1fv5Iv3KH5qx+Z7WBm6cWPvfM5nUnrue3lMjhX2upO/Wa/Qho
egmPh/w3/wUAAP//</cx:binary>
              </cx:geoCache>
            </cx:geography>
          </cx:layoutPr>
          <cx:valueColors>
            <cx:minColor>
              <a:schemeClr val="tx2">
                <a:lumMod val="20000"/>
                <a:lumOff val="80000"/>
              </a:schemeClr>
            </cx:minColor>
            <cx:midColor>
              <a:schemeClr val="tx2">
                <a:lumMod val="40000"/>
                <a:lumOff val="60000"/>
              </a:schemeClr>
            </cx:midColor>
            <cx:maxColor>
              <a:schemeClr val="tx2">
                <a:lumMod val="50000"/>
              </a:schemeClr>
            </cx:maxColor>
          </cx:valueColors>
          <cx:valueColorPositions count="3"/>
        </cx:series>
      </cx:plotAreaRegion>
    </cx:plotArea>
    <cx:legend pos="r" align="ctr" overlay="1"/>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microsoft.com/office/2014/relationships/chartEx" Target="../charts/chartEx1.xml"/></Relationships>
</file>

<file path=xl/drawings/_rels/drawing10.xml.rels><?xml version="1.0" encoding="UTF-8" standalone="yes"?>
<Relationships xmlns="http://schemas.openxmlformats.org/package/2006/relationships"><Relationship Id="rId1" Type="http://schemas.microsoft.com/office/2014/relationships/chartEx" Target="../charts/chartEx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570859</xdr:colOff>
      <xdr:row>3</xdr:row>
      <xdr:rowOff>144222</xdr:rowOff>
    </xdr:from>
    <xdr:to>
      <xdr:col>18</xdr:col>
      <xdr:colOff>551200</xdr:colOff>
      <xdr:row>34</xdr:row>
      <xdr:rowOff>149994</xdr:rowOff>
    </xdr:to>
    <xdr:graphicFrame macro="">
      <xdr:nvGraphicFramePr>
        <xdr:cNvPr id="2" name="Chart 1">
          <a:extLst>
            <a:ext uri="{FF2B5EF4-FFF2-40B4-BE49-F238E27FC236}">
              <a16:creationId xmlns:a16="http://schemas.microsoft.com/office/drawing/2014/main" id="{1014C5E4-FEDD-4FD8-9377-01FE3C16C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0.01253</cdr:x>
      <cdr:y>0</cdr:y>
    </cdr:from>
    <cdr:to>
      <cdr:x>0.83057</cdr:x>
      <cdr:y>0.13848</cdr:y>
    </cdr:to>
    <cdr:sp macro="" textlink="">
      <cdr:nvSpPr>
        <cdr:cNvPr id="8" name="Text Box 1"/>
        <cdr:cNvSpPr txBox="1">
          <a:spLocks xmlns:a="http://schemas.openxmlformats.org/drawingml/2006/main" noChangeArrowheads="1"/>
        </cdr:cNvSpPr>
      </cdr:nvSpPr>
      <cdr:spPr bwMode="auto">
        <a:xfrm xmlns:a="http://schemas.openxmlformats.org/drawingml/2006/main">
          <a:off x="98879" y="0"/>
          <a:ext cx="6455485" cy="758028"/>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54864" tIns="41148" rIns="0" bIns="0" anchor="t" upright="1">
          <a:spAutoFit/>
        </a:bodyP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l" rtl="0">
            <a:defRPr sz="1000"/>
          </a:pPr>
          <a:r>
            <a:rPr lang="en-US" sz="2400" b="1" i="0" u="none" strike="noStrike" baseline="0">
              <a:solidFill>
                <a:schemeClr val="tx2"/>
              </a:solidFill>
              <a:latin typeface="Segoe UI"/>
              <a:cs typeface="Arial"/>
            </a:rPr>
            <a:t>AFR: Average Labor Force Participation Rate</a:t>
          </a:r>
          <a:endParaRPr lang="en-US" sz="1800" b="0" i="0" u="none" strike="noStrike" baseline="0">
            <a:solidFill>
              <a:schemeClr val="tx2"/>
            </a:solidFill>
            <a:latin typeface="Segoe UI"/>
            <a:cs typeface="Arial"/>
          </a:endParaRPr>
        </a:p>
        <a:p xmlns:a="http://schemas.openxmlformats.org/drawingml/2006/main">
          <a:pPr algn="l" rtl="0">
            <a:defRPr sz="1000"/>
          </a:pPr>
          <a:r>
            <a:rPr lang="en-US" sz="1800" b="0" i="0" u="none" strike="noStrike" baseline="0">
              <a:solidFill>
                <a:schemeClr val="tx2"/>
              </a:solidFill>
              <a:latin typeface="Segoe UI"/>
              <a:cs typeface="Arial"/>
            </a:rPr>
            <a:t>(Percent of Population 15+, modeled estimate )</a:t>
          </a:r>
        </a:p>
      </cdr:txBody>
    </cdr:sp>
  </cdr:relSizeAnchor>
  <cdr:relSizeAnchor xmlns:cdr="http://schemas.openxmlformats.org/drawingml/2006/chartDrawing">
    <cdr:from>
      <cdr:x>0.05307</cdr:x>
      <cdr:y>0.93872</cdr:y>
    </cdr:from>
    <cdr:to>
      <cdr:x>0.88103</cdr:x>
      <cdr:y>0.99832</cdr:y>
    </cdr:to>
    <cdr:sp macro="" textlink="">
      <cdr:nvSpPr>
        <cdr:cNvPr id="9" name="Text Box 4"/>
        <cdr:cNvSpPr txBox="1">
          <a:spLocks xmlns:a="http://schemas.openxmlformats.org/drawingml/2006/main" noChangeArrowheads="1"/>
        </cdr:cNvSpPr>
      </cdr:nvSpPr>
      <cdr:spPr bwMode="auto">
        <a:xfrm xmlns:a="http://schemas.openxmlformats.org/drawingml/2006/main">
          <a:off x="419349" y="5418372"/>
          <a:ext cx="6542368" cy="34400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45720" tIns="36576" rIns="0" bIns="0" anchor="t" upright="1">
          <a:spAutoFit/>
        </a:bodyP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l" rtl="0">
            <a:defRPr sz="1000"/>
          </a:pPr>
          <a:r>
            <a:rPr lang="en-US" sz="1800" b="0" i="0" u="none" strike="noStrike" baseline="0">
              <a:solidFill>
                <a:srgbClr val="000000"/>
              </a:solidFill>
              <a:latin typeface="Segoe UI"/>
              <a:cs typeface="Arial"/>
            </a:rPr>
            <a:t>Source: World Bank Gender Statistics and IMF staff calculations</a:t>
          </a:r>
        </a:p>
      </cdr:txBody>
    </cdr:sp>
  </cdr:relSizeAnchor>
</c:userShapes>
</file>

<file path=xl/drawings/drawing3.xml><?xml version="1.0" encoding="utf-8"?>
<xdr:wsDr xmlns:xdr="http://schemas.openxmlformats.org/drawingml/2006/spreadsheetDrawing" xmlns:a="http://schemas.openxmlformats.org/drawingml/2006/main">
  <xdr:twoCellAnchor>
    <xdr:from>
      <xdr:col>8</xdr:col>
      <xdr:colOff>215900</xdr:colOff>
      <xdr:row>15</xdr:row>
      <xdr:rowOff>6350</xdr:rowOff>
    </xdr:from>
    <xdr:to>
      <xdr:col>17</xdr:col>
      <xdr:colOff>571500</xdr:colOff>
      <xdr:row>38</xdr:row>
      <xdr:rowOff>25400</xdr:rowOff>
    </xdr:to>
    <xdr:graphicFrame macro="">
      <xdr:nvGraphicFramePr>
        <xdr:cNvPr id="2" name="Chart 1">
          <a:extLst>
            <a:ext uri="{FF2B5EF4-FFF2-40B4-BE49-F238E27FC236}">
              <a16:creationId xmlns:a16="http://schemas.microsoft.com/office/drawing/2014/main" id="{A5F6D13F-8C00-4BD0-A4F3-2827DEDC8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9525</xdr:colOff>
      <xdr:row>53</xdr:row>
      <xdr:rowOff>12700</xdr:rowOff>
    </xdr:from>
    <xdr:to>
      <xdr:col>13</xdr:col>
      <xdr:colOff>238125</xdr:colOff>
      <xdr:row>84</xdr:row>
      <xdr:rowOff>120650</xdr:rowOff>
    </xdr:to>
    <xdr:graphicFrame macro="">
      <xdr:nvGraphicFramePr>
        <xdr:cNvPr id="2" name="Chart 1">
          <a:extLst>
            <a:ext uri="{FF2B5EF4-FFF2-40B4-BE49-F238E27FC236}">
              <a16:creationId xmlns:a16="http://schemas.microsoft.com/office/drawing/2014/main" id="{C80B9D75-5B1C-42EB-9A5F-A4F028A64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0.0407</cdr:x>
      <cdr:y>0.93434</cdr:y>
    </cdr:from>
    <cdr:to>
      <cdr:x>0.37171</cdr:x>
      <cdr:y>1</cdr:y>
    </cdr:to>
    <cdr:sp macro="" textlink="">
      <cdr:nvSpPr>
        <cdr:cNvPr id="5" name="Text Box 4"/>
        <cdr:cNvSpPr txBox="1">
          <a:spLocks xmlns:a="http://schemas.openxmlformats.org/drawingml/2006/main" noChangeArrowheads="1"/>
        </cdr:cNvSpPr>
      </cdr:nvSpPr>
      <cdr:spPr bwMode="auto">
        <a:xfrm xmlns:a="http://schemas.openxmlformats.org/drawingml/2006/main">
          <a:off x="297712" y="4699000"/>
          <a:ext cx="2421405" cy="33020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none" lIns="45720" tIns="36576" rIns="0" bIns="0" anchor="t" upright="1">
          <a:noAutofit/>
        </a:bodyPr>
        <a:lstStyle xmlns:a="http://schemas.openxmlformats.org/drawingml/2006/main"/>
        <a:p xmlns:a="http://schemas.openxmlformats.org/drawingml/2006/main">
          <a:pPr algn="l" rtl="0">
            <a:defRPr sz="1000"/>
          </a:pPr>
          <a:r>
            <a:rPr lang="en-US" sz="1800" b="0" i="0" u="none" strike="noStrike" baseline="0">
              <a:solidFill>
                <a:srgbClr val="000000"/>
              </a:solidFill>
              <a:latin typeface="Segoe UI"/>
              <a:cs typeface="Arial"/>
            </a:rPr>
            <a:t>Source: World Bank Gender Statistics and IMF staff calculations</a:t>
          </a:r>
        </a:p>
      </cdr:txBody>
    </cdr:sp>
  </cdr:relSizeAnchor>
</c:userShapes>
</file>

<file path=xl/drawings/drawing6.xml><?xml version="1.0" encoding="utf-8"?>
<xdr:wsDr xmlns:xdr="http://schemas.openxmlformats.org/drawingml/2006/spreadsheetDrawing" xmlns:a="http://schemas.openxmlformats.org/drawingml/2006/main">
  <xdr:twoCellAnchor>
    <xdr:from>
      <xdr:col>6</xdr:col>
      <xdr:colOff>384857</xdr:colOff>
      <xdr:row>2</xdr:row>
      <xdr:rowOff>41541</xdr:rowOff>
    </xdr:from>
    <xdr:to>
      <xdr:col>18</xdr:col>
      <xdr:colOff>364917</xdr:colOff>
      <xdr:row>36</xdr:row>
      <xdr:rowOff>79997</xdr:rowOff>
    </xdr:to>
    <xdr:graphicFrame macro="">
      <xdr:nvGraphicFramePr>
        <xdr:cNvPr id="2" name="Chart 1">
          <a:extLst>
            <a:ext uri="{FF2B5EF4-FFF2-40B4-BE49-F238E27FC236}">
              <a16:creationId xmlns:a16="http://schemas.microsoft.com/office/drawing/2014/main" id="{6A088EBD-AAD2-4746-9AB9-706CADF52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551915</xdr:colOff>
      <xdr:row>38</xdr:row>
      <xdr:rowOff>94952</xdr:rowOff>
    </xdr:from>
    <xdr:to>
      <xdr:col>13</xdr:col>
      <xdr:colOff>153999</xdr:colOff>
      <xdr:row>41</xdr:row>
      <xdr:rowOff>54786</xdr:rowOff>
    </xdr:to>
    <xdr:sp macro="" textlink="">
      <xdr:nvSpPr>
        <xdr:cNvPr id="3" name="Text Box 4">
          <a:extLst>
            <a:ext uri="{FF2B5EF4-FFF2-40B4-BE49-F238E27FC236}">
              <a16:creationId xmlns:a16="http://schemas.microsoft.com/office/drawing/2014/main" id="{FF74DE51-AC31-437A-B17D-1F1F32918917}"/>
            </a:ext>
          </a:extLst>
        </xdr:cNvPr>
        <xdr:cNvSpPr txBox="1">
          <a:spLocks noChangeArrowheads="1"/>
        </xdr:cNvSpPr>
      </xdr:nvSpPr>
      <xdr:spPr bwMode="auto">
        <a:xfrm>
          <a:off x="4209515" y="6127452"/>
          <a:ext cx="3869284" cy="436084"/>
        </a:xfrm>
        <a:prstGeom prst="rect">
          <a:avLst/>
        </a:prstGeom>
        <a:noFill/>
        <a:ln w="9525">
          <a:noFill/>
          <a:miter lim="800000"/>
          <a:headEnd/>
          <a:tailEnd/>
        </a:ln>
      </xdr:spPr>
      <xdr:txBody>
        <a:bodyPr wrap="square" lIns="45720" tIns="36576" rIns="0" bIns="0" anchor="t" upright="1">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r>
            <a:rPr lang="en-US" sz="1400" b="0" i="0" u="none" strike="noStrike" baseline="0">
              <a:solidFill>
                <a:srgbClr val="000000"/>
              </a:solidFill>
              <a:latin typeface="Segoe UI"/>
              <a:cs typeface="Arial"/>
            </a:rPr>
            <a:t>Source: World Bank Gender Statistics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1</xdr:row>
      <xdr:rowOff>0</xdr:rowOff>
    </xdr:from>
    <xdr:to>
      <xdr:col>17</xdr:col>
      <xdr:colOff>358776</xdr:colOff>
      <xdr:row>31</xdr:row>
      <xdr:rowOff>36513</xdr:rowOff>
    </xdr:to>
    <xdr:graphicFrame macro="">
      <xdr:nvGraphicFramePr>
        <xdr:cNvPr id="5" name="Chart 4">
          <a:extLst>
            <a:ext uri="{FF2B5EF4-FFF2-40B4-BE49-F238E27FC236}">
              <a16:creationId xmlns:a16="http://schemas.microsoft.com/office/drawing/2014/main" id="{61FC7D8A-6A6E-483A-8988-DEDA6E97D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0.00789</cdr:x>
      <cdr:y>0.07233</cdr:y>
    </cdr:to>
    <cdr:sp macro="" textlink="">
      <cdr:nvSpPr>
        <cdr:cNvPr id="2" name="Text Box 1"/>
        <cdr:cNvSpPr txBox="1">
          <a:spLocks xmlns:a="http://schemas.openxmlformats.org/drawingml/2006/main" noChangeArrowheads="1"/>
        </cdr:cNvSpPr>
      </cdr:nvSpPr>
      <cdr:spPr bwMode="auto">
        <a:xfrm xmlns:a="http://schemas.openxmlformats.org/drawingml/2006/main">
          <a:off x="0" y="0"/>
          <a:ext cx="55464" cy="348622"/>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none" lIns="54864" tIns="41148" rIns="0" bIns="0" anchor="t" upright="1">
          <a:spAutoFit/>
        </a:bodyPr>
        <a:lstStyle xmlns:a="http://schemas.openxmlformats.org/drawingml/2006/main"/>
        <a:p xmlns:a="http://schemas.openxmlformats.org/drawingml/2006/main">
          <a:pPr algn="l" rtl="0">
            <a:defRPr sz="1000"/>
          </a:pPr>
          <a:endParaRPr lang="en-US" sz="1800" b="0" i="0" u="none" strike="noStrike" baseline="0">
            <a:solidFill>
              <a:srgbClr val="4B82AD"/>
            </a:solidFill>
            <a:latin typeface="Segoe UI"/>
            <a:cs typeface="Arial"/>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5</xdr:col>
      <xdr:colOff>0</xdr:colOff>
      <xdr:row>2</xdr:row>
      <xdr:rowOff>0</xdr:rowOff>
    </xdr:from>
    <xdr:to>
      <xdr:col>13</xdr:col>
      <xdr:colOff>304800</xdr:colOff>
      <xdr:row>24</xdr:row>
      <xdr:rowOff>95250</xdr:rowOff>
    </xdr:to>
    <mc:AlternateContent xmlns:mc="http://schemas.openxmlformats.org/markup-compatibility/2006">
      <mc:Choice xmlns:cx6="http://schemas.microsoft.com/office/drawing/2016/5/12/chartex" Requires="cx6">
        <xdr:graphicFrame macro="">
          <xdr:nvGraphicFramePr>
            <xdr:cNvPr id="2" name="Chart 1">
              <a:extLst>
                <a:ext uri="{FF2B5EF4-FFF2-40B4-BE49-F238E27FC236}">
                  <a16:creationId xmlns:a16="http://schemas.microsoft.com/office/drawing/2014/main" id="{9AD1CAF5-26D7-4FF0-9616-3EA15D57B9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30750" y="323850"/>
              <a:ext cx="5181600" cy="3587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5</xdr:col>
      <xdr:colOff>0</xdr:colOff>
      <xdr:row>2</xdr:row>
      <xdr:rowOff>0</xdr:rowOff>
    </xdr:from>
    <xdr:to>
      <xdr:col>13</xdr:col>
      <xdr:colOff>304800</xdr:colOff>
      <xdr:row>24</xdr:row>
      <xdr:rowOff>95250</xdr:rowOff>
    </xdr:to>
    <mc:AlternateContent xmlns:mc="http://schemas.openxmlformats.org/markup-compatibility/2006">
      <mc:Choice xmlns:cx6="http://schemas.microsoft.com/office/drawing/2016/5/12/chartex" Requires="cx6">
        <xdr:graphicFrame macro="">
          <xdr:nvGraphicFramePr>
            <xdr:cNvPr id="5" name="Chart 4">
              <a:extLst>
                <a:ext uri="{FF2B5EF4-FFF2-40B4-BE49-F238E27FC236}">
                  <a16:creationId xmlns:a16="http://schemas.microsoft.com/office/drawing/2014/main" id="{F6929BCE-9165-4202-882B-4B4D2F0364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30750" y="323850"/>
              <a:ext cx="5181600" cy="3587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15875</xdr:colOff>
      <xdr:row>0</xdr:row>
      <xdr:rowOff>152398</xdr:rowOff>
    </xdr:from>
    <xdr:to>
      <xdr:col>15</xdr:col>
      <xdr:colOff>9525</xdr:colOff>
      <xdr:row>51</xdr:row>
      <xdr:rowOff>14287</xdr:rowOff>
    </xdr:to>
    <xdr:graphicFrame macro="">
      <xdr:nvGraphicFramePr>
        <xdr:cNvPr id="2" name="Chart 1">
          <a:extLst>
            <a:ext uri="{FF2B5EF4-FFF2-40B4-BE49-F238E27FC236}">
              <a16:creationId xmlns:a16="http://schemas.microsoft.com/office/drawing/2014/main" id="{15852F43-A298-1F6D-9185-0582E64F5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Burundi" TargetMode="External"/><Relationship Id="rId21" Type="http://schemas.openxmlformats.org/officeDocument/2006/relationships/hyperlink" Target="https://www.bing.com/th?id=OSK.rqhhPC8adwulZ6C0cvIbHAvsVxm3BL1u7Ef5umuBQjA&amp;qlt=95" TargetMode="External"/><Relationship Id="rId42" Type="http://schemas.openxmlformats.org/officeDocument/2006/relationships/hyperlink" Target="https://www.bing.com/images/search?form=xlimg&amp;q=South%20Sudan" TargetMode="External"/><Relationship Id="rId47" Type="http://schemas.openxmlformats.org/officeDocument/2006/relationships/hyperlink" Target="https://www.bing.com/th?id=OSK.199471a1ecd96d075745c3a5a59b289e&amp;qlt=95" TargetMode="External"/><Relationship Id="rId63" Type="http://schemas.openxmlformats.org/officeDocument/2006/relationships/hyperlink" Target="https://www.bing.com/th?id=OSK.a018667e848b997406b0f100e728e406&amp;qlt=95" TargetMode="External"/><Relationship Id="rId68" Type="http://schemas.openxmlformats.org/officeDocument/2006/relationships/hyperlink" Target="https://www.bing.com/images/search?form=xlimg&amp;q=Seychelles" TargetMode="External"/><Relationship Id="rId84" Type="http://schemas.openxmlformats.org/officeDocument/2006/relationships/hyperlink" Target="https://www.bing.com/images/search?form=xlimg&amp;q=Zambia" TargetMode="External"/><Relationship Id="rId89" Type="http://schemas.openxmlformats.org/officeDocument/2006/relationships/hyperlink" Target="https://www.bing.com/th?id=OSK.QgaqMQuJ0VweHMqsThEd8piZl_tVzNQSSVoKxMirJo0&amp;qlt=95" TargetMode="External"/><Relationship Id="rId16" Type="http://schemas.openxmlformats.org/officeDocument/2006/relationships/hyperlink" Target="https://www.bing.com/images/search?form=xlimg&amp;q=Eritrea" TargetMode="External"/><Relationship Id="rId11" Type="http://schemas.openxmlformats.org/officeDocument/2006/relationships/hyperlink" Target="https://www.bing.com/th?id=OSK.f90321de99b475fc4b4685fd049e346d&amp;qlt=95" TargetMode="External"/><Relationship Id="rId32" Type="http://schemas.openxmlformats.org/officeDocument/2006/relationships/hyperlink" Target="https://www.bing.com/images/search?form=xlimg&amp;q=Ethiopia" TargetMode="External"/><Relationship Id="rId37" Type="http://schemas.openxmlformats.org/officeDocument/2006/relationships/hyperlink" Target="https://www.bing.com/th?id=OSK.e6a97b8460f97a5080723ddbd6db6182&amp;qlt=95" TargetMode="External"/><Relationship Id="rId53" Type="http://schemas.openxmlformats.org/officeDocument/2006/relationships/hyperlink" Target="https://www.bing.com/th?id=OSK.84f6affaeaaf5f5c6f7dc3008aadc1bc&amp;qlt=95" TargetMode="External"/><Relationship Id="rId58" Type="http://schemas.openxmlformats.org/officeDocument/2006/relationships/hyperlink" Target="https://www.bing.com/images/search?form=xlimg&amp;q=Burkina%20Faso" TargetMode="External"/><Relationship Id="rId74" Type="http://schemas.openxmlformats.org/officeDocument/2006/relationships/hyperlink" Target="https://www.bing.com/images/search?form=xlimg&amp;q=Angola" TargetMode="External"/><Relationship Id="rId79" Type="http://schemas.openxmlformats.org/officeDocument/2006/relationships/hyperlink" Target="https://www.bing.com/th?id=OSK.c2530f25a5c75a5557d7dc1423b7bfbb&amp;qlt=95" TargetMode="External"/><Relationship Id="rId5" Type="http://schemas.openxmlformats.org/officeDocument/2006/relationships/hyperlink" Target="https://www.bing.com/th?id=OSK.89282b1f8cf55feedf7cb4a1594423ef&amp;qlt=95" TargetMode="External"/><Relationship Id="rId90" Type="http://schemas.openxmlformats.org/officeDocument/2006/relationships/hyperlink" Target="https://www.bing.com/images/search?form=xlimg&amp;q=Mauritius" TargetMode="External"/><Relationship Id="rId14" Type="http://schemas.openxmlformats.org/officeDocument/2006/relationships/hyperlink" Target="https://www.bing.com/images/search?form=xlimg&amp;q=Republic%20of%20the%20Congo" TargetMode="External"/><Relationship Id="rId22" Type="http://schemas.openxmlformats.org/officeDocument/2006/relationships/hyperlink" Target="https://www.bing.com/images/search?form=xlimg&amp;q=Nigeria" TargetMode="External"/><Relationship Id="rId27" Type="http://schemas.openxmlformats.org/officeDocument/2006/relationships/hyperlink" Target="https://www.bing.com/th?id=OSK.b4fa71228a5f45a8646dbfa3d79d8f51&amp;qlt=95" TargetMode="External"/><Relationship Id="rId30" Type="http://schemas.openxmlformats.org/officeDocument/2006/relationships/hyperlink" Target="https://www.bing.com/images/search?form=xlimg&amp;q=Central%20African%20Republic" TargetMode="External"/><Relationship Id="rId35" Type="http://schemas.openxmlformats.org/officeDocument/2006/relationships/hyperlink" Target="https://www.bing.com/th?id=OSK.90b654e327deb8a596360708869694bc&amp;qlt=95" TargetMode="External"/><Relationship Id="rId43" Type="http://schemas.openxmlformats.org/officeDocument/2006/relationships/hyperlink" Target="https://www.bing.com/th?id=OSK.cdc4215938ab2bdf073e68041184cde2&amp;qlt=95" TargetMode="External"/><Relationship Id="rId48" Type="http://schemas.openxmlformats.org/officeDocument/2006/relationships/hyperlink" Target="https://www.bing.com/images/search?form=xlimg&amp;q=Uganda" TargetMode="External"/><Relationship Id="rId56" Type="http://schemas.openxmlformats.org/officeDocument/2006/relationships/hyperlink" Target="https://www.bing.com/images/search?form=xlimg&amp;q=Tanzania" TargetMode="External"/><Relationship Id="rId64" Type="http://schemas.openxmlformats.org/officeDocument/2006/relationships/hyperlink" Target="https://www.bing.com/images/search?form=xlimg&amp;q=Mozambique" TargetMode="External"/><Relationship Id="rId69" Type="http://schemas.openxmlformats.org/officeDocument/2006/relationships/hyperlink" Target="https://www.bing.com/th?id=OSK.0b7ed2113aef1ed4cc15418a81b340e1&amp;qlt=95" TargetMode="External"/><Relationship Id="rId77" Type="http://schemas.openxmlformats.org/officeDocument/2006/relationships/hyperlink" Target="https://www.bing.com/th?id=OSK.dumDfT4X-eP2V7PjD8xTGsaCmrYiDCyVKLlEcAIJmKc&amp;qlt=95" TargetMode="External"/><Relationship Id="rId8" Type="http://schemas.openxmlformats.org/officeDocument/2006/relationships/hyperlink" Target="https://www.bing.com/images/search?form=xlimg&amp;q=Cameroon" TargetMode="External"/><Relationship Id="rId51" Type="http://schemas.openxmlformats.org/officeDocument/2006/relationships/hyperlink" Target="https://www.bing.com/th?id=OSK.f8ce62c715d7e9d4b21218643818351c&amp;qlt=95" TargetMode="External"/><Relationship Id="rId72" Type="http://schemas.openxmlformats.org/officeDocument/2006/relationships/hyperlink" Target="https://www.bing.com/images/search?form=xlimg&amp;q=Rwanda" TargetMode="External"/><Relationship Id="rId80" Type="http://schemas.openxmlformats.org/officeDocument/2006/relationships/hyperlink" Target="https://www.bing.com/images/search?form=xlimg&amp;q=Cape%20Verde" TargetMode="External"/><Relationship Id="rId85" Type="http://schemas.openxmlformats.org/officeDocument/2006/relationships/hyperlink" Target="https://www.bing.com/th?id=OSK.XTXAbE7wxDFfjCw-e2Beir7Q9J8U3b7w3h_waMgYnuQ&amp;qlt=95" TargetMode="External"/><Relationship Id="rId3" Type="http://schemas.openxmlformats.org/officeDocument/2006/relationships/hyperlink" Target="https://www.bing.com/th?id=OSK.756ebbfa84d3be1b2a2c5dd780ebae50&amp;qlt=95" TargetMode="External"/><Relationship Id="rId12" Type="http://schemas.openxmlformats.org/officeDocument/2006/relationships/hyperlink" Target="https://www.bing.com/images/search?form=xlimg&amp;q=Equatorial%20Guinea" TargetMode="External"/><Relationship Id="rId17" Type="http://schemas.openxmlformats.org/officeDocument/2006/relationships/hyperlink" Target="https://www.bing.com/th?id=OSK.HU1ypVRU_iokVKAtBkynacSL7-O-rFn4OR6vsgowEbI&amp;qlt=95" TargetMode="External"/><Relationship Id="rId25" Type="http://schemas.openxmlformats.org/officeDocument/2006/relationships/hyperlink" Target="https://www.bing.com/th?id=OSK.4929661004fb832435795a5f235be35c&amp;qlt=95" TargetMode="External"/><Relationship Id="rId33" Type="http://schemas.openxmlformats.org/officeDocument/2006/relationships/hyperlink" Target="https://www.bing.com/th?id=OSK.XSP77D3N2h-5g-lnLtIVAw7R1n2w8WFU4i_Y9-6SK7o&amp;qlt=95" TargetMode="External"/><Relationship Id="rId38" Type="http://schemas.openxmlformats.org/officeDocument/2006/relationships/hyperlink" Target="https://www.bing.com/images/search?form=xlimg&amp;q=Democratic%20Republic%20of%20the%20Congo" TargetMode="External"/><Relationship Id="rId46" Type="http://schemas.openxmlformats.org/officeDocument/2006/relationships/hyperlink" Target="https://www.bing.com/images/search?form=xlimg&amp;q=Malawi" TargetMode="External"/><Relationship Id="rId59" Type="http://schemas.openxmlformats.org/officeDocument/2006/relationships/hyperlink" Target="https://www.bing.com/th?id=OSK.c3950fd686a25505bd9d25f6d98e297b&amp;qlt=95" TargetMode="External"/><Relationship Id="rId67" Type="http://schemas.openxmlformats.org/officeDocument/2006/relationships/hyperlink" Target="https://www.bing.com/th?id=OSK.gFhWBP1xSTxrI3LYdpDTiRqh0uNohS-K-_Q3xrvRgC8&amp;qlt=95" TargetMode="External"/><Relationship Id="rId20" Type="http://schemas.openxmlformats.org/officeDocument/2006/relationships/hyperlink" Target="https://www.bing.com/images/search?form=xlimg&amp;q=Botswana" TargetMode="External"/><Relationship Id="rId41" Type="http://schemas.openxmlformats.org/officeDocument/2006/relationships/hyperlink" Target="https://www.bing.com/th?id=OSK.48d1a2966a15f025dc1d5eedb136c1fd&amp;qlt=95" TargetMode="External"/><Relationship Id="rId54" Type="http://schemas.openxmlformats.org/officeDocument/2006/relationships/hyperlink" Target="https://www.bing.com/images/search?form=xlimg&amp;q=Lesotho" TargetMode="External"/><Relationship Id="rId62" Type="http://schemas.openxmlformats.org/officeDocument/2006/relationships/hyperlink" Target="https://www.bing.com/images/search?form=xlimg&amp;q=S%c3%a3o%20Tom%c3%a9%20and%20Pr%c3%adncipe" TargetMode="External"/><Relationship Id="rId70" Type="http://schemas.openxmlformats.org/officeDocument/2006/relationships/hyperlink" Target="https://www.bing.com/images/search?form=xlimg&amp;q=Namibia" TargetMode="External"/><Relationship Id="rId75" Type="http://schemas.openxmlformats.org/officeDocument/2006/relationships/hyperlink" Target="https://www.bing.com/th?id=OSK.UH0fyO9Lfs2nFnLtoT7EAzGxlS7yhqEQhamK_GPszQs&amp;qlt=95" TargetMode="External"/><Relationship Id="rId83" Type="http://schemas.openxmlformats.org/officeDocument/2006/relationships/hyperlink" Target="https://www.bing.com/th?id=OSK.3aa41992f65c0f331fcff12db689c184&amp;qlt=95" TargetMode="External"/><Relationship Id="rId88" Type="http://schemas.openxmlformats.org/officeDocument/2006/relationships/hyperlink" Target="https://www.bing.com/images/search?form=xlimg&amp;q=Togo" TargetMode="External"/><Relationship Id="rId1" Type="http://schemas.openxmlformats.org/officeDocument/2006/relationships/hyperlink" Target="https://www.bing.com/th?id=OSK.036f248cd8a047756bcdd757f41ac442&amp;qlt=95" TargetMode="External"/><Relationship Id="rId6" Type="http://schemas.openxmlformats.org/officeDocument/2006/relationships/hyperlink" Target="https://www.bing.com/images/search?form=xlimg&amp;q=Niger" TargetMode="External"/><Relationship Id="rId15" Type="http://schemas.openxmlformats.org/officeDocument/2006/relationships/hyperlink" Target="https://www.bing.com/th?id=OSK.72f6363ebcd16f9aae783bac4ec947b6&amp;qlt=95" TargetMode="External"/><Relationship Id="rId23" Type="http://schemas.openxmlformats.org/officeDocument/2006/relationships/hyperlink" Target="https://www.bing.com/th?id=OSK.ZfyH97JbkO0trFFmgq_N81zAJ_VFnoMhSlC9lrjf88A&amp;qlt=95" TargetMode="External"/><Relationship Id="rId28" Type="http://schemas.openxmlformats.org/officeDocument/2006/relationships/hyperlink" Target="https://www.bing.com/images/search?form=xlimg&amp;q=Senegal" TargetMode="External"/><Relationship Id="rId36" Type="http://schemas.openxmlformats.org/officeDocument/2006/relationships/hyperlink" Target="https://www.bing.com/images/search?form=xlimg&amp;q=Liberia" TargetMode="External"/><Relationship Id="rId49" Type="http://schemas.openxmlformats.org/officeDocument/2006/relationships/hyperlink" Target="https://www.bing.com/th?id=OSK.adb18318208070a3b756f9e76dff1de5&amp;qlt=95" TargetMode="External"/><Relationship Id="rId57" Type="http://schemas.openxmlformats.org/officeDocument/2006/relationships/hyperlink" Target="https://www.bing.com/th?id=OSK.31ca64b749e96382183559f15d072bb8&amp;qlt=95" TargetMode="External"/><Relationship Id="rId10" Type="http://schemas.openxmlformats.org/officeDocument/2006/relationships/hyperlink" Target="https://www.bing.com/images/search?form=xlimg&amp;q=Guinea-Bissau" TargetMode="External"/><Relationship Id="rId31" Type="http://schemas.openxmlformats.org/officeDocument/2006/relationships/hyperlink" Target="https://www.bing.com/th?id=OSK.60ab84b496030f737b1ad45809481727&amp;qlt=95" TargetMode="External"/><Relationship Id="rId44" Type="http://schemas.openxmlformats.org/officeDocument/2006/relationships/hyperlink" Target="https://www.bing.com/images/search?form=xlimg&amp;q=Zimbabwe" TargetMode="External"/><Relationship Id="rId52" Type="http://schemas.openxmlformats.org/officeDocument/2006/relationships/hyperlink" Target="https://www.bing.com/images/search?form=xlimg&amp;q=Ghana" TargetMode="External"/><Relationship Id="rId60" Type="http://schemas.openxmlformats.org/officeDocument/2006/relationships/hyperlink" Target="https://www.bing.com/images/search?form=xlimg&amp;q=Benin" TargetMode="External"/><Relationship Id="rId65" Type="http://schemas.openxmlformats.org/officeDocument/2006/relationships/hyperlink" Target="https://www.bing.com/th?id=OSK.9916e6d9585670a5c7077c9d73381888&amp;qlt=95" TargetMode="External"/><Relationship Id="rId73" Type="http://schemas.openxmlformats.org/officeDocument/2006/relationships/hyperlink" Target="https://www.bing.com/th?id=OSK.bb06e36f06905b63d82d86392bb20f5f&amp;qlt=95" TargetMode="External"/><Relationship Id="rId78" Type="http://schemas.openxmlformats.org/officeDocument/2006/relationships/hyperlink" Target="https://www.bing.com/images/search?form=xlimg&amp;q=Gabon" TargetMode="External"/><Relationship Id="rId81" Type="http://schemas.openxmlformats.org/officeDocument/2006/relationships/hyperlink" Target="https://www.bing.com/th?id=OSK.e9830b4629623246b36aa0cac68fd44a&amp;qlt=95" TargetMode="External"/><Relationship Id="rId86" Type="http://schemas.openxmlformats.org/officeDocument/2006/relationships/hyperlink" Target="https://www.bing.com/images/search?form=xlimg&amp;q=Ivory%20Coast" TargetMode="External"/><Relationship Id="rId4" Type="http://schemas.openxmlformats.org/officeDocument/2006/relationships/hyperlink" Target="https://www.bing.com/images/search?form=xlimg&amp;q=Eswatini" TargetMode="External"/><Relationship Id="rId9" Type="http://schemas.openxmlformats.org/officeDocument/2006/relationships/hyperlink" Target="https://www.bing.com/th?id=OSK.b74d2f4f11a908dfc4c56d7db153b05b&amp;qlt=95" TargetMode="External"/><Relationship Id="rId13" Type="http://schemas.openxmlformats.org/officeDocument/2006/relationships/hyperlink" Target="https://www.bing.com/th?id=OSK.cUC81Kak43ISaLo632Txi0UPY65USfcNh1A6f0neK_w&amp;qlt=95" TargetMode="External"/><Relationship Id="rId18" Type="http://schemas.openxmlformats.org/officeDocument/2006/relationships/hyperlink" Target="https://www.bing.com/images/search?form=xlimg&amp;q=Mali" TargetMode="External"/><Relationship Id="rId39" Type="http://schemas.openxmlformats.org/officeDocument/2006/relationships/hyperlink" Target="https://www.bing.com/th?id=OSK.7305dCSgiKBFmblxSVw_R9OgijbvmS0zhWcjsxvNhFM&amp;qlt=95" TargetMode="External"/><Relationship Id="rId34" Type="http://schemas.openxmlformats.org/officeDocument/2006/relationships/hyperlink" Target="https://www.bing.com/images/search?form=xlimg&amp;q=The%20Gambia" TargetMode="External"/><Relationship Id="rId50" Type="http://schemas.openxmlformats.org/officeDocument/2006/relationships/hyperlink" Target="https://www.bing.com/images/search?form=xlimg&amp;q=Madagascar" TargetMode="External"/><Relationship Id="rId55" Type="http://schemas.openxmlformats.org/officeDocument/2006/relationships/hyperlink" Target="https://www.bing.com/th?id=OSK.ZoOnHeOqJlWtOexBgzWQAb3Tidw4VEw6vIATmETUcGA&amp;qlt=95" TargetMode="External"/><Relationship Id="rId76" Type="http://schemas.openxmlformats.org/officeDocument/2006/relationships/hyperlink" Target="https://www.bing.com/images/search?form=xlimg&amp;q=Sierra%20Leone" TargetMode="External"/><Relationship Id="rId7" Type="http://schemas.openxmlformats.org/officeDocument/2006/relationships/hyperlink" Target="https://www.bing.com/th?id=OSK.45468b20d1a6bac3d3c1ed00258ea889&amp;qlt=95" TargetMode="External"/><Relationship Id="rId71" Type="http://schemas.openxmlformats.org/officeDocument/2006/relationships/hyperlink" Target="https://www.bing.com/th?id=OSK.5JcoYfNpQfex46Hujm_d9QTdxsNNV7ypopOFou_K6sg&amp;qlt=95" TargetMode="External"/><Relationship Id="rId2" Type="http://schemas.openxmlformats.org/officeDocument/2006/relationships/hyperlink" Target="https://www.bing.com/images/search?form=xlimg&amp;q=Comoros" TargetMode="External"/><Relationship Id="rId29" Type="http://schemas.openxmlformats.org/officeDocument/2006/relationships/hyperlink" Target="https://www.bing.com/th?id=OSK.58a79b8352e0a2bffba99932980df8d5&amp;qlt=95" TargetMode="External"/><Relationship Id="rId24" Type="http://schemas.openxmlformats.org/officeDocument/2006/relationships/hyperlink" Target="https://www.bing.com/images/search?form=xlimg&amp;q=Chad" TargetMode="External"/><Relationship Id="rId40" Type="http://schemas.openxmlformats.org/officeDocument/2006/relationships/hyperlink" Target="https://www.bing.com/images/search?form=xlimg&amp;q=Guinea" TargetMode="External"/><Relationship Id="rId45" Type="http://schemas.openxmlformats.org/officeDocument/2006/relationships/hyperlink" Target="https://www.bing.com/th?id=OSK.be9bf8d1fb89700eaaa6052d0f8dc6be&amp;qlt=95" TargetMode="External"/><Relationship Id="rId66" Type="http://schemas.openxmlformats.org/officeDocument/2006/relationships/hyperlink" Target="https://www.bing.com/images/search?form=xlimg&amp;q=Kenya" TargetMode="External"/><Relationship Id="rId87" Type="http://schemas.openxmlformats.org/officeDocument/2006/relationships/hyperlink" Target="https://www.bing.com/th?id=OSK.6b0a8b0b54df2c069ec7322d775d78e7&amp;qlt=95" TargetMode="External"/><Relationship Id="rId61" Type="http://schemas.openxmlformats.org/officeDocument/2006/relationships/hyperlink" Target="https://www.bing.com/th?id=OSK.6c79585f63257659a414caa93c24807d&amp;qlt=95" TargetMode="External"/><Relationship Id="rId82" Type="http://schemas.openxmlformats.org/officeDocument/2006/relationships/hyperlink" Target="https://www.bing.com/images/search?form=xlimg&amp;q=South%20Africa" TargetMode="External"/><Relationship Id="rId19" Type="http://schemas.openxmlformats.org/officeDocument/2006/relationships/hyperlink" Target="https://www.bing.com/th?id=OSK.wOEE2XpZ-M_pGh9xjx31VbxK_LaumUmHIvmT8HlRZSE&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Srd>
</file>

<file path=xl/richData/rdarray.xml><?xml version="1.0" encoding="utf-8"?>
<arrayData xmlns="http://schemas.microsoft.com/office/spreadsheetml/2017/richdata2" count="165">
  <a r="1">
    <v t="r">17</v>
  </a>
  <a r="3">
    <v t="s">Modern Standard Arabic</v>
    <v t="s">Comorian languages</v>
    <v t="s">French language</v>
  </a>
  <a r="3">
    <v t="r">35</v>
    <v t="r">36</v>
    <v t="r">37</v>
  </a>
  <a r="1">
    <v t="s">Indian/Comoro</v>
  </a>
  <a r="1">
    <v t="r">51</v>
  </a>
  <a r="2">
    <v t="s">Swazi language</v>
    <v t="s">English language</v>
  </a>
  <a r="4">
    <v t="r">57</v>
    <v t="r">58</v>
    <v t="r">59</v>
    <v t="r">60</v>
  </a>
  <a r="2">
    <v t="s">South Africa Standard Time</v>
    <v t="s">Africa/Mbabane</v>
  </a>
  <a r="2">
    <v t="r">85</v>
    <v t="r">86</v>
  </a>
  <a r="1">
    <v t="s">Hausa language</v>
  </a>
  <a r="8">
    <v t="r">104</v>
    <v t="r">105</v>
    <v t="r">106</v>
    <v t="r">107</v>
    <v t="r">71</v>
    <v t="r">108</v>
    <v t="r">109</v>
    <v t="r">110</v>
  </a>
  <a r="1">
    <v t="s">Africa/Niamey</v>
  </a>
  <a r="1">
    <v t="r">139</v>
  </a>
  <a r="2">
    <v t="s">English language</v>
    <v t="s">French language</v>
  </a>
  <a r="10">
    <v t="r">156</v>
    <v t="r">157</v>
    <v t="r">158</v>
    <v t="r">159</v>
    <v t="r">160</v>
    <v t="r">161</v>
    <v t="r">162</v>
    <v t="r">163</v>
    <v t="r">164</v>
    <v t="r">165</v>
  </a>
  <a r="2">
    <v t="s">West Africa Time</v>
    <v t="s">Africa/Douala</v>
  </a>
  <a r="2">
    <v t="r">190</v>
    <v t="r">191</v>
  </a>
  <a r="1">
    <v t="s">Guinean Portuguese</v>
  </a>
  <a r="8">
    <v t="r">207</v>
    <v t="r">208</v>
    <v t="r">209</v>
    <v t="r">210</v>
    <v t="r">211</v>
    <v t="r">212</v>
    <v t="r">213</v>
    <v t="r">214</v>
  </a>
  <a r="1">
    <v t="s">Africa/Bissau</v>
  </a>
  <a r="4">
    <v t="r">240</v>
    <v t="r">241</v>
    <v t="r">242</v>
    <v t="r">243</v>
  </a>
  <a r="3">
    <v t="s">Equatoguinean Spanish</v>
    <v t="s">Equatoguinean Portuguese</v>
    <v t="s">French language</v>
  </a>
  <a r="6">
    <v t="r">254</v>
    <v t="r">255</v>
    <v t="r">256</v>
    <v t="r">257</v>
    <v t="r">258</v>
    <v t="r">259</v>
  </a>
  <a r="1">
    <v t="s">UTC+01:00</v>
  </a>
  <a r="2">
    <v t="r">287</v>
    <v t="r">288</v>
  </a>
  <a r="1">
    <v t="s">French language</v>
  </a>
  <a r="12">
    <v t="r">304</v>
    <v t="r">273</v>
    <v t="r">305</v>
    <v t="r">306</v>
    <v t="r">307</v>
    <v t="r">308</v>
    <v t="r">309</v>
    <v t="r">310</v>
    <v t="r">311</v>
    <v t="r">312</v>
    <v t="r">313</v>
    <v t="r">314</v>
  </a>
  <a r="1">
    <v t="s">Africa/Lubumbashi</v>
  </a>
  <a r="1">
    <v t="r">340</v>
  </a>
  <a r="3">
    <v t="s">Arabic</v>
    <v t="s">English language</v>
    <v t="s">Tigrinya language</v>
  </a>
  <a r="6">
    <v t="r">350</v>
    <v t="r">351</v>
    <v t="r">352</v>
    <v t="r">353</v>
    <v t="r">354</v>
    <v t="r">355</v>
  </a>
  <a r="1">
    <v t="s">Africa/Addis_Ababa</v>
  </a>
  <a r="2">
    <v t="r">380</v>
    <v t="r">381</v>
  </a>
  <a r="10">
    <v t="s">Bambara language</v>
    <v t="s">Minyanka language</v>
    <v t="s">Kassonke language</v>
    <v t="s">Bobo language</v>
    <v t="s">Soninke language</v>
    <v t="s">Hassaniya Arabic</v>
    <v t="s">Tamasheq language</v>
    <v t="s">Bozo language</v>
    <v t="s">Fula language</v>
    <v t="s">Maninka language</v>
  </a>
  <a r="9">
    <v t="r">399</v>
    <v t="r">400</v>
    <v t="r">368</v>
    <v t="r">401</v>
    <v t="r">402</v>
    <v t="r">403</v>
    <v t="r">404</v>
    <v t="r">405</v>
    <v t="r">406</v>
  </a>
  <a r="1">
    <v t="s">Africa/Bamako</v>
  </a>
  <a r="2">
    <v t="r">433</v>
    <v t="r">434</v>
  </a>
  <a r="1">
    <v t="s">English language</v>
  </a>
  <a r="9">
    <v t="r">452</v>
    <v t="r">453</v>
    <v t="r">454</v>
    <v t="r">455</v>
    <v t="r">456</v>
    <v t="r">457</v>
    <v t="r">458</v>
    <v t="r">459</v>
    <v t="r">460</v>
  </a>
  <a r="2">
    <v t="s">Central Africa Time</v>
    <v t="s">Africa/Gaborone</v>
  </a>
  <a r="4">
    <v t="r">489</v>
    <v t="r">490</v>
    <v t="r">491</v>
    <v t="r">492</v>
  </a>
  <a r="1">
    <v t="s">Nigerian English</v>
  </a>
  <a r="37">
    <v t="r">510</v>
    <v t="r">511</v>
    <v t="r">512</v>
    <v t="r">513</v>
    <v t="r">514</v>
    <v t="r">515</v>
    <v t="r">516</v>
    <v t="r">517</v>
    <v t="r">518</v>
    <v t="r">519</v>
    <v t="r">520</v>
    <v t="r">521</v>
    <v t="r">522</v>
    <v t="r">523</v>
    <v t="r">524</v>
    <v t="r">525</v>
    <v t="r">526</v>
    <v t="r">527</v>
    <v t="r">528</v>
    <v t="r">529</v>
    <v t="r">530</v>
    <v t="r">531</v>
    <v t="r">532</v>
    <v t="r">533</v>
    <v t="r">534</v>
    <v t="r">535</v>
    <v t="r">536</v>
    <v t="r">537</v>
    <v t="r">538</v>
    <v t="r">539</v>
    <v t="r">540</v>
    <v t="r">541</v>
    <v t="r">542</v>
    <v t="r">543</v>
    <v t="r">544</v>
    <v t="r">545</v>
    <v t="r">546</v>
  </a>
  <a r="1">
    <v t="s">West Africa Time</v>
  </a>
  <a r="2">
    <v t="r">572</v>
    <v t="r">573</v>
  </a>
  <a r="2">
    <v t="s">Arabic</v>
    <v t="s">French language</v>
  </a>
  <a r="10">
    <v t="r">590</v>
    <v t="r">591</v>
    <v t="r">592</v>
    <v t="r">593</v>
    <v t="r">594</v>
    <v t="r">595</v>
    <v t="r">596</v>
    <v t="r">597</v>
    <v t="r">598</v>
    <v t="r">560</v>
  </a>
  <a r="1">
    <v t="s">Africa/Ndjamena</v>
  </a>
  <a r="3">
    <v t="r">624</v>
    <v t="r">625</v>
    <v t="r">626</v>
  </a>
  <a r="3">
    <v t="s">Belgian French</v>
    <v t="s">English language</v>
    <v t="s">Kirundi</v>
  </a>
  <a r="17">
    <v t="r">643</v>
    <v t="r">644</v>
    <v t="r">645</v>
    <v t="r">646</v>
    <v t="r">647</v>
    <v t="r">648</v>
    <v t="r">649</v>
    <v t="r">650</v>
    <v t="r">651</v>
    <v t="r">652</v>
    <v t="r">653</v>
    <v t="r">654</v>
    <v t="r">655</v>
    <v t="r">656</v>
    <v t="r">657</v>
    <v t="r">658</v>
    <v t="r">659</v>
  </a>
  <a r="1">
    <v t="s">Africa/Bujumbura</v>
  </a>
  <a r="2">
    <v t="r">687</v>
    <v t="r">688</v>
  </a>
  <a r="14">
    <v t="r">703</v>
    <v t="r">704</v>
    <v t="r">705</v>
    <v t="r">706</v>
    <v t="r">707</v>
    <v t="r">708</v>
    <v t="r">709</v>
    <v t="r">710</v>
    <v t="r">711</v>
    <v t="r">712</v>
    <v t="r">713</v>
    <v t="r">714</v>
    <v t="r">715</v>
    <v t="r">716</v>
  </a>
  <a r="1">
    <v t="s">Africa/Dakar</v>
  </a>
  <a r="2">
    <v t="r">742</v>
    <v t="r">743</v>
  </a>
  <a r="2">
    <v t="s">Sango language</v>
    <v t="s">French language</v>
  </a>
  <a r="16">
    <v t="r">758</v>
    <v t="r">759</v>
    <v t="r">760</v>
    <v t="r">761</v>
    <v t="r">762</v>
    <v t="r">763</v>
    <v t="r">764</v>
    <v t="r">765</v>
    <v t="r">766</v>
    <v t="r">767</v>
    <v t="r">768</v>
    <v t="r">769</v>
    <v t="r">770</v>
    <v t="r">771</v>
    <v t="r">772</v>
    <v t="r">730</v>
  </a>
  <a r="1">
    <v t="s">Africa/Bangui</v>
  </a>
  <a r="2">
    <v t="r">800</v>
    <v t="r">801</v>
  </a>
  <a r="5">
    <v t="s">Amharic</v>
    <v t="s">Oromo language</v>
    <v t="s">Afar language</v>
    <v t="s">Tigrinya language</v>
    <v t="s">Somali language</v>
  </a>
  <a r="11">
    <v t="r">786</v>
    <v t="r">817</v>
    <v t="r">818</v>
    <v t="r">819</v>
    <v t="r">820</v>
    <v t="r">821</v>
    <v t="r">822</v>
    <v t="r">823</v>
    <v t="r">824</v>
    <v t="r">825</v>
    <v t="r">826</v>
  </a>
  <a r="2">
    <v t="s">East Africa Time</v>
    <v t="s">Africa/Asmara</v>
  </a>
  <a r="3">
    <v t="r">852</v>
    <v t="r">853</v>
    <v t="r">854</v>
  </a>
  <a r="5">
    <v t="r">870</v>
    <v t="r">871</v>
    <v t="r">872</v>
    <v t="r">873</v>
    <v t="r">874</v>
  </a>
  <a r="1">
    <v t="s">Africa/Banjul</v>
  </a>
  <a r="4">
    <v t="r">900</v>
    <v t="r">901</v>
    <v t="r">902</v>
    <v t="r">903</v>
  </a>
  <a r="1">
    <v t="s">Liberian English</v>
  </a>
  <a r="15">
    <v t="r">918</v>
    <v t="r">919</v>
    <v t="r">920</v>
    <v t="r">921</v>
    <v t="r">922</v>
    <v t="r">923</v>
    <v t="r">924</v>
    <v t="r">925</v>
    <v t="r">926</v>
    <v t="r">927</v>
    <v t="r">928</v>
    <v t="r">929</v>
    <v t="r">930</v>
    <v t="r">931</v>
    <v t="r">932</v>
  </a>
  <a r="1">
    <v t="s">Africa/Monrovia</v>
  </a>
  <a r="2">
    <v t="r">959</v>
    <v t="r">960</v>
  </a>
  <a r="23">
    <v t="r">945</v>
    <v t="r">975</v>
    <v t="r">976</v>
    <v t="r">977</v>
    <v t="r">978</v>
    <v t="r">979</v>
    <v t="r">980</v>
    <v t="r">981</v>
    <v t="r">982</v>
    <v t="r">983</v>
    <v t="r">984</v>
    <v t="r">985</v>
    <v t="r">986</v>
    <v t="r">987</v>
    <v t="r">988</v>
    <v t="r">989</v>
    <v t="r">990</v>
    <v t="r">991</v>
    <v t="r">992</v>
    <v t="r">993</v>
    <v t="r">994</v>
    <v t="r">995</v>
    <v t="r">996</v>
  </a>
  <a r="2">
    <v t="s">Central Africa Time Zone</v>
    <v t="s">West Africa Time Zone</v>
  </a>
  <a r="2">
    <v t="r">1022</v>
    <v t="r">1023</v>
  </a>
  <a r="1">
    <v t="r">1010</v>
  </a>
  <a r="1">
    <v t="s">Africa/Conakry</v>
  </a>
  <a r="2">
    <v t="r">1060</v>
    <v t="r">1061</v>
  </a>
  <a r="1">
    <v t="r">1075</v>
  </a>
  <a r="1">
    <v t="s">Africa/Juba</v>
  </a>
  <a r="2">
    <v t="r">1102</v>
    <v t="r">1103</v>
  </a>
  <a r="16">
    <v t="s">Ndau language</v>
    <v t="s">Tonga language</v>
    <v t="s">Venda language</v>
    <v t="s">Tsonga language</v>
    <v t="s">Zimbabwean English</v>
    <v t="s">Kalanga language</v>
    <v t="s">Tswana language</v>
    <v t="s">Zimbabwean sign languages</v>
    <v t="s">Sotho language</v>
    <v t="s">Nambya language</v>
    <v t="s">Tjwao dialect</v>
    <v t="s">Xhosa language</v>
    <v t="s">Shona language</v>
    <v t="s">Chewa language</v>
    <v t="s">Northern Ndebele language</v>
    <v t="s">Sena language</v>
  </a>
  <a r="9">
    <v t="r">1118</v>
    <v t="r">1119</v>
    <v t="r">1120</v>
    <v t="r">1121</v>
    <v t="r">1122</v>
    <v t="r">1123</v>
    <v t="r">1124</v>
    <v t="r">1125</v>
    <v t="r">1126</v>
  </a>
  <a r="1">
    <v t="s">Africa/Harare</v>
  </a>
  <a r="4">
    <v t="r">1152</v>
    <v t="r">1153</v>
    <v t="r">1154</v>
    <v t="r">1155</v>
  </a>
  <a r="1">
    <v t="s">Africa/Blantyre</v>
  </a>
  <a r="3">
    <v t="r">1195</v>
    <v t="r">1196</v>
    <v t="r">1197</v>
  </a>
  <a r="2">
    <v t="s">Ugandan English</v>
    <v t="s">Swahili</v>
  </a>
  <a r="112">
    <v t="r">1212</v>
    <v t="r">1213</v>
    <v t="r">1214</v>
    <v t="r">1215</v>
    <v t="r">1216</v>
    <v t="r">1217</v>
    <v t="r">1218</v>
    <v t="r">1219</v>
    <v t="r">1220</v>
    <v t="r">1221</v>
    <v t="r">1222</v>
    <v t="r">1223</v>
    <v t="r">1224</v>
    <v t="r">1225</v>
    <v t="r">1226</v>
    <v t="r">1227</v>
    <v t="r">1228</v>
    <v t="r">1229</v>
    <v t="r">1230</v>
    <v t="r">1231</v>
    <v t="r">1232</v>
    <v t="r">1233</v>
    <v t="r">1234</v>
    <v t="r">1235</v>
    <v t="r">1236</v>
    <v t="r">1237</v>
    <v t="r">1238</v>
    <v t="r">1239</v>
    <v t="r">1240</v>
    <v t="r">1241</v>
    <v t="r">1242</v>
    <v t="r">1243</v>
    <v t="r">1244</v>
    <v t="r">1245</v>
    <v t="r">1246</v>
    <v t="r">1247</v>
    <v t="r">1248</v>
    <v t="r">1249</v>
    <v t="r">1250</v>
    <v t="r">1251</v>
    <v t="r">1252</v>
    <v t="r">1253</v>
    <v t="r">1254</v>
    <v t="r">1255</v>
    <v t="r">1256</v>
    <v t="r">1257</v>
    <v t="r">1258</v>
    <v t="r">1259</v>
    <v t="r">1260</v>
    <v t="r">1261</v>
    <v t="r">1262</v>
    <v t="r">1263</v>
    <v t="r">1264</v>
    <v t="r">1265</v>
    <v t="r">1266</v>
    <v t="r">1267</v>
    <v t="r">1268</v>
    <v t="r">1269</v>
    <v t="r">1270</v>
    <v t="r">1271</v>
    <v t="r">1272</v>
    <v t="r">1273</v>
    <v t="r">1274</v>
    <v t="r">1275</v>
    <v t="r">1276</v>
    <v t="r">1277</v>
    <v t="r">1278</v>
    <v t="r">1279</v>
    <v t="r">1280</v>
    <v t="r">1281</v>
    <v t="r">1282</v>
    <v t="r">1283</v>
    <v t="r">1284</v>
    <v t="r">1285</v>
    <v t="r">1286</v>
    <v t="r">1287</v>
    <v t="r">1288</v>
    <v t="r">1289</v>
    <v t="r">1290</v>
    <v t="r">1291</v>
    <v t="r">1292</v>
    <v t="r">1293</v>
    <v t="r">1294</v>
    <v t="r">1295</v>
    <v t="r">1296</v>
    <v t="r">1297</v>
    <v t="r">1298</v>
    <v t="r">1299</v>
    <v t="r">1300</v>
    <v t="r">1301</v>
    <v t="r">1302</v>
    <v t="r">1303</v>
    <v t="r">1304</v>
    <v t="r">1305</v>
    <v t="r">1306</v>
    <v t="r">1307</v>
    <v t="r">1308</v>
    <v t="r">1309</v>
    <v t="r">1310</v>
    <v t="r">1311</v>
    <v t="r">1312</v>
    <v t="r">1313</v>
    <v t="r">1314</v>
    <v t="r">1315</v>
    <v t="r">1316</v>
    <v t="r">1317</v>
    <v t="r">1318</v>
    <v t="r">1319</v>
    <v t="r">1320</v>
    <v t="r">1321</v>
    <v t="r">1322</v>
    <v t="r">1323</v>
  </a>
  <a r="1">
    <v t="s">Africa/Kampala</v>
  </a>
  <a r="2">
    <v t="r">1348</v>
    <v t="r">1349</v>
  </a>
  <a r="2">
    <v t="s">Malagasy language</v>
    <v t="s">French language</v>
  </a>
  <a r="6">
    <v t="r">1365</v>
    <v t="r">1366</v>
    <v t="r">1367</v>
    <v t="r">1368</v>
    <v t="r">1369</v>
    <v t="r">1370</v>
  </a>
  <a r="1">
    <v t="s">Indian/Antananarivo</v>
  </a>
  <a r="3">
    <v t="r">1398</v>
    <v t="r">1399</v>
    <v t="r">1400</v>
  </a>
  <a r="9">
    <v t="r">1415</v>
    <v t="r">1416</v>
    <v t="r">1417</v>
    <v t="r">1418</v>
    <v t="r">1419</v>
    <v t="r">1420</v>
    <v t="r">1421</v>
    <v t="r">1422</v>
    <v t="r">1423</v>
  </a>
  <a r="1">
    <v t="s">Africa/Accra</v>
  </a>
  <a r="2">
    <v t="r">1448</v>
    <v t="r">1449</v>
  </a>
  <a r="2">
    <v t="s">South African English</v>
    <v t="s">Sotho language</v>
  </a>
  <a r="10">
    <v t="r">1464</v>
    <v t="r">1465</v>
    <v t="r">1466</v>
    <v t="r">1467</v>
    <v t="r">1468</v>
    <v t="r">1469</v>
    <v t="r">1470</v>
    <v t="r">1471</v>
    <v t="r">1472</v>
    <v t="r">1473</v>
  </a>
  <a r="1">
    <v t="s">Africa/Maseru</v>
  </a>
  <a r="5">
    <v t="r">1502</v>
    <v t="r">1503</v>
    <v t="r">1504</v>
    <v t="r">1505</v>
    <v t="r">1506</v>
  </a>
  <a r="2">
    <v t="s">English language</v>
    <v t="s">Swahili</v>
  </a>
  <a r="36">
    <v t="r">1521</v>
    <v t="r">1522</v>
    <v t="r">1523</v>
    <v t="r">1524</v>
    <v t="r">1525</v>
    <v t="r">1526</v>
    <v t="r">1527</v>
    <v t="r">1528</v>
    <v t="r">1529</v>
    <v t="r">1530</v>
    <v t="r">1531</v>
    <v t="r">1532</v>
    <v t="r">1533</v>
    <v t="r">1534</v>
    <v t="r">1535</v>
    <v t="r">1536</v>
    <v t="r">1537</v>
    <v t="r">1538</v>
    <v t="r">1539</v>
    <v t="r">1540</v>
    <v t="r">1541</v>
    <v t="r">1542</v>
    <v t="r">1543</v>
    <v t="r">1544</v>
    <v t="r">1545</v>
    <v t="r">1546</v>
    <v t="r">1547</v>
    <v t="r">1548</v>
    <v t="r">1501</v>
    <v t="r">1549</v>
    <v t="r">1550</v>
    <v t="r">1551</v>
    <v t="r">1552</v>
    <v t="r">1553</v>
    <v t="r">1554</v>
    <v t="r">1555</v>
  </a>
  <a r="2">
    <v t="s">East Africa Time</v>
    <v t="s">Africa/Dar_es_Salaam</v>
  </a>
  <a r="2">
    <v t="r">1581</v>
    <v t="r">1582</v>
  </a>
  <a r="2">
    <v t="s">Dyula language</v>
    <v t="s">Fula language</v>
  </a>
  <a r="13">
    <v t="r">1597</v>
    <v t="r">1598</v>
    <v t="r">1599</v>
    <v t="r">1600</v>
    <v t="r">1601</v>
    <v t="r">1602</v>
    <v t="r">1603</v>
    <v t="r">1604</v>
    <v t="r">1605</v>
    <v t="r">1606</v>
    <v t="r">1607</v>
    <v t="r">1608</v>
    <v t="r">1609</v>
  </a>
  <a r="1">
    <v t="s">Africa/Ouagadougou</v>
  </a>
  <a r="2">
    <v t="r">1636</v>
    <v t="r">1637</v>
  </a>
  <a r="12">
    <v t="r">1650</v>
    <v t="r">1651</v>
    <v t="r">1652</v>
    <v t="r">1653</v>
    <v t="r">1654</v>
    <v t="r">1655</v>
    <v t="r">1656</v>
    <v t="r">1657</v>
    <v t="r">1658</v>
    <v t="r">1659</v>
    <v t="r">1660</v>
    <v t="r">1661</v>
  </a>
  <a r="1">
    <v t="s">Africa/Porto-Novo</v>
  </a>
  <a r="2">
    <v t="r">1685</v>
    <v t="r">1686</v>
  </a>
  <a r="1">
    <v t="s">São Toméan Portuguese</v>
  </a>
  <a r="6">
    <v t="r">1699</v>
    <v t="r">1700</v>
    <v t="r">1701</v>
    <v t="r">1702</v>
    <v t="r">1703</v>
    <v t="r">1704</v>
  </a>
  <a r="1">
    <v t="s">Africa/Sao_Tome</v>
  </a>
  <a r="2">
    <v t="r">1730</v>
    <v t="r">1731</v>
  </a>
  <a r="1">
    <v t="s">Portuguese language</v>
  </a>
  <a r="11">
    <v t="r">1744</v>
    <v t="r">1745</v>
    <v t="r">1746</v>
    <v t="r">1747</v>
    <v t="r">1717</v>
    <v t="r">1748</v>
    <v t="r">1749</v>
    <v t="r">1750</v>
    <v t="r">1751</v>
    <v t="r">1752</v>
    <v t="r">1753</v>
  </a>
  <a r="1">
    <v t="s">Africa/Maputo</v>
  </a>
  <a r="2">
    <v t="r">1781</v>
    <v t="r">1782</v>
  </a>
  <a r="1">
    <v t="r">1798</v>
  </a>
  <a r="1">
    <v t="s">Africa/Nairobi</v>
  </a>
  <a r="2">
    <v t="r">1823</v>
    <v t="r">1824</v>
  </a>
  <a r="3">
    <v t="s">Seychellois Creole</v>
    <v t="s">English language</v>
    <v t="s">French language</v>
  </a>
  <a r="24">
    <v t="r">1838</v>
    <v t="r">1839</v>
    <v t="r">1840</v>
    <v t="r">1841</v>
    <v t="r">1842</v>
    <v t="r">1843</v>
    <v t="r">1844</v>
    <v t="r">1845</v>
    <v t="r">1846</v>
    <v t="r">1847</v>
    <v t="r">1848</v>
    <v t="r">1849</v>
    <v t="r">1850</v>
    <v t="r">1851</v>
    <v t="r">1852</v>
    <v t="r">1853</v>
    <v t="r">1854</v>
    <v t="r">1855</v>
    <v t="r">1856</v>
    <v t="r">1857</v>
    <v t="r">1858</v>
    <v t="r">1859</v>
    <v t="r">1860</v>
    <v t="r">1861</v>
  </a>
  <a r="1">
    <v t="s">Indian/Mahe</v>
  </a>
  <a r="4">
    <v t="r">1887</v>
    <v t="r">1888</v>
    <v t="r">1889</v>
    <v t="r">1890</v>
  </a>
  <a r="1">
    <v t="s">English</v>
  </a>
  <a r="14">
    <v t="r">1905</v>
    <v t="r">1906</v>
    <v t="r">1907</v>
    <v t="r">1908</v>
    <v t="r">1909</v>
    <v t="r">1910</v>
    <v t="r">1911</v>
    <v t="r">1912</v>
    <v t="r">1913</v>
    <v t="r">1914</v>
    <v t="r">1915</v>
    <v t="r">1916</v>
    <v t="r">1917</v>
    <v t="r">1918</v>
  </a>
  <a r="1">
    <v t="s">Africa/Windhoek</v>
  </a>
  <a r="2">
    <v t="r">1942</v>
    <v t="r">1943</v>
  </a>
  <a r="4">
    <v t="s">Kinyarwanda</v>
    <v t="s">English language</v>
    <v t="s">Swahili</v>
    <v t="s">French language</v>
  </a>
  <a r="5">
    <v t="r">1957</v>
    <v t="r">1958</v>
    <v t="r">1959</v>
    <v t="r">1960</v>
    <v t="r">1930</v>
  </a>
  <a r="1">
    <v t="s">Africa/Kigali</v>
  </a>
  <a r="3">
    <v t="r">1986</v>
    <v t="r">1987</v>
    <v t="r">1988</v>
  </a>
  <a r="1">
    <v t="s">Angolan Portuguese</v>
  </a>
  <a r="18">
    <v t="r">2003</v>
    <v t="r">2004</v>
    <v t="r">2005</v>
    <v t="r">2006</v>
    <v t="r">2007</v>
    <v t="r">2008</v>
    <v t="r">2009</v>
    <v t="r">2010</v>
    <v t="r">2011</v>
    <v t="r">2012</v>
    <v t="r">2013</v>
    <v t="r">2014</v>
    <v t="r">2015</v>
    <v t="r">2016</v>
    <v t="r">2017</v>
    <v t="r">2018</v>
    <v t="r">2019</v>
    <v t="r">2020</v>
  </a>
  <a r="1">
    <v t="s">Africa/Luanda</v>
  </a>
  <a r="4">
    <v t="r">2045</v>
    <v t="r">2046</v>
    <v t="r">2047</v>
    <v t="r">2048</v>
  </a>
  <a r="4">
    <v t="r">2064</v>
    <v t="r">2065</v>
    <v t="r">2066</v>
    <v t="r">2067</v>
  </a>
  <a r="1">
    <v t="s">Africa/Freetown</v>
  </a>
  <a r="2">
    <v t="r">2094</v>
    <v t="r">2095</v>
  </a>
  <a r="9">
    <v t="r">2109</v>
    <v t="r">2110</v>
    <v t="r">2111</v>
    <v t="r">2112</v>
    <v t="r">2113</v>
    <v t="r">2114</v>
    <v t="r">2115</v>
    <v t="r">2116</v>
    <v t="r">2117</v>
  </a>
  <a r="2">
    <v t="s">West Africa Time</v>
    <v t="s">Africa/Libreville</v>
  </a>
  <a r="2">
    <v t="r">2142</v>
    <v t="r">2143</v>
  </a>
  <a r="1">
    <v t="s">Cape Verdean Portuguese</v>
  </a>
  <a r="17">
    <v t="r">2157</v>
    <v t="r">2158</v>
    <v t="r">2159</v>
    <v t="r">2160</v>
    <v t="r">2161</v>
    <v t="r">2162</v>
    <v t="r">2163</v>
    <v t="r">2164</v>
    <v t="r">2165</v>
    <v t="r">2166</v>
    <v t="r">2167</v>
    <v t="r">2168</v>
    <v t="r">2169</v>
    <v t="r">2170</v>
    <v t="r">2171</v>
    <v t="r">2172</v>
    <v t="r">2173</v>
  </a>
  <a r="1">
    <v t="s">Cape Verde Time</v>
  </a>
  <a r="2">
    <v t="r">2201</v>
    <v t="r">2202</v>
  </a>
  <a r="12">
    <v t="s">South African English</v>
    <v t="s">Swazi language</v>
    <v t="s">Venda language</v>
    <v t="s">Tsonga language</v>
    <v t="s">Afrikaans</v>
    <v t="s">Tswana language</v>
    <v t="s">Sotho language</v>
    <v t="s">South African Sign Language</v>
    <v t="s">Xhosa language</v>
    <v t="s">Zulu language</v>
    <v t="s">Southern Ndebele language</v>
    <v t="s">Northern Sotho</v>
  </a>
  <a r="9">
    <v t="r">2218</v>
    <v t="r">2219</v>
    <v t="r">2220</v>
    <v t="r">2221</v>
    <v t="r">2222</v>
    <v t="r">2223</v>
    <v t="r">2224</v>
    <v t="r">2225</v>
    <v t="r">2226</v>
  </a>
  <a r="1">
    <v t="s">Africa/Johannesburg</v>
  </a>
  <a r="4">
    <v t="r">2253</v>
    <v t="r">2254</v>
    <v t="r">2255</v>
    <v t="r">2256</v>
  </a>
  <a r="10">
    <v t="r">2270</v>
    <v t="r">2271</v>
    <v t="r">2272</v>
    <v t="r">2273</v>
    <v t="r">2274</v>
    <v t="r">2275</v>
    <v t="r">2276</v>
    <v t="r">2277</v>
    <v t="r">2278</v>
    <v t="r">2279</v>
  </a>
  <a r="1">
    <v t="s">Africa/Lusaka</v>
  </a>
  <a r="3">
    <v t="r">2308</v>
    <v t="r">2309</v>
    <v t="r">2310</v>
  </a>
  <a r="1">
    <v t="s">African French</v>
  </a>
  <a r="1">
    <v t="s">Africa/Abidjan</v>
  </a>
  <a r="2">
    <v t="r">2348</v>
    <v t="r">2349</v>
  </a>
  <a r="5">
    <v t="r">2360</v>
    <v t="r">2361</v>
    <v t="r">2362</v>
    <v t="r">2363</v>
    <v t="r">2364</v>
  </a>
  <a r="1">
    <v t="s">Africa/Lome</v>
  </a>
  <a r="4">
    <v t="r">2391</v>
    <v t="r">2392</v>
    <v t="r">2393</v>
    <v t="r">2394</v>
  </a>
  <a r="4">
    <v t="s">De facto</v>
    <v t="s">English language</v>
    <v t="s">De jure</v>
    <v t="s">French language</v>
  </a>
  <a r="9">
    <v t="r">2410</v>
    <v t="r">2411</v>
    <v t="r">2412</v>
    <v t="r">2413</v>
    <v t="r">2414</v>
    <v t="r">2415</v>
    <v t="r">2416</v>
    <v t="r">2417</v>
    <v t="r">2418</v>
  </a>
  <a r="1">
    <v t="s">UTC+04:00</v>
  </a>
</arrayData>
</file>

<file path=xl/richData/rdrichvalue.xml><?xml version="1.0" encoding="utf-8"?>
<rvData xmlns="http://schemas.microsoft.com/office/spreadsheetml/2017/richdata" count="2425">
  <rv s="0">
    <v>536870912</v>
    <v>Comoros</v>
    <v>6af22449-1737-0f15-f74c-840d9437bb6c</v>
    <v>en-US</v>
    <v>Map</v>
  </rv>
  <rv s="1">
    <fb>0.71466950907040994</fb>
    <v>21</v>
  </rv>
  <rv s="1">
    <fb>2034</fb>
    <v>22</v>
  </rv>
  <rv s="1">
    <fb>31.881</fb>
    <v>23</v>
  </rv>
  <rv s="1">
    <fb>269</fb>
    <v>24</v>
  </rv>
  <rv s="0">
    <v>536870912</v>
    <v>Moroni, Comoros</v>
    <v>0be23b6b-ca84-8c80-f0e1-19990199cbb7</v>
    <v>en-US</v>
    <v>Map</v>
  </rv>
  <rv s="1">
    <fb>201.685</fb>
    <v>22</v>
  </rv>
  <rv s="1">
    <fb>103.623545846485</fb>
    <v>25</v>
  </rv>
  <rv s="1">
    <fb>-4.2948733153675304E-2</fb>
    <v>21</v>
  </rv>
  <rv s="1">
    <fb>4.2050000000000001</fb>
    <v>23</v>
  </rv>
  <rv s="1">
    <fb>0.196668443169007</fb>
    <v>21</v>
  </rv>
  <rv s="1">
    <fb>0</fb>
    <v>26</v>
  </rv>
  <rv s="1">
    <fb>1185728676.6511199</fb>
    <v>27</v>
  </rv>
  <rv s="1">
    <fb>0.99506629999999996</fb>
    <v>21</v>
  </rv>
  <rv s="1">
    <fb>8.9947800000000008E-2</fb>
    <v>21</v>
  </rv>
  <rv s="2">
    <v>0</v>
    <v>19</v>
    <v>2</v>
    <v>7</v>
    <v>0</v>
    <v>Image of Comoros</v>
  </rv>
  <rv s="1">
    <fb>51.3</fb>
    <v>26</v>
  </rv>
  <rv s="0">
    <v>805306368</v>
    <v>Azali Assoumani (President)</v>
    <v>a156117a-43da-0dfb-7082-a8286be01ed3</v>
    <v>en-US</v>
    <v>Generic</v>
  </rv>
  <rv s="3">
    <v>0</v>
  </rv>
  <rv s="4">
    <v>https://www.bing.com/search?q=comoros&amp;form=skydnc</v>
    <v>Learn more on Bing</v>
  </rv>
  <rv s="1">
    <fb>64.117999999999995</fb>
    <v>26</v>
  </rv>
  <rv s="1">
    <fb>273</fb>
    <v>26</v>
  </rv>
  <rv s="1">
    <fb>0.71</fb>
    <v>28</v>
  </rv>
  <rv s="3">
    <v>1</v>
  </rv>
  <rv s="1">
    <fb>0.74814352889999991</fb>
    <v>21</v>
  </rv>
  <rv s="1">
    <fb>0.27150000000000002</fb>
    <v>23</v>
  </rv>
  <rv s="1">
    <fb>911707</fb>
    <v>22</v>
  </rv>
  <rv s="1">
    <fb>0.222</fb>
    <v>21</v>
  </rv>
  <rv s="1">
    <fb>0.33700000000000002</fb>
    <v>21</v>
  </rv>
  <rv s="1">
    <fb>0.504</fb>
    <v>21</v>
  </rv>
  <rv s="1">
    <fb>1.6E-2</fb>
    <v>21</v>
  </rv>
  <rv s="1">
    <fb>4.4999999999999998E-2</fb>
    <v>21</v>
  </rv>
  <rv s="1">
    <fb>9.0999999999999998E-2</fb>
    <v>21</v>
  </rv>
  <rv s="1">
    <fb>0.13900000000000001</fb>
    <v>21</v>
  </rv>
  <rv s="1">
    <fb>0.432809982299805</fb>
    <v>21</v>
  </rv>
  <rv s="0">
    <v>536870912</v>
    <v>Grande Comore</v>
    <v>47a59938-1c0a-4e50-faa4-aab1417a1650</v>
    <v>en-US</v>
    <v>Map</v>
  </rv>
  <rv s="0">
    <v>536870912</v>
    <v>Anjouan</v>
    <v>e144d307-ad75-56bf-1d9e-9527a0d4079b</v>
    <v>en-US</v>
    <v>Map</v>
  </rv>
  <rv s="0">
    <v>536870912</v>
    <v>Mohéli</v>
    <v>48102dc4-2758-1cda-635f-211ab8855530</v>
    <v>en-US</v>
    <v>Map</v>
  </rv>
  <rv s="3">
    <v>2</v>
  </rv>
  <rv s="3">
    <v>3</v>
  </rv>
  <rv s="1">
    <fb>2.1959999999999997</fb>
    <v>21</v>
  </rv>
  <rv s="1">
    <fb>4.3359999656677202E-2</fb>
    <v>29</v>
  </rv>
  <rv s="1">
    <fb>248152</fb>
    <v>22</v>
  </rv>
  <rv s="5">
    <v>#VALUE!</v>
    <v>en-US</v>
    <v>6af22449-1737-0f15-f74c-840d9437bb6c</v>
    <v>536870912</v>
    <v>1</v>
    <v>14</v>
    <v>15</v>
    <v>Comoros</v>
    <v>17</v>
    <v>18</v>
    <v>Map</v>
    <v>19</v>
    <v>20</v>
    <v>KM</v>
    <v>1</v>
    <v>2</v>
    <v>3</v>
    <v>4</v>
    <v>5</v>
    <v>6</v>
    <v>7</v>
    <v>8</v>
    <v>KMF</v>
    <v>The Comoros, officially the Union of the Comoros, is an archipelagic country made up of three islands in Southeastern Africa, located at the northern end of the Mozambique Channel in the Indian Ocean. Its capital and largest city is Moroni. The ...</v>
    <v>9</v>
    <v>10</v>
    <v>11</v>
    <v>12</v>
    <v>13</v>
    <v>14</v>
    <v>15</v>
    <v>16</v>
    <v>5</v>
    <v>18</v>
    <v>19</v>
    <v>20</v>
    <v>21</v>
    <v>22</v>
    <v>Comoros</v>
    <v>Umodja Wa Massiwa</v>
    <v>23</v>
    <v>Comores</v>
    <v>24</v>
    <v>25</v>
    <v>26</v>
    <v>27</v>
    <v>28</v>
    <v>29</v>
    <v>30</v>
    <v>31</v>
    <v>32</v>
    <v>33</v>
    <v>34</v>
    <v>38</v>
    <v>39</v>
    <v>40</v>
    <v>41</v>
    <v>Comoros</v>
    <v>42</v>
    <v>mdp/vdpid/50</v>
  </rv>
  <rv s="0">
    <v>536870912</v>
    <v>Eswatini</v>
    <v>a1047ed0-3be6-d8ba-2ae9-d0e238489403</v>
    <v>en-US</v>
    <v>Map</v>
  </rv>
  <rv s="1">
    <fb>17364</fb>
    <v>22</v>
  </rv>
  <rv s="1">
    <fb>268</fb>
    <v>24</v>
  </rv>
  <rv s="0">
    <v>536870912</v>
    <v>Lobamba</v>
    <v>1756a6f8-92db-a8bd-96b7-cbc870775477</v>
    <v>en-US</v>
    <v>Map</v>
  </rv>
  <rv s="1">
    <fb>3791304348</fb>
    <v>27</v>
  </rv>
  <rv s="2">
    <v>1</v>
    <v>19</v>
    <v>31</v>
    <v>7</v>
    <v>0</v>
    <v>Image of Eswatini</v>
  </rv>
  <rv s="0">
    <v>536870912</v>
    <v>Mbabane</v>
    <v>f3c9c8f8-c428-f726-888f-c3b71b28e243</v>
    <v>en-US</v>
    <v>Map</v>
  </rv>
  <rv s="0">
    <v>805306368</v>
    <v>Mswati III (King)</v>
    <v>8c07d7b8-27c1-8597-4ce4-489d43b4ebad</v>
    <v>en-US</v>
    <v>Generic</v>
  </rv>
  <rv s="3">
    <v>4</v>
  </rv>
  <rv s="4">
    <v>https://www.bing.com/search?q=swaziland&amp;form=skydnc</v>
    <v>Learn more on Bing</v>
  </rv>
  <rv s="3">
    <v>5</v>
  </rv>
  <rv s="1">
    <fb>0.11312622850000001</fb>
    <v>21</v>
  </rv>
  <rv s="1">
    <fb>1137268</fb>
    <v>22</v>
  </rv>
  <rv s="0">
    <v>536870912</v>
    <v>Hhohho Region</v>
    <v>5cbb9867-68f0-dfae-31d8-260bb65cd9e2</v>
    <v>en-US</v>
    <v>Map</v>
  </rv>
  <rv s="0">
    <v>536870912</v>
    <v>Lubombo Region</v>
    <v>f44423b9-d145-3179-7b7b-d65466ca7d00</v>
    <v>en-US</v>
    <v>Map</v>
  </rv>
  <rv s="0">
    <v>536870912</v>
    <v>Manzini Region</v>
    <v>d988f9f5-25ba-5905-98dc-1d16a363997c</v>
    <v>en-US</v>
    <v>Map</v>
  </rv>
  <rv s="0">
    <v>536870912</v>
    <v>Shiselweni Region</v>
    <v>24c0af79-273c-8ef4-31a2-88770dcdb438</v>
    <v>en-US</v>
    <v>Map</v>
  </rv>
  <rv s="3">
    <v>6</v>
  </rv>
  <rv s="1">
    <fb>0.28600363200289097</fb>
    <v>21</v>
  </rv>
  <rv s="3">
    <v>7</v>
  </rv>
  <rv s="6">
    <v>#VALUE!</v>
    <v>en-US</v>
    <v>a1047ed0-3be6-d8ba-2ae9-d0e238489403</v>
    <v>536870912</v>
    <v>1</v>
    <v>33</v>
    <v>34</v>
    <v>Eswatini</v>
    <v>17</v>
    <v>18</v>
    <v>Map</v>
    <v>19</v>
    <v>35</v>
    <v>45</v>
    <v>46</v>
    <v>47</v>
    <v>SZL</v>
    <v>Eswatini or eSwatini, officially the Kingdom of eSwatini, is a landlocked country in Southern Africa. It is bordered by South Africa on all sides except the east, where it shares a border with Mozambique. At no more than 200 km north to south ...</v>
    <v>48</v>
    <v>49</v>
    <v>50</v>
    <v>52</v>
    <v>53</v>
    <v>Eswatini</v>
    <v>Nkulunkulu Mnikati wetibusiso temaSwati</v>
    <v>54</v>
    <v>Kingdom of Eswatini</v>
    <v>55</v>
    <v>56</v>
    <v>61</v>
    <v>62</v>
    <v>63</v>
    <v>Eswatini</v>
    <v>mdp/vdpid/260</v>
  </rv>
  <rv s="0">
    <v>536870912</v>
    <v>Niger</v>
    <v>1e2e2e3e-477e-d95f-bbf4-3ccf31b3f684</v>
    <v>en-US</v>
    <v>Map</v>
  </rv>
  <rv s="1">
    <fb>0.36063787795058</fb>
    <v>21</v>
  </rv>
  <rv s="1">
    <fb>1267000</fb>
    <v>22</v>
  </rv>
  <rv s="1">
    <fb>10000</fb>
    <v>22</v>
  </rv>
  <rv s="1">
    <fb>46.079000000000001</fb>
    <v>23</v>
  </rv>
  <rv s="1">
    <fb>227</fb>
    <v>24</v>
  </rv>
  <rv s="0">
    <v>536870912</v>
    <v>Niamey</v>
    <v>29005fbc-3404-89a3-0cf4-d85e20f4b1f2</v>
    <v>en-US</v>
    <v>Map</v>
  </rv>
  <rv s="1">
    <fb>2016.85</fb>
    <v>22</v>
  </rv>
  <rv s="1">
    <fb>109.323686827592</fb>
    <v>25</v>
  </rv>
  <rv s="1">
    <fb>-2.48979265070851E-2</fb>
    <v>21</v>
  </rv>
  <rv s="1">
    <fb>51.195008439899901</fb>
    <v>22</v>
  </rv>
  <rv s="1">
    <fb>6.9130000000000003</fb>
    <v>23</v>
  </rv>
  <rv s="1">
    <fb>8.9176598688398209E-3</fb>
    <v>21</v>
  </rv>
  <rv s="1">
    <fb>24.060368154274201</fb>
    <v>26</v>
  </rv>
  <rv s="1">
    <fb>0.88</fb>
    <v>28</v>
  </rv>
  <rv s="1">
    <fb>12928145120.0296</fb>
    <v>27</v>
  </rv>
  <rv s="1">
    <fb>0.74736199999999997</fb>
    <v>21</v>
  </rv>
  <rv s="1">
    <fb>4.4143499999999995E-2</fb>
    <v>21</v>
  </rv>
  <rv s="2">
    <v>2</v>
    <v>19</v>
    <v>37</v>
    <v>7</v>
    <v>0</v>
    <v>Image of Niger</v>
  </rv>
  <rv s="1">
    <fb>48</fb>
    <v>26</v>
  </rv>
  <rv s="0">
    <v>805306368</v>
    <v>Abdourahamane Tchiani (President)</v>
    <v>9ce891a0-d3cb-4f8d-ce46-99cac9105a72</v>
    <v>en-US</v>
    <v>Generic</v>
  </rv>
  <rv s="0">
    <v>805306368</v>
    <v>Ali Lamine Zeine (Prime minister)</v>
    <v>865ad091-813c-ac33-6861-161961856d39</v>
    <v>en-US</v>
    <v>Generic</v>
  </rv>
  <rv s="3">
    <v>8</v>
  </rv>
  <rv s="4">
    <v>https://www.bing.com/search?q=niger&amp;form=skydnc</v>
    <v>Learn more on Bing</v>
  </rv>
  <rv s="1">
    <fb>62.024000000000001</fb>
    <v>26</v>
  </rv>
  <rv s="1">
    <fb>509</fb>
    <v>26</v>
  </rv>
  <rv s="1">
    <fb>0.28999999999999998</fb>
    <v>28</v>
  </rv>
  <rv s="3">
    <v>9</v>
  </rv>
  <rv s="1">
    <fb>0.52270877110000002</fb>
    <v>21</v>
  </rv>
  <rv s="1">
    <fb>4.3299999999999998E-2</fb>
    <v>23</v>
  </rv>
  <rv s="1">
    <fb>27322555</fb>
    <v>22</v>
  </rv>
  <rv s="1">
    <fb>0.22</fb>
    <v>21</v>
  </rv>
  <rv s="1">
    <fb>0.27</fb>
    <v>21</v>
  </rv>
  <rv s="1">
    <fb>0.42399999999999999</fb>
    <v>21</v>
  </rv>
  <rv s="1">
    <fb>3.2000000000000001E-2</fb>
    <v>21</v>
  </rv>
  <rv s="1">
    <fb>7.8E-2</fb>
    <v>21</v>
  </rv>
  <rv s="1">
    <fb>0.11800000000000001</fb>
    <v>21</v>
  </rv>
  <rv s="1">
    <fb>0.16</fb>
    <v>21</v>
  </rv>
  <rv s="1">
    <fb>0.72041999816894497</fb>
    <v>21</v>
  </rv>
  <rv s="0">
    <v>536870912</v>
    <v>Agadez Region</v>
    <v>3cb7ca31-9f95-2c9d-da4b-97dc21d6b0c6</v>
    <v>en-US</v>
    <v>Map</v>
  </rv>
  <rv s="0">
    <v>536870912</v>
    <v>Diffa Region</v>
    <v>5ddbcdb9-c58e-cf5b-203c-466824bf69a3</v>
    <v>en-US</v>
    <v>Map</v>
  </rv>
  <rv s="0">
    <v>536870912</v>
    <v>Dosso Region</v>
    <v>d45c67fb-dacc-1fcc-db30-e79ef9c2deb2</v>
    <v>en-US</v>
    <v>Map</v>
  </rv>
  <rv s="0">
    <v>536870912</v>
    <v>Maradi Region</v>
    <v>6d284c2f-6f07-570f-a4df-7c5173553215</v>
    <v>en-US</v>
    <v>Map</v>
  </rv>
  <rv s="0">
    <v>536870912</v>
    <v>Tahoua Region</v>
    <v>a53edab2-3d59-f8e8-6b8d-c83092840f8d</v>
    <v>en-US</v>
    <v>Map</v>
  </rv>
  <rv s="0">
    <v>536870912</v>
    <v>Tillabéri Region</v>
    <v>279174a4-e5ed-e70e-f7df-72ad01266353</v>
    <v>en-US</v>
    <v>Map</v>
  </rv>
  <rv s="0">
    <v>536870912</v>
    <v>Zinder Region</v>
    <v>b2ff7346-5f64-439d-a3b7-834da06e28f8</v>
    <v>en-US</v>
    <v>Map</v>
  </rv>
  <rv s="3">
    <v>10</v>
  </rv>
  <rv s="1">
    <fb>0.117645285971099</fb>
    <v>21</v>
  </rv>
  <rv s="3">
    <v>11</v>
  </rv>
  <rv s="1">
    <fb>0.47200000000000003</fb>
    <v>21</v>
  </rv>
  <rv s="1">
    <fb>4.7499999403953601E-3</fb>
    <v>29</v>
  </rv>
  <rv s="1">
    <fb>3850231</fb>
    <v>22</v>
  </rv>
  <rv s="7">
    <v>#VALUE!</v>
    <v>en-US</v>
    <v>1e2e2e3e-477e-d95f-bbf4-3ccf31b3f684</v>
    <v>536870912</v>
    <v>1</v>
    <v>42</v>
    <v>43</v>
    <v>Niger</v>
    <v>17</v>
    <v>18</v>
    <v>Map</v>
    <v>19</v>
    <v>44</v>
    <v>NE</v>
    <v>66</v>
    <v>67</v>
    <v>68</v>
    <v>69</v>
    <v>70</v>
    <v>71</v>
    <v>72</v>
    <v>73</v>
    <v>74</v>
    <v>XOF</v>
    <v>Niger, officially the Republic of the Niger, is a landlocked country in West Africa. It is a unitary state bordered by Libya to the northeast, Chad to the east, Nigeria to the south, Benin and Burkina Faso to the southwest, Mali to the west, and ...</v>
    <v>75</v>
    <v>76</v>
    <v>77</v>
    <v>78</v>
    <v>79</v>
    <v>80</v>
    <v>81</v>
    <v>82</v>
    <v>83</v>
    <v>84</v>
    <v>71</v>
    <v>87</v>
    <v>88</v>
    <v>89</v>
    <v>90</v>
    <v>91</v>
    <v>Niger</v>
    <v>The Honor of the Fatherland</v>
    <v>92</v>
    <v>Jamhuriyar Nijar</v>
    <v>93</v>
    <v>94</v>
    <v>95</v>
    <v>96</v>
    <v>97</v>
    <v>98</v>
    <v>99</v>
    <v>100</v>
    <v>101</v>
    <v>102</v>
    <v>103</v>
    <v>111</v>
    <v>112</v>
    <v>113</v>
    <v>114</v>
    <v>115</v>
    <v>Niger</v>
    <v>116</v>
    <v>mdp/vdpid/173</v>
  </rv>
  <rv s="0">
    <v>536870912</v>
    <v>Cameroon</v>
    <v>8c7709c5-96e8-cb85-73ee-07b20a405a80</v>
    <v>en-US</v>
    <v>Map</v>
  </rv>
  <rv s="1">
    <fb>0.20625753633305799</fb>
    <v>21</v>
  </rv>
  <rv s="1">
    <fb>475442</fb>
    <v>22</v>
  </rv>
  <rv s="1">
    <fb>24000</fb>
    <v>22</v>
  </rv>
  <rv s="1">
    <fb>35.386000000000003</fb>
    <v>23</v>
  </rv>
  <rv s="1">
    <fb>237</fb>
    <v>24</v>
  </rv>
  <rv s="0">
    <v>536870912</v>
    <v>Yaoundé</v>
    <v>766b163a-0801-f2f1-c7e1-b1f176e69d79</v>
    <v>en-US</v>
    <v>Map</v>
  </rv>
  <rv s="1">
    <fb>8291.0869999999995</fb>
    <v>22</v>
  </rv>
  <rv s="1">
    <fb>118.64858829001101</fb>
    <v>25</v>
  </rv>
  <rv s="1">
    <fb>2.45280214062733E-2</fb>
    <v>21</v>
  </rv>
  <rv s="1">
    <fb>275.19791368061601</fb>
    <v>22</v>
  </rv>
  <rv s="1">
    <fb>4.5720000000000001</fb>
    <v>23</v>
  </rv>
  <rv s="1">
    <fb>0.39339129698969799</fb>
    <v>21</v>
  </rv>
  <rv s="1">
    <fb>38.3178571912403</fb>
    <v>26</v>
  </rv>
  <rv s="1">
    <fb>1.03</fb>
    <v>28</v>
  </rv>
  <rv s="1">
    <fb>38760467033.389</fb>
    <v>27</v>
  </rv>
  <rv s="1">
    <fb>1.0340212</fb>
    <v>21</v>
  </rv>
  <rv s="1">
    <fb>0.12760249999999998</fb>
    <v>21</v>
  </rv>
  <rv s="2">
    <v>3</v>
    <v>19</v>
    <v>46</v>
    <v>7</v>
    <v>0</v>
    <v>Image of Cameroon</v>
  </rv>
  <rv s="1">
    <fb>50.6</fb>
    <v>26</v>
  </rv>
  <rv s="0">
    <v>536870912</v>
    <v>Douala</v>
    <v>4b02786c-b458-b1b8-6627-9e69c000333d</v>
    <v>en-US</v>
    <v>Map</v>
  </rv>
  <rv s="0">
    <v>805306368</v>
    <v>Joseph Ngute (Prime minister)</v>
    <v>b132e36d-94bf-bb8f-1dd2-b5187e9ebdd2</v>
    <v>en-US</v>
    <v>Generic</v>
  </rv>
  <rv s="3">
    <v>12</v>
  </rv>
  <rv s="4">
    <v>https://www.bing.com/search?q=cameroon+africa&amp;form=skydnc</v>
    <v>Learn more on Bing</v>
  </rv>
  <rv s="1">
    <fb>58.920999999999999</fb>
    <v>26</v>
  </rv>
  <rv s="1">
    <fb>529</fb>
    <v>26</v>
  </rv>
  <rv s="1">
    <fb>0.35</fb>
    <v>28</v>
  </rv>
  <rv s="3">
    <v>13</v>
  </rv>
  <rv s="1">
    <fb>0.69744124340000002</fb>
    <v>21</v>
  </rv>
  <rv s="1">
    <fb>8.8099999999999998E-2</fb>
    <v>23</v>
  </rv>
  <rv s="1">
    <fb>31518954</fb>
    <v>22</v>
  </rv>
  <rv s="1">
    <fb>0.21600000000000003</fb>
    <v>21</v>
  </rv>
  <rv s="1">
    <fb>0.35</fb>
    <v>21</v>
  </rv>
  <rv s="1">
    <fb>0.51700000000000002</fb>
    <v>21</v>
  </rv>
  <rv s="1">
    <fb>1.7000000000000001E-2</fb>
    <v>21</v>
  </rv>
  <rv s="1">
    <fb>8.5000000000000006E-2</fb>
    <v>21</v>
  </rv>
  <rv s="1">
    <fb>0.13699999999999998</fb>
    <v>21</v>
  </rv>
  <rv s="1">
    <fb>0.76072998046874996</fb>
    <v>21</v>
  </rv>
  <rv s="0">
    <v>536870912</v>
    <v>Adamawa Region</v>
    <v>ea364202-9cbb-0bd1-f425-3dfbd4b853be</v>
    <v>en-US</v>
    <v>Map</v>
  </rv>
  <rv s="0">
    <v>536870912</v>
    <v>Centre Region</v>
    <v>b8f30351-a99d-e04a-5eba-3ba1a8f67116</v>
    <v>en-US</v>
    <v>Map</v>
  </rv>
  <rv s="0">
    <v>536870912</v>
    <v>East Region</v>
    <v>75236def-8934-9120-e28c-13c0e7ef0f96</v>
    <v>en-US</v>
    <v>Map</v>
  </rv>
  <rv s="0">
    <v>536870912</v>
    <v>Far North Region</v>
    <v>4200cd79-d585-ac9f-bef8-e3a9db1d9e8d</v>
    <v>en-US</v>
    <v>Map</v>
  </rv>
  <rv s="0">
    <v>536870912</v>
    <v>Littoral Region</v>
    <v>46cf6575-2793-7c53-4df1-029690a6c3c2</v>
    <v>en-US</v>
    <v>Map</v>
  </rv>
  <rv s="0">
    <v>536870912</v>
    <v>North Region</v>
    <v>ff5986da-25f1-a034-f5e2-861db60caa3d</v>
    <v>en-US</v>
    <v>Map</v>
  </rv>
  <rv s="0">
    <v>536870912</v>
    <v>Northwest Region</v>
    <v>cffa6127-d862-9e4d-9c09-aae670da8103</v>
    <v>en-US</v>
    <v>Map</v>
  </rv>
  <rv s="0">
    <v>536870912</v>
    <v>South Region</v>
    <v>d4472d38-434b-3101-0f55-fe963d1b4f77</v>
    <v>en-US</v>
    <v>Map</v>
  </rv>
  <rv s="0">
    <v>536870912</v>
    <v>Southwest Region</v>
    <v>f751fac2-a399-3ce8-bb99-d8b873227bfe</v>
    <v>en-US</v>
    <v>Map</v>
  </rv>
  <rv s="0">
    <v>536870912</v>
    <v>West Region</v>
    <v>de1eb76f-3ea1-e0b5-c89c-6e2c4bdd12c9</v>
    <v>en-US</v>
    <v>Map</v>
  </rv>
  <rv s="3">
    <v>14</v>
  </rv>
  <rv s="1">
    <fb>0.12755300580402498</fb>
    <v>21</v>
  </rv>
  <rv s="3">
    <v>15</v>
  </rv>
  <rv s="1">
    <fb>0.57700000000000007</fb>
    <v>21</v>
  </rv>
  <rv s="1">
    <fb>3.3800001144409203E-2</fb>
    <v>29</v>
  </rv>
  <rv s="1">
    <fb>14741256</fb>
    <v>22</v>
  </rv>
  <rv s="7">
    <v>#VALUE!</v>
    <v>en-US</v>
    <v>8c7709c5-96e8-cb85-73ee-07b20a405a80</v>
    <v>536870912</v>
    <v>1</v>
    <v>49</v>
    <v>43</v>
    <v>Cameroon</v>
    <v>17</v>
    <v>18</v>
    <v>Map</v>
    <v>19</v>
    <v>50</v>
    <v>CM</v>
    <v>119</v>
    <v>120</v>
    <v>121</v>
    <v>122</v>
    <v>123</v>
    <v>124</v>
    <v>125</v>
    <v>126</v>
    <v>127</v>
    <v>XAF</v>
    <v>Cameroon, officially the Republic of Cameroon, is a country in Central Africa. It shares boundaries with Nigeria to the west and north, Chad to the northeast, the Central African Republic to the east, and Equatorial Guinea, Gabon, and the ...</v>
    <v>128</v>
    <v>129</v>
    <v>130</v>
    <v>131</v>
    <v>132</v>
    <v>133</v>
    <v>134</v>
    <v>135</v>
    <v>136</v>
    <v>137</v>
    <v>138</v>
    <v>140</v>
    <v>141</v>
    <v>142</v>
    <v>143</v>
    <v>144</v>
    <v>Cameroon</v>
    <v>O Cameroon, Cradle of Our Forefathers</v>
    <v>145</v>
    <v>Cameroun</v>
    <v>146</v>
    <v>147</v>
    <v>148</v>
    <v>149</v>
    <v>150</v>
    <v>151</v>
    <v>152</v>
    <v>31</v>
    <v>153</v>
    <v>154</v>
    <v>155</v>
    <v>166</v>
    <v>167</v>
    <v>168</v>
    <v>169</v>
    <v>170</v>
    <v>Cameroon</v>
    <v>171</v>
    <v>mdp/vdpid/49</v>
  </rv>
  <rv s="0">
    <v>536870912</v>
    <v>Guinea-Bissau</v>
    <v>2b158349-90cf-0644-1c79-0fcc7dc16938</v>
    <v>en-US</v>
    <v>Map</v>
  </rv>
  <rv s="1">
    <fb>0.579658605974395</fb>
    <v>21</v>
  </rv>
  <rv s="1">
    <fb>36125</fb>
    <v>22</v>
  </rv>
  <rv s="1">
    <fb>4000</fb>
    <v>22</v>
  </rv>
  <rv s="1">
    <fb>35.125</fb>
    <v>23</v>
  </rv>
  <rv s="1">
    <fb>245</fb>
    <v>24</v>
  </rv>
  <rv s="0">
    <v>536870912</v>
    <v>Bissau</v>
    <v>a9a6f15c-2262-bdda-140c-f882d9b20de0</v>
    <v>en-US</v>
    <v>Map</v>
  </rv>
  <rv s="1">
    <fb>293.36</fb>
    <v>22</v>
  </rv>
  <rv s="1">
    <fb>111.65129924559901</fb>
    <v>25</v>
  </rv>
  <rv s="1">
    <fb>1.3621489993150999E-2</fb>
    <v>21</v>
  </rv>
  <rv s="1">
    <fb>4.476</fb>
    <v>23</v>
  </rv>
  <rv s="1">
    <fb>0.69772403982930298</fb>
    <v>21</v>
  </rv>
  <rv s="1">
    <fb>1340389410.76003</fb>
    <v>27</v>
  </rv>
  <rv s="1">
    <fb>1.1868518000000001</fb>
    <v>21</v>
  </rv>
  <rv s="1">
    <fb>2.6432500000000001E-2</fb>
    <v>21</v>
  </rv>
  <rv s="2">
    <v>4</v>
    <v>19</v>
    <v>52</v>
    <v>7</v>
    <v>0</v>
    <v>Image of Guinea-Bissau</v>
  </rv>
  <rv s="1">
    <fb>54</fb>
    <v>26</v>
  </rv>
  <rv s="0">
    <v>805306368</v>
    <v>Horta Inta-A Na Man (President)</v>
    <v>aa1a92e4-45c0-c271-c20a-b51dd5f1bda9</v>
    <v>en-US</v>
    <v>Generic</v>
  </rv>
  <rv s="0">
    <v>805306368</v>
    <v>Ilídio Vieira Té (Prime minister)</v>
    <v>9dd35ea3-1b04-09c1-02c6-d79da5c01aec</v>
    <v>en-US</v>
    <v>Generic</v>
  </rv>
  <rv s="3">
    <v>16</v>
  </rv>
  <rv s="4">
    <v>https://www.bing.com/search?q=guinea-bissau&amp;form=skydnc</v>
    <v>Learn more on Bing</v>
  </rv>
  <rv s="1">
    <fb>58.003</fb>
    <v>26</v>
  </rv>
  <rv s="1">
    <fb>667</fb>
    <v>26</v>
  </rv>
  <rv s="1">
    <fb>0.16</fb>
    <v>28</v>
  </rv>
  <rv s="3">
    <v>17</v>
  </rv>
  <rv s="1">
    <fb>0.371643746</fb>
    <v>21</v>
  </rv>
  <rv s="1">
    <fb>0.12740000000000001</fb>
    <v>23</v>
  </rv>
  <rv s="1">
    <fb>2187293</fb>
    <v>22</v>
  </rv>
  <rv s="1">
    <fb>0.183</fb>
    <v>21</v>
  </rv>
  <rv s="1">
    <fb>0.42</fb>
    <v>21</v>
  </rv>
  <rv s="1">
    <fb>0.56700000000000006</fb>
    <v>21</v>
  </rv>
  <rv s="1">
    <fb>8.3000000000000004E-2</fb>
    <v>21</v>
  </rv>
  <rv s="1">
    <fb>0.122</fb>
    <v>21</v>
  </rv>
  <rv s="1">
    <fb>0.71963996887207005</fb>
    <v>21</v>
  </rv>
  <rv s="0">
    <v>536870912</v>
    <v>Bafatá region</v>
    <v>91605cf5-93cc-80a3-a10c-015c377ae137</v>
    <v>en-US</v>
    <v>Map</v>
  </rv>
  <rv s="0">
    <v>536870912</v>
    <v>Biombo region</v>
    <v>e208f786-1204-e391-34ca-fb9ba563ae4b</v>
    <v>en-US</v>
    <v>Map</v>
  </rv>
  <rv s="0">
    <v>536870912</v>
    <v>Bolama region</v>
    <v>302fd795-7e47-9d8d-4aab-f796383f8d94</v>
    <v>en-US</v>
    <v>Map</v>
  </rv>
  <rv s="0">
    <v>536870912</v>
    <v>Cacheu region</v>
    <v>e372f4d7-f49b-89e1-140b-9cf8e7757317</v>
    <v>en-US</v>
    <v>Map</v>
  </rv>
  <rv s="0">
    <v>536870912</v>
    <v>Gabú region</v>
    <v>71cfda47-3a17-3b1b-9890-f7fd85fb7011</v>
    <v>en-US</v>
    <v>Map</v>
  </rv>
  <rv s="0">
    <v>536870912</v>
    <v>Oio region</v>
    <v>f2d6f99f-a3fb-0995-d131-ad205eb7e831</v>
    <v>en-US</v>
    <v>Map</v>
  </rv>
  <rv s="0">
    <v>536870912</v>
    <v>Quinara region</v>
    <v>6baa62bc-a0a2-ad90-8d9a-0486878af1f7</v>
    <v>en-US</v>
    <v>Map</v>
  </rv>
  <rv s="0">
    <v>536870912</v>
    <v>Tombali region</v>
    <v>3d55c159-5567-abc5-bdef-a07165cd7299</v>
    <v>en-US</v>
    <v>Map</v>
  </rv>
  <rv s="3">
    <v>18</v>
  </rv>
  <rv s="1">
    <fb>0.10322833200828101</fb>
    <v>21</v>
  </rv>
  <rv s="3">
    <v>19</v>
  </rv>
  <rv s="1">
    <fb>0.45500000000000002</fb>
    <v>21</v>
  </rv>
  <rv s="1">
    <fb>2.46600008010864E-2</fb>
    <v>29</v>
  </rv>
  <rv s="1">
    <fb>840922</fb>
    <v>22</v>
  </rv>
  <rv s="8">
    <v>#VALUE!</v>
    <v>en-US</v>
    <v>2b158349-90cf-0644-1c79-0fcc7dc16938</v>
    <v>536870912</v>
    <v>1</v>
    <v>55</v>
    <v>56</v>
    <v>Guinea-Bissau</v>
    <v>17</v>
    <v>18</v>
    <v>Map</v>
    <v>19</v>
    <v>57</v>
    <v>GW</v>
    <v>174</v>
    <v>175</v>
    <v>176</v>
    <v>177</v>
    <v>178</v>
    <v>179</v>
    <v>180</v>
    <v>181</v>
    <v>182</v>
    <v>XOF</v>
    <v>Guinea-Bissau, officially the Republic of Guinea-Bissau, is a country in West Africa that covers 36,125 square kilometres with an estimated population of 2,080,000. It borders Senegal to its north and Guinea to its southeast.</v>
    <v>183</v>
    <v>184</v>
    <v>11</v>
    <v>185</v>
    <v>186</v>
    <v>187</v>
    <v>188</v>
    <v>189</v>
    <v>179</v>
    <v>192</v>
    <v>193</v>
    <v>194</v>
    <v>195</v>
    <v>196</v>
    <v>Guinea-Bissau</v>
    <v>Esta É a Nossa Pátria Amada</v>
    <v>197</v>
    <v>Guinea-Bissau</v>
    <v>198</v>
    <v>199</v>
    <v>200</v>
    <v>201</v>
    <v>202</v>
    <v>203</v>
    <v>30</v>
    <v>31</v>
    <v>204</v>
    <v>205</v>
    <v>206</v>
    <v>215</v>
    <v>216</v>
    <v>217</v>
    <v>218</v>
    <v>219</v>
    <v>Guinea-Bissau</v>
    <v>220</v>
    <v>mdp/vdpid/196</v>
  </rv>
  <rv s="0">
    <v>536870912</v>
    <v>Equatorial Guinea</v>
    <v>d592e294-4288-2e5b-b5c2-c21e3ee0d1a1</v>
    <v>en-US</v>
    <v>Map</v>
  </rv>
  <rv s="1">
    <fb>0.10124777183600701</fb>
    <v>21</v>
  </rv>
  <rv s="1">
    <fb>28051</fb>
    <v>22</v>
  </rv>
  <rv s="1">
    <fb>1000</fb>
    <v>22</v>
  </rv>
  <rv s="1">
    <fb>33.241</fb>
    <v>23</v>
  </rv>
  <rv s="1">
    <fb>240</fb>
    <v>24</v>
  </rv>
  <rv s="0">
    <v>536870912</v>
    <v>Ciudad de la Paz</v>
    <v>82d4085e-1ec6-42d5-826a-bd2c46b791ac</v>
    <v>en-US</v>
    <v>Map</v>
  </rv>
  <rv s="1">
    <fb>5654.5140000000001</fb>
    <v>22</v>
  </rv>
  <rv s="1">
    <fb>124.346722780622</fb>
    <v>25</v>
  </rv>
  <rv s="1">
    <fb>1.2386986020510899E-2</fb>
    <v>21</v>
  </rv>
  <rv s="1">
    <fb>4.5129999999999999</fb>
    <v>23</v>
  </rv>
  <rv s="1">
    <fb>0.55486631886419202</fb>
    <v>21</v>
  </rv>
  <rv s="1">
    <fb>11026774945.341499</fb>
    <v>27</v>
  </rv>
  <rv s="1">
    <fb>0.61775150000000001</fb>
    <v>21</v>
  </rv>
  <rv s="1">
    <fb>1.8528800000000002E-2</fb>
    <v>21</v>
  </rv>
  <rv s="2">
    <v>5</v>
    <v>19</v>
    <v>59</v>
    <v>7</v>
    <v>0</v>
    <v>Image of Equatorial Guinea</v>
  </rv>
  <rv s="1">
    <fb>62.6</fb>
    <v>26</v>
  </rv>
  <rv s="0">
    <v>536870912</v>
    <v>Bata, Equatorial Guinea</v>
    <v>ec395f02-3185-12e2-9271-ab2e1d1e5deb</v>
    <v>en-US</v>
    <v>Map</v>
  </rv>
  <rv s="0">
    <v>805306368</v>
    <v>Teodoro Obiang Nguema Mbasogo (President)</v>
    <v>ff654507-17c8-d887-73af-fdce32a12e3e</v>
    <v>en-US</v>
    <v>Generic</v>
  </rv>
  <rv s="0">
    <v>805306368</v>
    <v>Teodoro Nguema Obiang Mangue (Vice president)</v>
    <v>cd01b474-cb2a-2f50-5ba5-246aa0df0201</v>
    <v>en-US</v>
    <v>Generic</v>
  </rv>
  <rv s="0">
    <v>805306368</v>
    <v>Manuel Osa Nsue Nsua (Prime minister)</v>
    <v>8012fe09-263a-9ac5-40e4-66c1583bc56f</v>
    <v>en-US</v>
    <v>Generic</v>
  </rv>
  <rv s="0">
    <v>805306368</v>
    <v>Joaquín Asong Owono Mbang (Chief justice)</v>
    <v>feaedb33-1fcd-76a0-886f-aca045b5518b</v>
    <v>en-US</v>
    <v>Generic</v>
  </rv>
  <rv s="3">
    <v>20</v>
  </rv>
  <rv s="4">
    <v>https://www.bing.com/search?q=equatorial+guinea&amp;form=skydnc</v>
    <v>Learn more on Bing</v>
  </rv>
  <rv s="1">
    <fb>58.402000000000001</fb>
    <v>26</v>
  </rv>
  <rv s="1">
    <fb>301</fb>
    <v>26</v>
  </rv>
  <rv s="1">
    <fb>1.05</fb>
    <v>28</v>
  </rv>
  <rv s="3">
    <v>21</v>
  </rv>
  <rv s="1">
    <fb>0.7198487268</fb>
    <v>21</v>
  </rv>
  <rv s="1">
    <fb>0.4</fb>
    <v>23</v>
  </rv>
  <rv s="1">
    <fb>1853559</fb>
    <v>22</v>
  </rv>
  <rv s="1">
    <fb>0.61966999053955096</fb>
    <v>21</v>
  </rv>
  <rv s="0">
    <v>536870912</v>
    <v>Bioko Norte</v>
    <v>14fc1409-3f1f-b855-2446-9ce14d0b5f3e</v>
    <v>en-US</v>
    <v>Map</v>
  </rv>
  <rv s="0">
    <v>536870912</v>
    <v>Bioko Sur</v>
    <v>dcd49031-0c35-b602-2add-827409efb255</v>
    <v>en-US</v>
    <v>Map</v>
  </rv>
  <rv s="0">
    <v>536870912</v>
    <v>Centro Sur</v>
    <v>99a10643-78ca-776e-ac63-0513f78fd3b5</v>
    <v>en-US</v>
    <v>Map</v>
  </rv>
  <rv s="0">
    <v>536870912</v>
    <v>Kié-Ntem</v>
    <v>204a3e52-8eb7-0732-eacd-6291775ec8c0</v>
    <v>en-US</v>
    <v>Map</v>
  </rv>
  <rv s="0">
    <v>536870912</v>
    <v>Litoral</v>
    <v>047e4980-33aa-8d25-c0ce-06e32be00646</v>
    <v>en-US</v>
    <v>Map</v>
  </rv>
  <rv s="0">
    <v>536870912</v>
    <v>Wele-Nzas</v>
    <v>84e2e94c-ab91-a60f-13e1-f7470b791925</v>
    <v>en-US</v>
    <v>Map</v>
  </rv>
  <rv s="3">
    <v>22</v>
  </rv>
  <rv s="1">
    <fb>6.0845982822971802E-2</fb>
    <v>21</v>
  </rv>
  <rv s="3">
    <v>23</v>
  </rv>
  <rv s="1">
    <fb>0.79400000000000004</fb>
    <v>21</v>
  </rv>
  <rv s="1">
    <fb>6.4330000877380403E-2</fb>
    <v>29</v>
  </rv>
  <rv s="1">
    <fb>984812</fb>
    <v>22</v>
  </rv>
  <rv s="9">
    <v>#VALUE!</v>
    <v>en-US</v>
    <v>d592e294-4288-2e5b-b5c2-c21e3ee0d1a1</v>
    <v>536870912</v>
    <v>1</v>
    <v>62</v>
    <v>63</v>
    <v>Equatorial Guinea</v>
    <v>17</v>
    <v>18</v>
    <v>Map</v>
    <v>19</v>
    <v>64</v>
    <v>GQ</v>
    <v>223</v>
    <v>224</v>
    <v>225</v>
    <v>226</v>
    <v>227</v>
    <v>228</v>
    <v>229</v>
    <v>230</v>
    <v>231</v>
    <v>XAF</v>
    <v>Equatorial Guinea, officially the Republic of Equatorial Guinea, is a country on the west coast of Central Africa. It has an area of 28,000 square kilometres. Formerly the colony of Spanish Guinea, its post-independence name refers to its ...</v>
    <v>232</v>
    <v>233</v>
    <v>11</v>
    <v>234</v>
    <v>235</v>
    <v>236</v>
    <v>237</v>
    <v>238</v>
    <v>239</v>
    <v>244</v>
    <v>245</v>
    <v>246</v>
    <v>247</v>
    <v>248</v>
    <v>Equatorial Guinea</v>
    <v>National Anthem of Equatorial Guinea</v>
    <v>249</v>
    <v>Guinée équatoriale</v>
    <v>250</v>
    <v>251</v>
    <v>252</v>
    <v>253</v>
    <v>260</v>
    <v>261</v>
    <v>262</v>
    <v>263</v>
    <v>264</v>
    <v>Equatorial Guinea</v>
    <v>265</v>
    <v>mdp/vdpid/69</v>
  </rv>
  <rv s="0">
    <v>536870912</v>
    <v>Republic of the Congo</v>
    <v>d348daf0-6f72-4058-aa09-8c7ed5e322ca</v>
    <v>en-US</v>
    <v>Map</v>
  </rv>
  <rv s="1">
    <fb>0.31118594436310398</fb>
    <v>21</v>
  </rv>
  <rv s="1">
    <fb>342000</fb>
    <v>22</v>
  </rv>
  <rv s="1">
    <fb>12000</fb>
    <v>22</v>
  </rv>
  <rv s="1">
    <fb>32.862000000000002</fb>
    <v>23</v>
  </rv>
  <rv s="1">
    <fb>242</fb>
    <v>24</v>
  </rv>
  <rv s="0">
    <v>536870912</v>
    <v>Brazzaville</v>
    <v>63e3986d-f939-bd73-7be2-8bfd765b3a3e</v>
    <v>en-US</v>
    <v>Map</v>
  </rv>
  <rv s="1">
    <fb>3281.9650000000001</fb>
    <v>22</v>
  </rv>
  <rv s="1">
    <fb>124.740496075729</fb>
    <v>25</v>
  </rv>
  <rv s="1">
    <fb>2.20607305781522E-2</fb>
    <v>21</v>
  </rv>
  <rv s="1">
    <fb>202.872128916055</fb>
    <v>22</v>
  </rv>
  <rv s="1">
    <fb>4.4279999999999999</fb>
    <v>23</v>
  </rv>
  <rv s="1">
    <fb>0.65354610862005902</fb>
    <v>21</v>
  </rv>
  <rv s="1">
    <fb>40.480603383492301</fb>
    <v>26</v>
  </rv>
  <rv s="1">
    <fb>0.97</fb>
    <v>28</v>
  </rv>
  <rv s="1">
    <fb>10820591130.7349</fb>
    <v>27</v>
  </rv>
  <rv s="1">
    <fb>1.0664006000000001</fb>
    <v>21</v>
  </rv>
  <rv s="1">
    <fb>0.1266688</fb>
    <v>21</v>
  </rv>
  <rv s="2">
    <v>6</v>
    <v>19</v>
    <v>66</v>
    <v>7</v>
    <v>0</v>
    <v>Image of Republic of the Congo</v>
  </rv>
  <rv s="1">
    <fb>36.200000000000003</fb>
    <v>26</v>
  </rv>
  <rv s="0">
    <v>805306368</v>
    <v>Denis Sassou Nguesso (President)</v>
    <v>ba213a5c-a251-a613-593e-094d8c346678</v>
    <v>en-US</v>
    <v>Generic</v>
  </rv>
  <rv s="0">
    <v>805306368</v>
    <v>Anatole Collinet Makosso (Prime minister)</v>
    <v>d4504222-bb94-91a5-a0db-8c6709c4967b</v>
    <v>en-US</v>
    <v>Generic</v>
  </rv>
  <rv s="3">
    <v>24</v>
  </rv>
  <rv s="4">
    <v>https://www.bing.com/search?q=republic+of+the+congo&amp;form=skydnc</v>
    <v>Learn more on Bing</v>
  </rv>
  <rv s="1">
    <fb>64.290000000000006</fb>
    <v>26</v>
  </rv>
  <rv s="1">
    <fb>378</fb>
    <v>26</v>
  </rv>
  <rv s="3">
    <v>25</v>
  </rv>
  <rv s="1">
    <fb>0.43843710930000002</fb>
    <v>21</v>
  </rv>
  <rv s="1">
    <fb>0.1159</fb>
    <v>23</v>
  </rv>
  <rv s="1">
    <fb>6244005</fb>
    <v>22</v>
  </rv>
  <rv s="1">
    <fb>0.20699999999999999</fb>
    <v>21</v>
  </rv>
  <rv s="1">
    <fb>0.379</fb>
    <v>21</v>
  </rv>
  <rv s="1">
    <fb>0.53700000000000003</fb>
    <v>21</v>
  </rv>
  <rv s="1">
    <fb>4.2000000000000003E-2</fb>
    <v>21</v>
  </rv>
  <rv s="1">
    <fb>8.199999999999999E-2</fb>
    <v>21</v>
  </rv>
  <rv s="1">
    <fb>0.13200000000000001</fb>
    <v>21</v>
  </rv>
  <rv s="1">
    <fb>0.69447998046875004</fb>
    <v>21</v>
  </rv>
  <rv s="0">
    <v>536870912</v>
    <v>Bouenza Department</v>
    <v>d0582ea1-c222-f030-bfb3-b157dc51b466</v>
    <v>en-US</v>
    <v>Map</v>
  </rv>
  <rv s="0">
    <v>536870912</v>
    <v>Cuvette Department</v>
    <v>64377e94-f9d7-8f1e-6f02-a4f1872c966f</v>
    <v>en-US</v>
    <v>Map</v>
  </rv>
  <rv s="0">
    <v>536870912</v>
    <v>Cuvette-Ouest Department</v>
    <v>d249651c-02d0-a5f9-a845-3257cb92d63b</v>
    <v>en-US</v>
    <v>Map</v>
  </rv>
  <rv s="0">
    <v>536870912</v>
    <v>Kouilou Department</v>
    <v>e987f5e2-9949-6e83-3850-109b34c31025</v>
    <v>en-US</v>
    <v>Map</v>
  </rv>
  <rv s="0">
    <v>536870912</v>
    <v>Lékoumou Department</v>
    <v>b11a45c9-b4eb-7a1a-4f39-f6df1e83e4ff</v>
    <v>en-US</v>
    <v>Map</v>
  </rv>
  <rv s="0">
    <v>536870912</v>
    <v>Likouala Department</v>
    <v>aac5ca14-d404-d58d-d40e-83890f392d25</v>
    <v>en-US</v>
    <v>Map</v>
  </rv>
  <rv s="0">
    <v>536870912</v>
    <v>Niari Department</v>
    <v>874ced78-f2b8-4b4e-8b13-c630c613775e</v>
    <v>en-US</v>
    <v>Map</v>
  </rv>
  <rv s="0">
    <v>536870912</v>
    <v>Plateaux Department</v>
    <v>d5a4aaba-493e-3db5-a45a-1735438770a8</v>
    <v>en-US</v>
    <v>Map</v>
  </rv>
  <rv s="0">
    <v>536870912</v>
    <v>Pointe-Noire</v>
    <v>73c569d0-bb14-0000-b351-0b810f5e414e</v>
    <v>en-US</v>
    <v>Map</v>
  </rv>
  <rv s="0">
    <v>536870912</v>
    <v>Pool Department</v>
    <v>180c85ab-76f6-64a9-4dad-4e0f56c0e7cd</v>
    <v>en-US</v>
    <v>Map</v>
  </rv>
  <rv s="0">
    <v>536870912</v>
    <v>Sangha Department</v>
    <v>592836ed-6822-d700-36c7-3b3dc9382351</v>
    <v>en-US</v>
    <v>Map</v>
  </rv>
  <rv s="3">
    <v>26</v>
  </rv>
  <rv s="1">
    <fb>8.9637438631416988E-2</fb>
    <v>21</v>
  </rv>
  <rv s="3">
    <v>27</v>
  </rv>
  <rv s="1">
    <fb>0.54299999999999993</fb>
    <v>21</v>
  </rv>
  <rv s="1">
    <fb>9.4720001220703107E-2</fb>
    <v>29</v>
  </rv>
  <rv s="1">
    <fb>3625010</fb>
    <v>22</v>
  </rv>
  <rv s="10">
    <v>#VALUE!</v>
    <v>en-US</v>
    <v>d348daf0-6f72-4058-aa09-8c7ed5e322ca</v>
    <v>536870912</v>
    <v>1</v>
    <v>69</v>
    <v>70</v>
    <v>Republic of the Congo</v>
    <v>17</v>
    <v>18</v>
    <v>Map</v>
    <v>19</v>
    <v>71</v>
    <v>268</v>
    <v>269</v>
    <v>270</v>
    <v>271</v>
    <v>272</v>
    <v>273</v>
    <v>274</v>
    <v>275</v>
    <v>276</v>
    <v>XAF</v>
    <v>The Republic of the Congo, also known as Congo-Brazzaville, the Congo Republic or simply Congo, is a country located on the western coast of Central Africa to the west of the Congo River. It is bordered to the west by Gabon, to the northwest by ...</v>
    <v>277</v>
    <v>278</v>
    <v>279</v>
    <v>280</v>
    <v>281</v>
    <v>282</v>
    <v>283</v>
    <v>284</v>
    <v>285</v>
    <v>286</v>
    <v>273</v>
    <v>289</v>
    <v>290</v>
    <v>291</v>
    <v>292</v>
    <v>79</v>
    <v>Republic of the Congo</v>
    <v>La Congolaise</v>
    <v>293</v>
    <v>Repubilika ya Kongo</v>
    <v>294</v>
    <v>295</v>
    <v>296</v>
    <v>297</v>
    <v>298</v>
    <v>299</v>
    <v>30</v>
    <v>300</v>
    <v>301</v>
    <v>302</v>
    <v>303</v>
    <v>315</v>
    <v>316</v>
    <v>317</v>
    <v>318</v>
    <v>319</v>
    <v>Republic of the Congo</v>
    <v>320</v>
    <v>mdp/vdpid/43</v>
  </rv>
  <rv s="0">
    <v>536870912</v>
    <v>Eritrea</v>
    <v>73d5d021-9ab1-76b3-d656-15ebf379a215</v>
    <v>en-US</v>
    <v>Map</v>
  </rv>
  <rv s="1">
    <fb>0.75168316831683202</fb>
    <v>21</v>
  </rv>
  <rv s="1">
    <fb>117600</fb>
    <v>22</v>
  </rv>
  <rv s="1">
    <fb>202000</fb>
    <v>22</v>
  </rv>
  <rv s="1">
    <fb>30.302</fb>
    <v>23</v>
  </rv>
  <rv s="1">
    <fb>291</fb>
    <v>24</v>
  </rv>
  <rv s="0">
    <v>536870912</v>
    <v>Asmara</v>
    <v>2546f6dc-180c-2a8b-300b-1a74669a6fe4</v>
    <v>en-US</v>
    <v>Map</v>
  </rv>
  <rv s="1">
    <fb>711.39800000000002</fb>
    <v>22</v>
  </rv>
  <rv s="1">
    <fb>89.297604335071995</fb>
    <v>22</v>
  </rv>
  <rv s="1">
    <fb>4.056</fb>
    <v>23</v>
  </rv>
  <rv s="1">
    <fb>0.14906930451345901</fb>
    <v>21</v>
  </rv>
  <rv s="1">
    <fb>23.133447698713901</fb>
    <v>26</v>
  </rv>
  <rv s="1">
    <fb>2</fb>
    <v>28</v>
  </rv>
  <rv s="1">
    <fb>2065001626.0162599</fb>
    <v>27</v>
  </rv>
  <rv s="1">
    <fb>0.68433829999999995</fb>
    <v>21</v>
  </rv>
  <rv s="1">
    <fb>3.3625600000000005E-2</fb>
    <v>21</v>
  </rv>
  <rv s="2">
    <v>7</v>
    <v>19</v>
    <v>73</v>
    <v>7</v>
    <v>0</v>
    <v>Image of Eritrea</v>
  </rv>
  <rv s="1">
    <fb>31.3</fb>
    <v>26</v>
  </rv>
  <rv s="0">
    <v>805306368</v>
    <v>Isaias Afwerki (President)</v>
    <v>626836ed-17cf-094c-e3ec-28a6aa42391f</v>
    <v>en-US</v>
    <v>Generic</v>
  </rv>
  <rv s="3">
    <v>28</v>
  </rv>
  <rv s="4">
    <v>https://www.bing.com/search?q=eritrea&amp;form=skydnc</v>
    <v>Learn more on Bing</v>
  </rv>
  <rv s="1">
    <fb>65.941000000000003</fb>
    <v>26</v>
  </rv>
  <rv s="1">
    <fb>480</fb>
    <v>26</v>
  </rv>
  <rv s="3">
    <v>29</v>
  </rv>
  <rv s="1">
    <fb>0.52375347630000002</fb>
    <v>21</v>
  </rv>
  <rv s="1">
    <fb>6.2799999999999995E-2</fb>
    <v>23</v>
  </rv>
  <rv s="1">
    <fb>6416435</fb>
    <v>22</v>
  </rv>
  <rv s="1">
    <fb>0.78388000488281306</fb>
    <v>21</v>
  </rv>
  <rv s="0">
    <v>536870912</v>
    <v>Anseba region</v>
    <v>2e5df69b-7f59-075a-86b4-4370e0f6ec29</v>
    <v>en-US</v>
    <v>Map</v>
  </rv>
  <rv s="0">
    <v>536870912</v>
    <v>Central region</v>
    <v>c78dba88-7703-6c25-fd79-e2f55670a4ba</v>
    <v>en-US</v>
    <v>Map</v>
  </rv>
  <rv s="0">
    <v>536870912</v>
    <v>Gash-Barka region</v>
    <v>88add36e-dd8b-22ac-5fe5-955eca1d8cb7</v>
    <v>en-US</v>
    <v>Map</v>
  </rv>
  <rv s="0">
    <v>536870912</v>
    <v>Southern Red Sea region</v>
    <v>0d938faf-2dbc-b436-956b-82ee59131501</v>
    <v>en-US</v>
    <v>Map</v>
  </rv>
  <rv s="0">
    <v>536870912</v>
    <v>Northern Red Sea region</v>
    <v>750062eb-0c8d-278d-3653-5f7a3cc6e1e1</v>
    <v>en-US</v>
    <v>Map</v>
  </rv>
  <rv s="0">
    <v>536870912</v>
    <v>Southern region</v>
    <v>d37b6e37-4e40-3662-a0c2-03fa5f7dc9bc</v>
    <v>en-US</v>
    <v>Map</v>
  </rv>
  <rv s="3">
    <v>30</v>
  </rv>
  <rv s="3">
    <v>31</v>
  </rv>
  <rv s="1">
    <fb>0.83700000000000008</fb>
    <v>21</v>
  </rv>
  <rv s="1">
    <fb>5.1440000534057596E-2</fb>
    <v>29</v>
  </rv>
  <rv s="1">
    <fb>1149670</fb>
    <v>22</v>
  </rv>
  <rv s="11">
    <v>#VALUE!</v>
    <v>en-US</v>
    <v>73d5d021-9ab1-76b3-d656-15ebf379a215</v>
    <v>536870912</v>
    <v>1</v>
    <v>76</v>
    <v>77</v>
    <v>Eritrea</v>
    <v>17</v>
    <v>18</v>
    <v>Map</v>
    <v>19</v>
    <v>78</v>
    <v>ER</v>
    <v>323</v>
    <v>324</v>
    <v>325</v>
    <v>326</v>
    <v>327</v>
    <v>328</v>
    <v>329</v>
    <v>ERN</v>
    <v>Eritrea, officially the State of Eritrea, is a country in the Horn of Africa region of East Africa. Its capital and largest city is Asmara. The country is bordered by Ethiopia to the south, Sudan to the west, and Djibouti to the southeast. The ...</v>
    <v>330</v>
    <v>331</v>
    <v>332</v>
    <v>333</v>
    <v>334</v>
    <v>335</v>
    <v>336</v>
    <v>337</v>
    <v>338</v>
    <v>339</v>
    <v>328</v>
    <v>341</v>
    <v>342</v>
    <v>343</v>
    <v>344</v>
    <v>Eritrea</v>
    <v>Eritrea, Eritrea, Eritrea</v>
    <v>345</v>
    <v>دولة إرتريا</v>
    <v>346</v>
    <v>347</v>
    <v>348</v>
    <v>349</v>
    <v>356</v>
    <v>357</v>
    <v>358</v>
    <v>359</v>
    <v>Eritrea</v>
    <v>360</v>
    <v>mdp/vdpid/71</v>
  </rv>
  <rv s="0">
    <v>536870912</v>
    <v>Mali</v>
    <v>cb03b340-e63c-9100-b964-810a109c951b</v>
    <v>en-US</v>
    <v>Map</v>
  </rv>
  <rv s="1">
    <fb>0.337660528278383</fb>
    <v>21</v>
  </rv>
  <rv s="1">
    <fb>1240192</fb>
    <v>22</v>
  </rv>
  <rv s="1">
    <fb>18000</fb>
    <v>22</v>
  </rv>
  <rv s="1">
    <fb>41.542999999999999</fb>
    <v>23</v>
  </rv>
  <rv s="1">
    <fb>223</fb>
    <v>24</v>
  </rv>
  <rv s="0">
    <v>536870912</v>
    <v>Bamako</v>
    <v>36570696-0722-c230-e02f-48363a1eb2c0</v>
    <v>en-US</v>
    <v>Map</v>
  </rv>
  <rv s="1">
    <fb>3179.2890000000002</fb>
    <v>22</v>
  </rv>
  <rv s="1">
    <fb>108.726079750895</fb>
    <v>25</v>
  </rv>
  <rv s="1">
    <fb>-1.6582669484636801E-2</fb>
    <v>21</v>
  </rv>
  <rv s="1">
    <fb>5.8769999999999998</fb>
    <v>23</v>
  </rv>
  <rv s="1">
    <fb>3.79940828887304E-2</fb>
    <v>21</v>
  </rv>
  <rv s="1">
    <fb>1.1200000000000001</fb>
    <v>28</v>
  </rv>
  <rv s="1">
    <fb>17510141171.340302</fb>
    <v>27</v>
  </rv>
  <rv s="1">
    <fb>0.75600599999999996</fb>
    <v>21</v>
  </rv>
  <rv s="1">
    <fb>4.5168999999999994E-2</fb>
    <v>21</v>
  </rv>
  <rv s="2">
    <v>8</v>
    <v>19</v>
    <v>80</v>
    <v>7</v>
    <v>0</v>
    <v>Image of Mali</v>
  </rv>
  <rv s="1">
    <fb>62</fb>
    <v>26</v>
  </rv>
  <rv s="0">
    <v>805306368</v>
    <v>Assimi Goïta (President)</v>
    <v>342e173e-887f-3282-7adc-383a6ef45cd6</v>
    <v>en-US</v>
    <v>Generic</v>
  </rv>
  <rv s="0">
    <v>805306368</v>
    <v>Abdoulaye Maïga (Prime minister)</v>
    <v>43a0d807-df96-eb00-4d1b-4ab8e7c42ef7</v>
    <v>en-US</v>
    <v>Generic</v>
  </rv>
  <rv s="3">
    <v>32</v>
  </rv>
  <rv s="4">
    <v>https://www.bing.com/search?q=mali&amp;form=skydnc</v>
    <v>Learn more on Bing</v>
  </rv>
  <rv s="1">
    <fb>58.893000000000001</fb>
    <v>26</v>
  </rv>
  <rv s="1">
    <fb>562</fb>
    <v>26</v>
  </rv>
  <rv s="1">
    <fb>0.23</fb>
    <v>28</v>
  </rv>
  <rv s="3">
    <v>33</v>
  </rv>
  <rv s="1">
    <fb>0.46307496290000005</fb>
    <v>21</v>
  </rv>
  <rv s="1">
    <fb>0.12859999999999999</fb>
    <v>23</v>
  </rv>
  <rv s="1">
    <fb>22634423</fb>
    <v>22</v>
  </rv>
  <rv s="1">
    <fb>0.22500000000000001</fb>
    <v>21</v>
  </rv>
  <rv s="1">
    <fb>0.25700000000000001</fb>
    <v>21</v>
  </rv>
  <rv s="1">
    <fb>0.41299999999999998</fb>
    <v>21</v>
  </rv>
  <rv s="1">
    <fb>3.3000000000000002E-2</fb>
    <v>21</v>
  </rv>
  <rv s="1">
    <fb>0.08</fb>
    <v>21</v>
  </rv>
  <rv s="1">
    <fb>0.121</fb>
    <v>21</v>
  </rv>
  <rv s="1">
    <fb>0.16200000000000001</fb>
    <v>21</v>
  </rv>
  <rv s="1">
    <fb>0.7081300354003911</fb>
    <v>21</v>
  </rv>
  <rv s="0">
    <v>536870912</v>
    <v>Kayes Region</v>
    <v>1b608b9e-a98d-ad0a-dcee-094d4c484fbd</v>
    <v>en-US</v>
    <v>Map</v>
  </rv>
  <rv s="0">
    <v>536870912</v>
    <v>Koulikoro Region</v>
    <v>2bd39bdd-3736-a93c-d0e4-054c2801fd79</v>
    <v>en-US</v>
    <v>Map</v>
  </rv>
  <rv s="0">
    <v>536870912</v>
    <v>Sikasso Region</v>
    <v>2a095c2d-d3cc-f1a2-befa-11deec7e536f</v>
    <v>en-US</v>
    <v>Map</v>
  </rv>
  <rv s="0">
    <v>536870912</v>
    <v>Ségou Region</v>
    <v>609fb603-8312-80f3-9c23-4f986fc53a3e</v>
    <v>en-US</v>
    <v>Map</v>
  </rv>
  <rv s="0">
    <v>536870912</v>
    <v>Mopti Region</v>
    <v>62a291d5-a9c7-ad43-7309-bafc02a61a65</v>
    <v>en-US</v>
    <v>Map</v>
  </rv>
  <rv s="0">
    <v>536870912</v>
    <v>Tombouctou Region</v>
    <v>13d3585e-174a-78f7-0dda-1916db122d33</v>
    <v>en-US</v>
    <v>Map</v>
  </rv>
  <rv s="0">
    <v>536870912</v>
    <v>Gao Region</v>
    <v>625e3302-be1c-52fa-cc98-b124099e84fd</v>
    <v>en-US</v>
    <v>Map</v>
  </rv>
  <rv s="0">
    <v>536870912</v>
    <v>Kidal Region</v>
    <v>0d1b7009-70ec-e5d6-1a13-ae2a57637be9</v>
    <v>en-US</v>
    <v>Map</v>
  </rv>
  <rv s="3">
    <v>34</v>
  </rv>
  <rv s="1">
    <fb>0.116009205091107</fb>
    <v>21</v>
  </rv>
  <rv s="3">
    <v>35</v>
  </rv>
  <rv s="1">
    <fb>0.54500000000000004</fb>
    <v>21</v>
  </rv>
  <rv s="1">
    <fb>7.2239999771118196E-2</fb>
    <v>29</v>
  </rv>
  <rv s="1">
    <fb>8479688</fb>
    <v>22</v>
  </rv>
  <rv s="12">
    <v>#VALUE!</v>
    <v>en-US</v>
    <v>cb03b340-e63c-9100-b964-810a109c951b</v>
    <v>536870912</v>
    <v>1</v>
    <v>83</v>
    <v>84</v>
    <v>Mali</v>
    <v>17</v>
    <v>18</v>
    <v>Map</v>
    <v>19</v>
    <v>85</v>
    <v>ML</v>
    <v>363</v>
    <v>364</v>
    <v>365</v>
    <v>366</v>
    <v>367</v>
    <v>368</v>
    <v>369</v>
    <v>370</v>
    <v>371</v>
    <v>XOF</v>
    <v>Mali, officially the Republic of Mali, is a landlocked country in West Africa. It is the eighth-largest country in Africa and the 23rd largest country in the world, with an area of over 1,240,192 square kilometres.</v>
    <v>372</v>
    <v>373</v>
    <v>374</v>
    <v>375</v>
    <v>376</v>
    <v>377</v>
    <v>378</v>
    <v>379</v>
    <v>368</v>
    <v>382</v>
    <v>383</v>
    <v>384</v>
    <v>385</v>
    <v>386</v>
    <v>Mali</v>
    <v>Le Mali</v>
    <v>387</v>
    <v>Mali</v>
    <v>388</v>
    <v>389</v>
    <v>390</v>
    <v>391</v>
    <v>392</v>
    <v>393</v>
    <v>394</v>
    <v>395</v>
    <v>396</v>
    <v>397</v>
    <v>398</v>
    <v>407</v>
    <v>408</v>
    <v>409</v>
    <v>410</v>
    <v>411</v>
    <v>Mali</v>
    <v>412</v>
    <v>mdp/vdpid/157</v>
  </rv>
  <rv s="0">
    <v>536870912</v>
    <v>Botswana</v>
    <v>8aa19277-27e8-6def-a3e1-47929d921d30</v>
    <v>en-US</v>
    <v>Map</v>
  </rv>
  <rv s="1">
    <fb>0.45633016797019699</fb>
    <v>21</v>
  </rv>
  <rv s="1">
    <fb>581737</fb>
    <v>22</v>
  </rv>
  <rv s="1">
    <fb>9000</fb>
    <v>22</v>
  </rv>
  <rv s="1">
    <fb>24.821000000000002</fb>
    <v>23</v>
  </rv>
  <rv s="1">
    <fb>267</fb>
    <v>24</v>
  </rv>
  <rv s="0">
    <v>536870912</v>
    <v>Gaborone</v>
    <v>5609d0f5-9932-65c1-b698-73699641cba2</v>
    <v>en-US</v>
    <v>Map</v>
  </rv>
  <rv s="1">
    <fb>6340.2430000000004</fb>
    <v>22</v>
  </rv>
  <rv s="1">
    <fb>149.75369875886699</fb>
    <v>25</v>
  </rv>
  <rv s="1">
    <fb>2.7728644286333003E-2</fb>
    <v>21</v>
  </rv>
  <rv s="1">
    <fb>1815.5580686522301</fb>
    <v>22</v>
  </rv>
  <rv s="1">
    <fb>2.8740000000000001</fb>
    <v>23</v>
  </rv>
  <rv s="1">
    <fb>0.189469408795855</fb>
    <v>21</v>
  </rv>
  <rv s="1">
    <fb>74.6879840737883</fb>
    <v>26</v>
  </rv>
  <rv s="1">
    <fb>18340510789.4272</fb>
    <v>27</v>
  </rv>
  <rv s="1">
    <fb>1.0323838999999999</fb>
    <v>21</v>
  </rv>
  <rv s="1">
    <fb>0.24859970000000001</fb>
    <v>21</v>
  </rv>
  <rv s="2">
    <v>9</v>
    <v>19</v>
    <v>87</v>
    <v>7</v>
    <v>0</v>
    <v>Image of Botswana</v>
  </rv>
  <rv s="1">
    <fb>30</fb>
    <v>26</v>
  </rv>
  <rv s="0">
    <v>805306368</v>
    <v>Duma Boko (President)</v>
    <v>99d42fa7-7a54-7636-1483-f5420ad449a6</v>
    <v>en-US</v>
    <v>Generic</v>
  </rv>
  <rv s="0">
    <v>805306368</v>
    <v>Ndaba Gaolathe (Vice president)</v>
    <v>13b30f5f-dfc6-0ef3-881e-35a1e7a31481</v>
    <v>en-US</v>
    <v>Generic</v>
  </rv>
  <rv s="3">
    <v>36</v>
  </rv>
  <rv s="4">
    <v>https://www.bing.com/search?q=botswana&amp;form=skydnc</v>
    <v>Learn more on Bing</v>
  </rv>
  <rv s="1">
    <fb>69.275000000000006</fb>
    <v>26</v>
  </rv>
  <rv s="1">
    <fb>977610000</fb>
    <v>27</v>
  </rv>
  <rv s="1">
    <fb>144</fb>
    <v>26</v>
  </rv>
  <rv s="3">
    <v>37</v>
  </rv>
  <rv s="1">
    <fb>5.2608499999999996E-2</fb>
    <v>21</v>
  </rv>
  <rv s="1">
    <fb>0.36880000000000002</fb>
    <v>23</v>
  </rv>
  <rv s="1">
    <fb>2521534</fb>
    <v>22</v>
  </rv>
  <rv s="1">
    <fb>0.19500000000000001</fb>
    <v>21</v>
  </rv>
  <rv s="1">
    <fb>0.41499999999999998</fb>
    <v>21</v>
  </rv>
  <rv s="1">
    <fb>0.58499999999999996</fb>
    <v>21</v>
  </rv>
  <rv s="1">
    <fb>1.4999999999999999E-2</fb>
    <v>21</v>
  </rv>
  <rv s="1">
    <fb>3.9E-2</fb>
    <v>21</v>
  </rv>
  <rv s="1">
    <fb>7.0000000000000007E-2</fb>
    <v>21</v>
  </rv>
  <rv s="1">
    <fb>0.111</fb>
    <v>21</v>
  </rv>
  <rv s="1">
    <fb>0.70819999694824209</fb>
    <v>21</v>
  </rv>
  <rv s="0">
    <v>536870912</v>
    <v>Central District</v>
    <v>5a59f96f-2e8b-418f-ce75-352be10aa630</v>
    <v>en-US</v>
    <v>Map</v>
  </rv>
  <rv s="0">
    <v>536870912</v>
    <v>Ghanzi District</v>
    <v>1c8a9f6e-7b9d-d8cf-b717-90bd029cb152</v>
    <v>en-US</v>
    <v>Map</v>
  </rv>
  <rv s="0">
    <v>536870912</v>
    <v>Kgalagadi District</v>
    <v>2c25ab3f-f6f0-b1cc-9c70-b5fb8e82502c</v>
    <v>en-US</v>
    <v>Map</v>
  </rv>
  <rv s="0">
    <v>536870912</v>
    <v>Kgatleng District</v>
    <v>ac2497a9-9802-58ef-220d-ca6fd0c4f68c</v>
    <v>en-US</v>
    <v>Map</v>
  </rv>
  <rv s="0">
    <v>536870912</v>
    <v>Kweneng District</v>
    <v>18aefd8f-46c2-6167-c82a-acb3d55936b2</v>
    <v>en-US</v>
    <v>Map</v>
  </rv>
  <rv s="0">
    <v>536870912</v>
    <v>North-East District</v>
    <v>8c38eee8-a3d2-19ad-4893-f762c50add09</v>
    <v>en-US</v>
    <v>Map</v>
  </rv>
  <rv s="0">
    <v>536870912</v>
    <v>North-West District</v>
    <v>e72eefa7-02e2-3ed3-d2c9-5598ebb2288b</v>
    <v>en-US</v>
    <v>Map</v>
  </rv>
  <rv s="0">
    <v>536870912</v>
    <v>South-East District</v>
    <v>70f9f2fb-580d-debb-7ba5-fd99ee462d53</v>
    <v>en-US</v>
    <v>Map</v>
  </rv>
  <rv s="0">
    <v>536870912</v>
    <v>Southern District</v>
    <v>7171f0fe-bba5-fa98-90c5-d45a0d2077ab</v>
    <v>en-US</v>
    <v>Map</v>
  </rv>
  <rv s="3">
    <v>38</v>
  </rv>
  <rv s="1">
    <fb>0.19548510153898799</fb>
    <v>21</v>
  </rv>
  <rv s="3">
    <v>39</v>
  </rv>
  <rv s="1">
    <fb>0.251</fb>
    <v>21</v>
  </rv>
  <rv s="1">
    <fb>0.18193000793456998</fb>
    <v>29</v>
  </rv>
  <rv s="1">
    <fb>1616550</fb>
    <v>22</v>
  </rv>
  <rv s="13">
    <v>#VALUE!</v>
    <v>en-US</v>
    <v>8aa19277-27e8-6def-a3e1-47929d921d30</v>
    <v>536870912</v>
    <v>1</v>
    <v>90</v>
    <v>91</v>
    <v>Botswana</v>
    <v>17</v>
    <v>18</v>
    <v>Map</v>
    <v>19</v>
    <v>92</v>
    <v>BW</v>
    <v>415</v>
    <v>416</v>
    <v>417</v>
    <v>418</v>
    <v>419</v>
    <v>420</v>
    <v>421</v>
    <v>422</v>
    <v>423</v>
    <v>BWP</v>
    <v>Botswana, officially the Republic of Botswana, is a landlocked country in Southern Africa. Botswana is topographically flat, with approximately 70% of its territory being a part of the Kalahari Desert. It is bordered by South Africa to the south ...</v>
    <v>424</v>
    <v>425</v>
    <v>426</v>
    <v>427</v>
    <v>22</v>
    <v>428</v>
    <v>429</v>
    <v>430</v>
    <v>431</v>
    <v>432</v>
    <v>420</v>
    <v>435</v>
    <v>436</v>
    <v>437</v>
    <v>438</v>
    <v>439</v>
    <v>91</v>
    <v>Botswana</v>
    <v>Fatshe leno la rona</v>
    <v>440</v>
    <v>Botswana</v>
    <v>441</v>
    <v>442</v>
    <v>443</v>
    <v>444</v>
    <v>445</v>
    <v>446</v>
    <v>447</v>
    <v>448</v>
    <v>449</v>
    <v>450</v>
    <v>451</v>
    <v>461</v>
    <v>462</v>
    <v>463</v>
    <v>464</v>
    <v>465</v>
    <v>Botswana</v>
    <v>466</v>
    <v>mdp/vdpid/19</v>
  </rv>
  <rv s="0">
    <v>536870912</v>
    <v>Nigeria</v>
    <v>f8afbbd6-9c3e-02be-7cb2-eac695e2da02</v>
    <v>en-US</v>
    <v>Map</v>
  </rv>
  <rv s="1">
    <fb>0.77736420830725605</fb>
    <v>21</v>
  </rv>
  <rv s="1">
    <fb>923768</fb>
    <v>22</v>
  </rv>
  <rv s="1">
    <fb>215000</fb>
    <v>22</v>
  </rv>
  <rv s="1">
    <fb>37.905000000000001</fb>
    <v>23</v>
  </rv>
  <rv s="1">
    <fb>234</fb>
    <v>24</v>
  </rv>
  <rv s="0">
    <v>536870912</v>
    <v>Abuja</v>
    <v>c82a7acc-0007-36fc-7343-e970618e072d</v>
    <v>en-US</v>
    <v>Map</v>
  </rv>
  <rv s="1">
    <fb>120369.27499999999</fb>
    <v>22</v>
  </rv>
  <rv s="1">
    <fb>267.51151513417602</fb>
    <v>25</v>
  </rv>
  <rv s="1">
    <fb>0.113967949687168</fb>
    <v>21</v>
  </rv>
  <rv s="1">
    <fb>144.525462223266</fb>
    <v>22</v>
  </rv>
  <rv s="1">
    <fb>5.3869999999999996</fb>
    <v>23</v>
  </rv>
  <rv s="1">
    <fb>7.2283890579880203E-2</fb>
    <v>21</v>
  </rv>
  <rv s="1">
    <fb>18.876766756620999</fb>
    <v>26</v>
  </rv>
  <rv s="1">
    <fb>0.46</fb>
    <v>28</v>
  </rv>
  <rv s="1">
    <fb>448120428858.76898</fb>
    <v>27</v>
  </rv>
  <rv s="1">
    <fb>0.84725640000000002</fb>
    <v>21</v>
  </rv>
  <rv s="1">
    <fb>0.1017443</fb>
    <v>21</v>
  </rv>
  <rv s="2">
    <v>10</v>
    <v>19</v>
    <v>94</v>
    <v>7</v>
    <v>0</v>
    <v>Image of Nigeria</v>
  </rv>
  <rv s="1">
    <fb>75.7</fb>
    <v>26</v>
  </rv>
  <rv s="0">
    <v>536870912</v>
    <v>Lagos</v>
    <v>f9b45ba3-39cb-62a0-eb5c-1209a05fb3da</v>
    <v>en-US</v>
    <v>Map</v>
  </rv>
  <rv s="0">
    <v>805306368</v>
    <v>Bola Tinubu (President)</v>
    <v>0bab946b-fc6e-b461-0758-014e137942c4</v>
    <v>en-US</v>
    <v>Generic</v>
  </rv>
  <rv s="0">
    <v>805306368</v>
    <v>Kashim Shettima (Vice president)</v>
    <v>c19ad62c-de0d-617d-28ae-10ab8db975f8</v>
    <v>en-US</v>
    <v>Generic</v>
  </rv>
  <rv s="0">
    <v>805306368</v>
    <v>Tajudeen Abbas (Speaker)</v>
    <v>d3886a52-f1ee-65f9-9ef4-fdfa53130483</v>
    <v>en-US</v>
    <v>Generic</v>
  </rv>
  <rv s="0">
    <v>805306368</v>
    <v>Kudirat Kekere-Ekun (Chief justice)</v>
    <v>e0b78dc3-1346-97f8-4f68-5604a3efde81</v>
    <v>en-US</v>
    <v>Generic</v>
  </rv>
  <rv s="3">
    <v>40</v>
  </rv>
  <rv s="4">
    <v>https://www.bing.com/search?q=nigeria&amp;form=skydnc</v>
    <v>Learn more on Bing</v>
  </rv>
  <rv s="1">
    <fb>54.332000000000001</fb>
    <v>26</v>
  </rv>
  <rv s="1">
    <fb>43921600000</fb>
    <v>27</v>
  </rv>
  <rv s="1">
    <fb>917</fb>
    <v>26</v>
  </rv>
  <rv s="1">
    <fb>0.54</fb>
    <v>28</v>
  </rv>
  <rv s="3">
    <v>41</v>
  </rv>
  <rv s="1">
    <fb>0.72238616980000003</fb>
    <v>21</v>
  </rv>
  <rv s="1">
    <fb>0.38059999999999999</fb>
    <v>23</v>
  </rv>
  <rv s="1">
    <fb>244344065</fb>
    <v>22</v>
  </rv>
  <rv s="1">
    <fb>0.32700000000000001</fb>
    <v>21</v>
  </rv>
  <rv s="1">
    <fb>0.49</fb>
    <v>21</v>
  </rv>
  <rv s="1">
    <fb>0.02</fb>
    <v>21</v>
  </rv>
  <rv s="1">
    <fb>5.4000000000000006E-2</fb>
    <v>21</v>
  </rv>
  <rv s="1">
    <fb>9.6999999999999989E-2</fb>
    <v>21</v>
  </rv>
  <rv s="1">
    <fb>0.14400000000000002</fb>
    <v>21</v>
  </rv>
  <rv s="1">
    <fb>0.52907001495361294</fb>
    <v>21</v>
  </rv>
  <rv s="0">
    <v>536870912</v>
    <v>Abia State</v>
    <v>69b8a646-2ce1-bbd4-2133-6a3e8ccd7216</v>
    <v>en-US</v>
    <v>Map</v>
  </rv>
  <rv s="0">
    <v>536870912</v>
    <v>Adamawa State</v>
    <v>89e5889b-a771-6d19-8318-bdbc1b461471</v>
    <v>en-US</v>
    <v>Map</v>
  </rv>
  <rv s="0">
    <v>536870912</v>
    <v>Akwa Ibom State</v>
    <v>db375712-d1b5-7800-f3bf-f5682e9c4b9f</v>
    <v>en-US</v>
    <v>Map</v>
  </rv>
  <rv s="0">
    <v>536870912</v>
    <v>Anambra State</v>
    <v>a4e8fb7a-e9a1-e893-4f70-23580f99b653</v>
    <v>en-US</v>
    <v>Map</v>
  </rv>
  <rv s="0">
    <v>536870912</v>
    <v>Bauchi State</v>
    <v>72aa6eb8-97d7-2620-c490-937972d163b7</v>
    <v>en-US</v>
    <v>Map</v>
  </rv>
  <rv s="0">
    <v>536870912</v>
    <v>Bayelsa State</v>
    <v>df2489d2-29f0-e5cd-4972-a1eae029e08e</v>
    <v>en-US</v>
    <v>Map</v>
  </rv>
  <rv s="0">
    <v>536870912</v>
    <v>Benue State</v>
    <v>da448603-05b5-1cc7-5b90-e2f74bcb7e4b</v>
    <v>en-US</v>
    <v>Map</v>
  </rv>
  <rv s="0">
    <v>536870912</v>
    <v>Borno State</v>
    <v>f2c07e45-570f-e47c-13ec-ca77b5c8fadc</v>
    <v>en-US</v>
    <v>Map</v>
  </rv>
  <rv s="0">
    <v>536870912</v>
    <v>Cross River State</v>
    <v>ae57951f-2c0a-25da-f239-0d304fb7957b</v>
    <v>en-US</v>
    <v>Map</v>
  </rv>
  <rv s="0">
    <v>536870912</v>
    <v>Delta State</v>
    <v>2bf2d4ef-c065-a0b4-022f-0e19dee39b09</v>
    <v>en-US</v>
    <v>Map</v>
  </rv>
  <rv s="0">
    <v>536870912</v>
    <v>Ebonyi State</v>
    <v>4c7ea440-73b2-dafe-8923-4db635cf8052</v>
    <v>en-US</v>
    <v>Map</v>
  </rv>
  <rv s="0">
    <v>536870912</v>
    <v>Edo State</v>
    <v>9746883b-174d-225c-3658-96453ede7f6d</v>
    <v>en-US</v>
    <v>Map</v>
  </rv>
  <rv s="0">
    <v>536870912</v>
    <v>Ekiti State</v>
    <v>0c095d44-2cfe-b1f5-cd64-79be6091a31b</v>
    <v>en-US</v>
    <v>Map</v>
  </rv>
  <rv s="0">
    <v>536870912</v>
    <v>Enugu State</v>
    <v>3b086e6a-3058-6d2a-de5f-baecb67e0cba</v>
    <v>en-US</v>
    <v>Map</v>
  </rv>
  <rv s="0">
    <v>536870912</v>
    <v>Gombe State</v>
    <v>c151d028-70dc-772d-4ea0-e039483e1792</v>
    <v>en-US</v>
    <v>Map</v>
  </rv>
  <rv s="0">
    <v>536870912</v>
    <v>Imo State</v>
    <v>f23675dc-04a2-53d5-4cf1-d0b7dbeb81f0</v>
    <v>en-US</v>
    <v>Map</v>
  </rv>
  <rv s="0">
    <v>536870912</v>
    <v>Jigawa State</v>
    <v>ad936f43-f8d5-695e-67fe-01235468d235</v>
    <v>en-US</v>
    <v>Map</v>
  </rv>
  <rv s="0">
    <v>536870912</v>
    <v>Kaduna State</v>
    <v>a7b69a0f-8fdd-f577-c080-676a34d982f5</v>
    <v>en-US</v>
    <v>Map</v>
  </rv>
  <rv s="0">
    <v>536870912</v>
    <v>Kano State</v>
    <v>2aa68b5e-36e3-9059-a512-620918fc1982</v>
    <v>en-US</v>
    <v>Map</v>
  </rv>
  <rv s="0">
    <v>536870912</v>
    <v>Katsina State</v>
    <v>1ba9a23e-5c1c-5d07-a6f9-d9dd468364e6</v>
    <v>en-US</v>
    <v>Map</v>
  </rv>
  <rv s="0">
    <v>536870912</v>
    <v>Kebbi State</v>
    <v>fd975f01-e997-df8c-4f64-1fee0565999f</v>
    <v>en-US</v>
    <v>Map</v>
  </rv>
  <rv s="0">
    <v>536870912</v>
    <v>Kogi State</v>
    <v>5d30659c-4b14-04f8-8ac5-87b90f387204</v>
    <v>en-US</v>
    <v>Map</v>
  </rv>
  <rv s="0">
    <v>536870912</v>
    <v>Kwara State</v>
    <v>90b9bd60-65cf-3dfc-cae9-f9b1c9144511</v>
    <v>en-US</v>
    <v>Map</v>
  </rv>
  <rv s="0">
    <v>536870912</v>
    <v>Lagos State</v>
    <v>6b2d76ff-8165-4482-0d57-dd54baace481</v>
    <v>en-US</v>
    <v>Map</v>
  </rv>
  <rv s="0">
    <v>536870912</v>
    <v>Nasarawa State</v>
    <v>54e320be-1f01-765f-270a-0e37cfc1e3d3</v>
    <v>en-US</v>
    <v>Map</v>
  </rv>
  <rv s="0">
    <v>536870912</v>
    <v>Niger State</v>
    <v>5aaa0ce5-04d0-4e26-26b1-0e9999d947b5</v>
    <v>en-US</v>
    <v>Map</v>
  </rv>
  <rv s="0">
    <v>536870912</v>
    <v>Ogun State</v>
    <v>89c68e8c-3fbe-ea3a-5b78-bbe7a4b8a425</v>
    <v>en-US</v>
    <v>Map</v>
  </rv>
  <rv s="0">
    <v>536870912</v>
    <v>Ondo State</v>
    <v>74a24d20-a917-b2f1-c213-f1e7d4e97b6b</v>
    <v>en-US</v>
    <v>Map</v>
  </rv>
  <rv s="0">
    <v>536870912</v>
    <v>Osun State</v>
    <v>2c145d0d-29b4-3b0c-65ca-7da5ed30592a</v>
    <v>en-US</v>
    <v>Map</v>
  </rv>
  <rv s="0">
    <v>536870912</v>
    <v>Oyo State</v>
    <v>712d990a-9716-897a-2f3f-75a7abe71338</v>
    <v>en-US</v>
    <v>Map</v>
  </rv>
  <rv s="0">
    <v>536870912</v>
    <v>Plateau State</v>
    <v>1553fa7c-b7d1-d2b8-d1fa-0d027642e02e</v>
    <v>en-US</v>
    <v>Map</v>
  </rv>
  <rv s="0">
    <v>536870912</v>
    <v>Rivers State</v>
    <v>89671e89-503e-c579-0555-aa21f65a113c</v>
    <v>en-US</v>
    <v>Map</v>
  </rv>
  <rv s="0">
    <v>536870912</v>
    <v>Sokoto State</v>
    <v>8cef5263-b25e-1f7a-dcc4-b85f5a2d81f4</v>
    <v>en-US</v>
    <v>Map</v>
  </rv>
  <rv s="0">
    <v>536870912</v>
    <v>Taraba State</v>
    <v>ab8e951e-d2de-b17d-556a-131a8a77c6e8</v>
    <v>en-US</v>
    <v>Map</v>
  </rv>
  <rv s="0">
    <v>536870912</v>
    <v>Yobe State</v>
    <v>2daeda9e-391e-81ce-fbc9-6f5a21e532eb</v>
    <v>en-US</v>
    <v>Map</v>
  </rv>
  <rv s="0">
    <v>536870912</v>
    <v>Zamfara State</v>
    <v>67d27c6a-27da-4f16-656d-b93176fee807</v>
    <v>en-US</v>
    <v>Map</v>
  </rv>
  <rv s="0">
    <v>536870912</v>
    <v>Federal Capital Territory</v>
    <v>58b26f4f-fe98-5f41-4126-771b8d675bec</v>
    <v>en-US</v>
    <v>Map</v>
  </rv>
  <rv s="3">
    <v>42</v>
  </rv>
  <rv s="1">
    <fb>1.4825336684568799E-2</fb>
    <v>21</v>
  </rv>
  <rv s="3">
    <v>43</v>
  </rv>
  <rv s="1">
    <fb>0.34799999999999998</fb>
    <v>21</v>
  </rv>
  <rv s="1">
    <fb>8.0959997177124002E-2</fb>
    <v>29</v>
  </rv>
  <rv s="1">
    <fb>102806948</fb>
    <v>22</v>
  </rv>
  <rv s="13">
    <v>#VALUE!</v>
    <v>en-US</v>
    <v>f8afbbd6-9c3e-02be-7cb2-eac695e2da02</v>
    <v>536870912</v>
    <v>1</v>
    <v>97</v>
    <v>91</v>
    <v>Nigeria</v>
    <v>17</v>
    <v>18</v>
    <v>Map</v>
    <v>19</v>
    <v>98</v>
    <v>NG</v>
    <v>469</v>
    <v>470</v>
    <v>471</v>
    <v>472</v>
    <v>473</v>
    <v>474</v>
    <v>475</v>
    <v>476</v>
    <v>477</v>
    <v>NGN</v>
    <v>Nigeria, officially the Federal Republic of Nigeria, is a country in West Africa between the Sahel to the north and the Gulf of Guinea in the Atlantic Ocean to the south. It covers an area of 923,769 square kilometres. With a population of more ...</v>
    <v>478</v>
    <v>479</v>
    <v>480</v>
    <v>481</v>
    <v>482</v>
    <v>483</v>
    <v>484</v>
    <v>485</v>
    <v>486</v>
    <v>487</v>
    <v>488</v>
    <v>493</v>
    <v>494</v>
    <v>495</v>
    <v>496</v>
    <v>497</v>
    <v>498</v>
    <v>Nigeria</v>
    <v>Nigeria, We Hail Thee</v>
    <v>499</v>
    <v>Federal Republic of Nigeria</v>
    <v>500</v>
    <v>501</v>
    <v>502</v>
    <v>149</v>
    <v>503</v>
    <v>504</v>
    <v>505</v>
    <v>506</v>
    <v>507</v>
    <v>508</v>
    <v>509</v>
    <v>547</v>
    <v>548</v>
    <v>549</v>
    <v>550</v>
    <v>551</v>
    <v>Nigeria</v>
    <v>552</v>
    <v>mdp/vdpid/175</v>
  </rv>
  <rv s="0">
    <v>536870912</v>
    <v>Chad</v>
    <v>a4c8e535-adcc-f306-7c43-af497dc59c6f</v>
    <v>en-US</v>
    <v>Map</v>
  </rv>
  <rv s="1">
    <fb>0.39656130876747098</fb>
    <v>21</v>
  </rv>
  <rv s="1">
    <fb>1284000</fb>
    <v>22</v>
  </rv>
  <rv s="1">
    <fb>35000</fb>
    <v>22</v>
  </rv>
  <rv s="1">
    <fb>42.171999999999997</fb>
    <v>23</v>
  </rv>
  <rv s="1">
    <fb>235</fb>
    <v>24</v>
  </rv>
  <rv s="0">
    <v>536870912</v>
    <v>N'Djamena</v>
    <v>06606f25-1802-ff78-84e6-3456b810b99c</v>
    <v>en-US</v>
    <v>Map</v>
  </rv>
  <rv s="1">
    <fb>1015.759</fb>
    <v>22</v>
  </rv>
  <rv s="1">
    <fb>117.698204738763</fb>
    <v>25</v>
  </rv>
  <rv s="1">
    <fb>-9.7193917541935296E-3</fb>
    <v>21</v>
  </rv>
  <rv s="1">
    <fb>5.7469999999999999</fb>
    <v>23</v>
  </rv>
  <rv s="1">
    <fb>3.7709656149489804E-2</fb>
    <v>21</v>
  </rv>
  <rv s="1">
    <fb>0.78</fb>
    <v>28</v>
  </rv>
  <rv s="1">
    <fb>11314951342.780701</fb>
    <v>27</v>
  </rv>
  <rv s="1">
    <fb>0.86846869999999998</fb>
    <v>21</v>
  </rv>
  <rv s="1">
    <fb>3.2513E-2</fb>
    <v>21</v>
  </rv>
  <rv s="2">
    <v>11</v>
    <v>19</v>
    <v>100</v>
    <v>7</v>
    <v>0</v>
    <v>Image of Chad</v>
  </rv>
  <rv s="1">
    <fb>71.400000000000006</fb>
    <v>26</v>
  </rv>
  <rv s="0">
    <v>805306368</v>
    <v>Mahamat Déby (President)</v>
    <v>a06a5bd4-7fc1-4985-9e80-f8907d331bec</v>
    <v>en-US</v>
    <v>Generic</v>
  </rv>
  <rv s="0">
    <v>805306368</v>
    <v>Allamaye Halina (Prime minister)</v>
    <v>d3e3b5b3-2204-cba9-09d4-662375c49aa1</v>
    <v>en-US</v>
    <v>Generic</v>
  </rv>
  <rv s="3">
    <v>44</v>
  </rv>
  <rv s="4">
    <v>https://www.bing.com/search?q=chad+africa&amp;form=skydnc</v>
    <v>Learn more on Bing</v>
  </rv>
  <rv s="1">
    <fb>53.976999999999997</fb>
    <v>26</v>
  </rv>
  <rv s="1">
    <fb>1140</fb>
    <v>26</v>
  </rv>
  <rv s="1">
    <fb>0.6</fb>
    <v>28</v>
  </rv>
  <rv s="3">
    <v>45</v>
  </rv>
  <rv s="1">
    <fb>0.56370720140000008</fb>
    <v>21</v>
  </rv>
  <rv s="1">
    <fb>4.3400000000000001E-2</fb>
    <v>23</v>
  </rv>
  <rv s="1">
    <fb>19674004</fb>
    <v>22</v>
  </rv>
  <rv s="1">
    <fb>0.218</fb>
    <v>21</v>
  </rv>
  <rv s="1">
    <fb>0.32400000000000001</fb>
    <v>21</v>
  </rv>
  <rv s="1">
    <fb>0.48799999999999999</fb>
    <v>21</v>
  </rv>
  <rv s="1">
    <fb>1.8000000000000002E-2</fb>
    <v>21</v>
  </rv>
  <rv s="1">
    <fb>4.9000000000000002E-2</fb>
    <v>21</v>
  </rv>
  <rv s="1">
    <fb>0.14800000000000002</fb>
    <v>21</v>
  </rv>
  <rv s="1">
    <fb>0.70698997497558591</fb>
    <v>21</v>
  </rv>
  <rv s="0">
    <v>536870912</v>
    <v>Bahr el Gazel</v>
    <v>ada188e6-c1d6-234c-f3e9-410684a06098</v>
    <v>en-US</v>
    <v>Map</v>
  </rv>
  <rv s="0">
    <v>536870912</v>
    <v>Borkou</v>
    <v>f86c8cf2-08cf-7815-fd2e-e6485a18dd47</v>
    <v>en-US</v>
    <v>Map</v>
  </rv>
  <rv s="0">
    <v>536870912</v>
    <v>Hadjer-Lamis</v>
    <v>378465be-2395-3e3f-037f-0e7082811a02</v>
    <v>en-US</v>
    <v>Map</v>
  </rv>
  <rv s="0">
    <v>536870912</v>
    <v>Mandoul</v>
    <v>6794b3cf-b957-021b-545d-1e7aab62eb4f</v>
    <v>en-US</v>
    <v>Map</v>
  </rv>
  <rv s="0">
    <v>536870912</v>
    <v>Mayo-Kebbi Est</v>
    <v>3f3106a7-794b-b14d-4aa5-344f5adce053</v>
    <v>en-US</v>
    <v>Map</v>
  </rv>
  <rv s="0">
    <v>536870912</v>
    <v>Mayo-Kebbi Ouest</v>
    <v>de5ece5a-15e4-b3a8-d402-c55923be0ab4</v>
    <v>en-US</v>
    <v>Map</v>
  </rv>
  <rv s="0">
    <v>536870912</v>
    <v>Sila</v>
    <v>5e9628ee-3726-aa8c-e0d3-172690643190</v>
    <v>en-US</v>
    <v>Map</v>
  </rv>
  <rv s="0">
    <v>536870912</v>
    <v>Tibesti</v>
    <v>7dd5c08d-c7ea-4ac3-a932-90ba6b6a7e9d</v>
    <v>en-US</v>
    <v>Map</v>
  </rv>
  <rv s="0">
    <v>536870912</v>
    <v>Wadi Fira</v>
    <v>778ea24d-1890-92f3-a707-3ecbcae5a150</v>
    <v>en-US</v>
    <v>Map</v>
  </rv>
  <rv s="3">
    <v>46</v>
  </rv>
  <rv s="3">
    <v>47</v>
  </rv>
  <rv s="1">
    <fb>0.63500000000000001</fb>
    <v>21</v>
  </rv>
  <rv s="1">
    <fb>1.8910000324249301E-2</fb>
    <v>29</v>
  </rv>
  <rv s="1">
    <fb>3712273</fb>
    <v>22</v>
  </rv>
  <rv s="14">
    <v>#VALUE!</v>
    <v>en-US</v>
    <v>a4c8e535-adcc-f306-7c43-af497dc59c6f</v>
    <v>536870912</v>
    <v>1</v>
    <v>103</v>
    <v>104</v>
    <v>Chad</v>
    <v>17</v>
    <v>18</v>
    <v>Map</v>
    <v>19</v>
    <v>105</v>
    <v>TD</v>
    <v>555</v>
    <v>556</v>
    <v>557</v>
    <v>558</v>
    <v>559</v>
    <v>560</v>
    <v>561</v>
    <v>562</v>
    <v>563</v>
    <v>XAF</v>
    <v>Chad, officially the Republic of Chad, is a landlocked country in Central Africa. It is bordered by Libya to the north, Sudan to the east, the Central African Republic to the south, Cameroon to the southwest, Nigeria to the southwest, and Niger ...</v>
    <v>564</v>
    <v>565</v>
    <v>566</v>
    <v>567</v>
    <v>568</v>
    <v>569</v>
    <v>570</v>
    <v>571</v>
    <v>560</v>
    <v>574</v>
    <v>575</v>
    <v>576</v>
    <v>577</v>
    <v>578</v>
    <v>Chad</v>
    <v>La Tchadienne</v>
    <v>579</v>
    <v>Tchad</v>
    <v>580</v>
    <v>581</v>
    <v>582</v>
    <v>583</v>
    <v>584</v>
    <v>585</v>
    <v>586</v>
    <v>587</v>
    <v>507</v>
    <v>588</v>
    <v>589</v>
    <v>599</v>
    <v>600</v>
    <v>601</v>
    <v>602</v>
    <v>Chad</v>
    <v>603</v>
    <v>mdp/vdpid/41</v>
  </rv>
  <rv s="0">
    <v>536870912</v>
    <v>Burundi</v>
    <v>06b4a4e8-0361-8a8e-e41f-22f1a41f2784</v>
    <v>en-US</v>
    <v>Map</v>
  </rv>
  <rv s="1">
    <fb>0.79166666666666696</fb>
    <v>21</v>
  </rv>
  <rv s="1">
    <fb>27834</fb>
    <v>22</v>
  </rv>
  <rv s="1">
    <fb>31000</fb>
    <v>22</v>
  </rv>
  <rv s="1">
    <fb>39.008000000000003</fb>
    <v>23</v>
  </rv>
  <rv s="1">
    <fb>257</fb>
    <v>24</v>
  </rv>
  <rv s="0">
    <v>536870912</v>
    <v>Gitega</v>
    <v>d1af905d-ae48-808f-0459-d2d6bb8ae512</v>
    <v>en-US</v>
    <v>Map</v>
  </rv>
  <rv s="1">
    <fb>495.04500000000002</fb>
    <v>22</v>
  </rv>
  <rv s="1">
    <fb>182.11233999434401</fb>
    <v>25</v>
  </rv>
  <rv s="1">
    <fb>-6.8677217079722895E-3</fb>
    <v>21</v>
  </rv>
  <rv s="1">
    <fb>5.41</fb>
    <v>23</v>
  </rv>
  <rv s="1">
    <fb>0.109267915149344</fb>
    <v>21</v>
  </rv>
  <rv s="1">
    <fb>1.21</fb>
    <v>28</v>
  </rv>
  <rv s="1">
    <fb>3012334881.6405702</fb>
    <v>27</v>
  </rv>
  <rv s="1">
    <fb>1.2142156</fb>
    <v>21</v>
  </rv>
  <rv s="1">
    <fb>6.0501600000000003E-2</fb>
    <v>21</v>
  </rv>
  <rv s="2">
    <v>12</v>
    <v>19</v>
    <v>107</v>
    <v>7</v>
    <v>0</v>
    <v>Image of Burundi</v>
  </rv>
  <rv s="1">
    <fb>41</fb>
    <v>26</v>
  </rv>
  <rv s="0">
    <v>536870912</v>
    <v>Bujumbura</v>
    <v>bc83cc34-7c20-e35f-6afe-e4a4612bb1b2</v>
    <v>en-US</v>
    <v>Map</v>
  </rv>
  <rv s="0">
    <v>805306368</v>
    <v>Évariste Ndayishimiye (President)</v>
    <v>eda12947-bf03-f3e6-b130-58f6de738850</v>
    <v>en-US</v>
    <v>Generic</v>
  </rv>
  <rv s="0">
    <v>805306368</v>
    <v>Nestor Ntahontuye (Prime minister)</v>
    <v>50404cb1-3092-c04d-04ca-af3abbf567c4</v>
    <v>en-US</v>
    <v>Generic</v>
  </rv>
  <rv s="0">
    <v>805306368</v>
    <v>Prosper Bazombanza (Vice president)</v>
    <v>d3fcce6e-8b82-f971-a905-75b24470aa5f</v>
    <v>en-US</v>
    <v>Generic</v>
  </rv>
  <rv s="3">
    <v>48</v>
  </rv>
  <rv s="4">
    <v>https://www.bing.com/search?q=burundi&amp;form=skydnc</v>
    <v>Learn more on Bing</v>
  </rv>
  <rv s="1">
    <fb>61.247</fb>
    <v>26</v>
  </rv>
  <rv s="1">
    <fb>548</fb>
    <v>26</v>
  </rv>
  <rv s="3">
    <v>49</v>
  </rv>
  <rv s="1">
    <fb>0.19066551600000001</fb>
    <v>21</v>
  </rv>
  <rv s="1">
    <fb>0.10009999999999999</fb>
    <v>23</v>
  </rv>
  <rv s="1">
    <fb>13520867</fb>
    <v>22</v>
  </rv>
  <rv s="1">
    <fb>0.20800000000000002</fb>
    <v>21</v>
  </rv>
  <rv s="1">
    <fb>0.31</fb>
    <v>21</v>
  </rv>
  <rv s="1">
    <fb>0.46299999999999997</fb>
    <v>21</v>
  </rv>
  <rv s="1">
    <fb>2.7999999999999997E-2</fb>
    <v>21</v>
  </rv>
  <rv s="1">
    <fb>6.9000000000000006E-2</fb>
    <v>21</v>
  </rv>
  <rv s="1">
    <fb>0.11</fb>
    <v>21</v>
  </rv>
  <rv s="1">
    <fb>0.15</fb>
    <v>21</v>
  </rv>
  <rv s="1">
    <fb>0.791539993286133</fb>
    <v>21</v>
  </rv>
  <rv s="0">
    <v>536870912</v>
    <v>Bubanza Province</v>
    <v>f977d556-18ee-2cbe-dee3-d603f13defd3</v>
    <v>en-US</v>
    <v>Map</v>
  </rv>
  <rv s="0">
    <v>536870912</v>
    <v>Bujumbura Mairie Province</v>
    <v>232fe7f8-9b82-4926-6984-828b272b8fcf</v>
    <v>en-US</v>
    <v>Map</v>
  </rv>
  <rv s="0">
    <v>536870912</v>
    <v>Bujumbura Rural Province</v>
    <v>c747f228-eb58-78a6-38ca-a6566a3016e5</v>
    <v>en-US</v>
    <v>Map</v>
  </rv>
  <rv s="0">
    <v>536870912</v>
    <v>Bururi Province</v>
    <v>c9bf8461-32d0-69ae-5000-b2a03cf22496</v>
    <v>en-US</v>
    <v>Map</v>
  </rv>
  <rv s="0">
    <v>536870912</v>
    <v>Cankuzo Province</v>
    <v>f73c588b-3346-4d6d-09ee-8df4a782b221</v>
    <v>en-US</v>
    <v>Map</v>
  </rv>
  <rv s="0">
    <v>536870912</v>
    <v>Cibitoke Province</v>
    <v>8d507665-9efe-c4f2-656e-8d05d92dcbba</v>
    <v>en-US</v>
    <v>Map</v>
  </rv>
  <rv s="0">
    <v>536870912</v>
    <v>Gitega Province</v>
    <v>b0b201a0-98b2-faaa-9908-ac63a7edb590</v>
    <v>en-US</v>
    <v>Map</v>
  </rv>
  <rv s="0">
    <v>536870912</v>
    <v>Karuzi Province</v>
    <v>c98c18dc-ca61-082c-94f9-5dd8de0ba7b4</v>
    <v>en-US</v>
    <v>Map</v>
  </rv>
  <rv s="0">
    <v>536870912</v>
    <v>Kayanza Province</v>
    <v>b6805502-9f8d-7875-d952-b357b193a13c</v>
    <v>en-US</v>
    <v>Map</v>
  </rv>
  <rv s="0">
    <v>536870912</v>
    <v>Kirundo Province</v>
    <v>5ec1d3aa-00b1-4862-e2f1-b06812909203</v>
    <v>en-US</v>
    <v>Map</v>
  </rv>
  <rv s="0">
    <v>536870912</v>
    <v>Makamba Province</v>
    <v>e28922db-283e-d524-4766-0b7f9e03622c</v>
    <v>en-US</v>
    <v>Map</v>
  </rv>
  <rv s="0">
    <v>536870912</v>
    <v>Muramvya Province</v>
    <v>2cdad420-5c47-4683-b01f-8339e2ba1866</v>
    <v>en-US</v>
    <v>Map</v>
  </rv>
  <rv s="0">
    <v>536870912</v>
    <v>Muyinga Province</v>
    <v>5496c5b2-12e2-1001-d45a-9e932ec0668d</v>
    <v>en-US</v>
    <v>Map</v>
  </rv>
  <rv s="0">
    <v>536870912</v>
    <v>Mwaro Province</v>
    <v>ced53541-3e87-02ea-e9a1-1378421bf35e</v>
    <v>en-US</v>
    <v>Map</v>
  </rv>
  <rv s="0">
    <v>536870912</v>
    <v>Ngozi Province</v>
    <v>836744bb-ae85-9b96-3ddc-63e5231ba394</v>
    <v>en-US</v>
    <v>Map</v>
  </rv>
  <rv s="0">
    <v>536870912</v>
    <v>Rutana Province</v>
    <v>e560e4aa-3609-a11a-9b69-e8a314cf22d5</v>
    <v>en-US</v>
    <v>Map</v>
  </rv>
  <rv s="0">
    <v>536870912</v>
    <v>Ruyigi Province</v>
    <v>63bb3dbe-a766-36e6-22da-4b08677aa57f</v>
    <v>en-US</v>
    <v>Map</v>
  </rv>
  <rv s="3">
    <v>50</v>
  </rv>
  <rv s="1">
    <fb>0.135974418093983</fb>
    <v>21</v>
  </rv>
  <rv s="3">
    <v>51</v>
  </rv>
  <rv s="1">
    <fb>0.41200000000000003</fb>
    <v>21</v>
  </rv>
  <rv s="1">
    <fb>1.42700004577637E-2</fb>
    <v>29</v>
  </rv>
  <rv s="1">
    <fb>1541177</fb>
    <v>22</v>
  </rv>
  <rv s="15">
    <v>#VALUE!</v>
    <v>en-US</v>
    <v>06b4a4e8-0361-8a8e-e41f-22f1a41f2784</v>
    <v>536870912</v>
    <v>1</v>
    <v>110</v>
    <v>111</v>
    <v>Burundi</v>
    <v>17</v>
    <v>18</v>
    <v>Map</v>
    <v>19</v>
    <v>112</v>
    <v>BI</v>
    <v>606</v>
    <v>607</v>
    <v>608</v>
    <v>609</v>
    <v>610</v>
    <v>611</v>
    <v>612</v>
    <v>613</v>
    <v>614</v>
    <v>BIF</v>
    <v>Burundi, officially the Republic of Burundi, is a landlocked country in East Africa. It is located in the Great Rift Valley at the junction between the African Great Lakes region and Southeast Africa, with a population of over 14 million people. ...</v>
    <v>615</v>
    <v>616</v>
    <v>617</v>
    <v>618</v>
    <v>619</v>
    <v>620</v>
    <v>621</v>
    <v>622</v>
    <v>623</v>
    <v>627</v>
    <v>628</v>
    <v>629</v>
    <v>630</v>
    <v>Burundi</v>
    <v>Burundi Bwacu</v>
    <v>631</v>
    <v>Uburundi</v>
    <v>632</v>
    <v>633</v>
    <v>634</v>
    <v>635</v>
    <v>636</v>
    <v>637</v>
    <v>638</v>
    <v>639</v>
    <v>640</v>
    <v>641</v>
    <v>642</v>
    <v>660</v>
    <v>661</v>
    <v>662</v>
    <v>663</v>
    <v>664</v>
    <v>Burundi</v>
    <v>665</v>
    <v>mdp/vdpid/38</v>
  </rv>
  <rv s="0">
    <v>536870912</v>
    <v>Senegal</v>
    <v>61b4b41a-e86a-1c43-604a-57097e879fb9</v>
    <v>en-US</v>
    <v>Map</v>
  </rv>
  <rv s="1">
    <fb>0.46060354230509504</fb>
    <v>21</v>
  </rv>
  <rv s="1">
    <fb>196722</fb>
    <v>22</v>
  </rv>
  <rv s="1">
    <fb>19000</fb>
    <v>22</v>
  </rv>
  <rv s="1">
    <fb>34.523000000000003</fb>
    <v>23</v>
  </rv>
  <rv s="1">
    <fb>221</fb>
    <v>24</v>
  </rv>
  <rv s="0">
    <v>536870912</v>
    <v>Dakar</v>
    <v>231d192c-d87d-99c6-2482-7dd7e8becc3e</v>
    <v>en-US</v>
    <v>Map</v>
  </rv>
  <rv s="1">
    <fb>10901.991</fb>
    <v>22</v>
  </rv>
  <rv s="1">
    <fb>109.251270172291</fb>
    <v>25</v>
  </rv>
  <rv s="1">
    <fb>1.7585651759565901E-2</fb>
    <v>21</v>
  </rv>
  <rv s="1">
    <fb>229.35179510637599</fb>
    <v>22</v>
  </rv>
  <rv s="1">
    <fb>4.625</fb>
    <v>23</v>
  </rv>
  <rv s="1">
    <fb>0.42762166935023105</fb>
    <v>21</v>
  </rv>
  <rv s="1">
    <fb>53.909117209717202</fb>
    <v>26</v>
  </rv>
  <rv s="1">
    <fb>1.1399999999999999</fb>
    <v>28</v>
  </rv>
  <rv s="1">
    <fb>23578084052.014702</fb>
    <v>27</v>
  </rv>
  <rv s="1">
    <fb>0.80950040000000001</fb>
    <v>21</v>
  </rv>
  <rv s="1">
    <fb>0.12762589999999999</fb>
    <v>21</v>
  </rv>
  <rv s="2">
    <v>13</v>
    <v>19</v>
    <v>114</v>
    <v>7</v>
    <v>0</v>
    <v>Image of Senegal</v>
  </rv>
  <rv s="1">
    <fb>31.8</fb>
    <v>26</v>
  </rv>
  <rv s="0">
    <v>805306368</v>
    <v>Bassirou Diomaye Faye (President)</v>
    <v>4b85b865-b12f-b824-0b99-5e369a8fcabc</v>
    <v>en-US</v>
    <v>Generic</v>
  </rv>
  <rv s="0">
    <v>805306368</v>
    <v>Ousmane Sonko (Prime minister)</v>
    <v>1096fc47-a66d-8bd8-8a24-4d855e2a06c0</v>
    <v>en-US</v>
    <v>Generic</v>
  </rv>
  <rv s="3">
    <v>52</v>
  </rv>
  <rv s="4">
    <v>https://www.bing.com/search?q=senegal&amp;form=skydnc</v>
    <v>Learn more on Bing</v>
  </rv>
  <rv s="1">
    <fb>67.665000000000006</fb>
    <v>26</v>
  </rv>
  <rv s="1">
    <fb>315</fb>
    <v>26</v>
  </rv>
  <rv s="1">
    <fb>0.31</fb>
    <v>28</v>
  </rv>
  <rv s="1">
    <fb>0.44180671030000002</fb>
    <v>21</v>
  </rv>
  <rv s="1">
    <fb>6.9099999999999995E-2</fb>
    <v>23</v>
  </rv>
  <rv s="1">
    <fb>19311233</fb>
    <v>22</v>
  </rv>
  <rv s="1">
    <fb>0.217</fb>
    <v>21</v>
  </rv>
  <rv s="1">
    <fb>0.46899999999999997</fb>
    <v>21</v>
  </rv>
  <rv s="1">
    <fb>2.3E-2</fb>
    <v>21</v>
  </rv>
  <rv s="1">
    <fb>6.0999999999999999E-2</fb>
    <v>21</v>
  </rv>
  <rv s="1">
    <fb>0.10300000000000001</fb>
    <v>21</v>
  </rv>
  <rv s="1">
    <fb>0.45683998107910201</fb>
    <v>21</v>
  </rv>
  <rv s="0">
    <v>536870912</v>
    <v>Dakar region</v>
    <v>3bb61292-7b3c-7124-2947-27d8f8207ea6</v>
    <v>en-US</v>
    <v>Map</v>
  </rv>
  <rv s="0">
    <v>536870912</v>
    <v>Diourbel region</v>
    <v>3a04c367-3989-9214-f703-f9caae8c2380</v>
    <v>en-US</v>
    <v>Map</v>
  </rv>
  <rv s="0">
    <v>536870912</v>
    <v>Fatick region</v>
    <v>b43f17b3-9f6f-299a-9d6e-c6be9ad16f93</v>
    <v>en-US</v>
    <v>Map</v>
  </rv>
  <rv s="0">
    <v>536870912</v>
    <v>Kaffrine region</v>
    <v>d07d2758-d957-15b8-0148-96c6ac35c8cc</v>
    <v>en-US</v>
    <v>Map</v>
  </rv>
  <rv s="0">
    <v>536870912</v>
    <v>Kaolack region</v>
    <v>86e997d8-50b5-6fbb-a0e8-cc6f1af0d180</v>
    <v>en-US</v>
    <v>Map</v>
  </rv>
  <rv s="0">
    <v>536870912</v>
    <v>Kédougou region</v>
    <v>be665ea0-47d0-74cf-a4c9-749564e5d774</v>
    <v>en-US</v>
    <v>Map</v>
  </rv>
  <rv s="0">
    <v>536870912</v>
    <v>Kolda region</v>
    <v>c6cbe52c-3bb9-4f46-99ce-df49ccf17d78</v>
    <v>en-US</v>
    <v>Map</v>
  </rv>
  <rv s="0">
    <v>536870912</v>
    <v>Louga region</v>
    <v>08e6ec18-e2d9-407c-d36e-2d2b3e5812e7</v>
    <v>en-US</v>
    <v>Map</v>
  </rv>
  <rv s="0">
    <v>536870912</v>
    <v>Matam region</v>
    <v>5b6b478c-d8e5-3d03-e263-172092ca0e2a</v>
    <v>en-US</v>
    <v>Map</v>
  </rv>
  <rv s="0">
    <v>536870912</v>
    <v>Saint-Louis region</v>
    <v>dd8c5a0a-57ff-1d66-70a5-890cccde5de6</v>
    <v>en-US</v>
    <v>Map</v>
  </rv>
  <rv s="0">
    <v>536870912</v>
    <v>Sédhiou region</v>
    <v>9f50a8d2-d72a-ae8c-222b-a038d4bfa5bf</v>
    <v>en-US</v>
    <v>Map</v>
  </rv>
  <rv s="0">
    <v>536870912</v>
    <v>Tambacounda region</v>
    <v>81d98438-d785-d9fd-11a6-ed6aff0674b7</v>
    <v>en-US</v>
    <v>Map</v>
  </rv>
  <rv s="0">
    <v>536870912</v>
    <v>Thiès region</v>
    <v>aacbf82b-f645-4869-bdab-70cf7794b920</v>
    <v>en-US</v>
    <v>Map</v>
  </rv>
  <rv s="0">
    <v>536870912</v>
    <v>Ziguinchor region</v>
    <v>d4699e3e-86b1-9fdc-8429-2bd7e9bb2f07</v>
    <v>en-US</v>
    <v>Map</v>
  </rv>
  <rv s="3">
    <v>53</v>
  </rv>
  <rv s="1">
    <fb>0.16294156680093402</fb>
    <v>21</v>
  </rv>
  <rv s="3">
    <v>54</v>
  </rv>
  <rv s="1">
    <fb>0.44799999999999995</fb>
    <v>21</v>
  </rv>
  <rv s="1">
    <fb>6.6040000915527294E-2</fb>
    <v>29</v>
  </rv>
  <rv s="1">
    <fb>7765706</fb>
    <v>22</v>
  </rv>
  <rv s="7">
    <v>#VALUE!</v>
    <v>en-US</v>
    <v>61b4b41a-e86a-1c43-604a-57097e879fb9</v>
    <v>536870912</v>
    <v>1</v>
    <v>117</v>
    <v>43</v>
    <v>Senegal</v>
    <v>17</v>
    <v>18</v>
    <v>Map</v>
    <v>19</v>
    <v>118</v>
    <v>SN</v>
    <v>668</v>
    <v>669</v>
    <v>670</v>
    <v>671</v>
    <v>672</v>
    <v>673</v>
    <v>674</v>
    <v>675</v>
    <v>676</v>
    <v>XOF</v>
    <v>Senegal, officially the Republic of Senegal, is the westernmost country in West Africa, situated along the Atlantic Ocean coast. It borders Mauritania to the north, Mali to the east, Guinea to the southeast and Guinea-Bissau to the southwest. ...</v>
    <v>677</v>
    <v>678</v>
    <v>679</v>
    <v>680</v>
    <v>681</v>
    <v>682</v>
    <v>683</v>
    <v>684</v>
    <v>685</v>
    <v>686</v>
    <v>673</v>
    <v>689</v>
    <v>690</v>
    <v>691</v>
    <v>692</v>
    <v>693</v>
    <v>Senegal</v>
    <v>Le Lion rouge</v>
    <v>293</v>
    <v>République du Sénégal</v>
    <v>694</v>
    <v>695</v>
    <v>696</v>
    <v>697</v>
    <v>636</v>
    <v>698</v>
    <v>699</v>
    <v>700</v>
    <v>701</v>
    <v>641</v>
    <v>702</v>
    <v>717</v>
    <v>718</v>
    <v>719</v>
    <v>720</v>
    <v>721</v>
    <v>Senegal</v>
    <v>722</v>
    <v>mdp/vdpid/210</v>
  </rv>
  <rv s="0">
    <v>536870912</v>
    <v>Central African Republic</v>
    <v>420b9ef3-9637-3d01-90d0-c50484f595ee</v>
    <v>en-US</v>
    <v>Map</v>
  </rv>
  <rv s="1">
    <fb>8.1543548749558603E-2</fb>
    <v>21</v>
  </rv>
  <rv s="1">
    <fb>622984</fb>
    <v>22</v>
  </rv>
  <rv s="1">
    <fb>8000</fb>
    <v>22</v>
  </rv>
  <rv s="1">
    <fb>35.347999999999999</fb>
    <v>23</v>
  </rv>
  <rv s="1">
    <fb>236</fb>
    <v>24</v>
  </rv>
  <rv s="0">
    <v>536870912</v>
    <v>Bangui</v>
    <v>f4caf9e9-db41-048d-a9e3-ea4d9c7b0b4f</v>
    <v>en-US</v>
    <v>Map</v>
  </rv>
  <rv s="1">
    <fb>297.02699999999999</fb>
    <v>22</v>
  </rv>
  <rv s="1">
    <fb>186.86166666666699</fb>
    <v>25</v>
  </rv>
  <rv s="1">
    <fb>0.37142214808936502</fb>
    <v>21</v>
  </rv>
  <rv s="1">
    <fb>4.7210000000000001</fb>
    <v>23</v>
  </rv>
  <rv s="1">
    <fb>0.355619769344521</fb>
    <v>21</v>
  </rv>
  <rv s="1">
    <fb>1.41</fb>
    <v>28</v>
  </rv>
  <rv s="1">
    <fb>2220307368.69593</fb>
    <v>27</v>
  </rv>
  <rv s="1">
    <fb>1.020189</fb>
    <v>21</v>
  </rv>
  <rv s="1">
    <fb>2.9803000000000003E-2</fb>
    <v>21</v>
  </rv>
  <rv s="2">
    <v>14</v>
    <v>19</v>
    <v>120</v>
    <v>7</v>
    <v>0</v>
    <v>Image of Central African Republic</v>
  </rv>
  <rv s="1">
    <fb>84.5</fb>
    <v>26</v>
  </rv>
  <rv s="0">
    <v>805306368</v>
    <v>Faustin-Archange Touadéra (President)</v>
    <v>2d2e5254-ebc7-6a93-dac8-a978a245d686</v>
    <v>en-US</v>
    <v>Generic</v>
  </rv>
  <rv s="0">
    <v>805306368</v>
    <v>Félix Moloua (Prime minister)</v>
    <v>3e448327-d290-c5c8-68f9-4cdec6112c98</v>
    <v>en-US</v>
    <v>Generic</v>
  </rv>
  <rv s="3">
    <v>55</v>
  </rv>
  <rv s="4">
    <v>https://www.bing.com/search?q=central+african+republic&amp;form=skydnc</v>
    <v>Learn more on Bing</v>
  </rv>
  <rv s="1">
    <fb>52.805</fb>
    <v>26</v>
  </rv>
  <rv s="1">
    <fb>829</fb>
    <v>26</v>
  </rv>
  <rv s="1">
    <fb>0.37</fb>
    <v>28</v>
  </rv>
  <rv s="3">
    <v>56</v>
  </rv>
  <rv s="1">
    <fb>0.39601532900000003</fb>
    <v>21</v>
  </rv>
  <rv s="1">
    <fb>6.2899999999999998E-2</fb>
    <v>23</v>
  </rv>
  <rv s="1">
    <fb>5750570</fb>
    <v>22</v>
  </rv>
  <rv s="1">
    <fb>0.17699999999999999</fb>
    <v>21</v>
  </rv>
  <rv s="1">
    <fb>0.46200000000000002</fb>
    <v>21</v>
  </rv>
  <rv s="1">
    <fb>0.60899999999999999</fb>
    <v>21</v>
  </rv>
  <rv s="1">
    <fb>1.2E-2</fb>
    <v>21</v>
  </rv>
  <rv s="1">
    <fb>0.71955001831054699</fb>
    <v>21</v>
  </rv>
  <rv s="0">
    <v>536870912</v>
    <v>Bamingui-Bangoran</v>
    <v>051db41e-4057-866c-8f0a-de198ef847ae</v>
    <v>en-US</v>
    <v>Map</v>
  </rv>
  <rv s="0">
    <v>536870912</v>
    <v>Basse-Kotto</v>
    <v>72a45a0b-7984-e6b2-a2cc-0c8ef1afb053</v>
    <v>en-US</v>
    <v>Map</v>
  </rv>
  <rv s="0">
    <v>536870912</v>
    <v>Haute-Kotto</v>
    <v>93f5f7ed-b7d9-6116-d12d-cfa4403c9818</v>
    <v>en-US</v>
    <v>Map</v>
  </rv>
  <rv s="0">
    <v>536870912</v>
    <v>Haut-Mbomou</v>
    <v>3b702db9-c1c0-ae2d-f1d6-f28499b64ef3</v>
    <v>en-US</v>
    <v>Map</v>
  </rv>
  <rv s="0">
    <v>536870912</v>
    <v>Kémo</v>
    <v>64879529-02b4-5ef7-2c6d-2fde5868fce6</v>
    <v>en-US</v>
    <v>Map</v>
  </rv>
  <rv s="0">
    <v>536870912</v>
    <v>Lobaye</v>
    <v>f0f7237f-b1ed-2453-b6de-b28e5722cc18</v>
    <v>en-US</v>
    <v>Map</v>
  </rv>
  <rv s="0">
    <v>536870912</v>
    <v>Mambéré-Kadéï</v>
    <v>e8b530a9-256c-039f-aa99-b189ca7bdc09</v>
    <v>en-US</v>
    <v>Map</v>
  </rv>
  <rv s="0">
    <v>536870912</v>
    <v>Mbomou River</v>
    <v>594684b4-34dd-42a2-af49-40c36ea5b23e</v>
    <v>en-US</v>
    <v>Map</v>
  </rv>
  <rv s="0">
    <v>536870912</v>
    <v>Nana-Mambéré</v>
    <v>f908632b-49ae-27aa-5e4e-b2af9440dea5</v>
    <v>en-US</v>
    <v>Map</v>
  </rv>
  <rv s="0">
    <v>536870912</v>
    <v>Ombella-M'Poko</v>
    <v>a50d59e2-1518-d158-af21-fe35f361b428</v>
    <v>en-US</v>
    <v>Map</v>
  </rv>
  <rv s="0">
    <v>536870912</v>
    <v>Ouaka</v>
    <v>82cd1f05-13be-5418-58ad-0ae8481c7720</v>
    <v>en-US</v>
    <v>Map</v>
  </rv>
  <rv s="0">
    <v>536870912</v>
    <v>Ouham-Pendé</v>
    <v>6cb5e24e-44a6-42dd-9d58-bfc1fdd7795b</v>
    <v>en-US</v>
    <v>Map</v>
  </rv>
  <rv s="0">
    <v>536870912</v>
    <v>Vakaga</v>
    <v>2a54753a-cb1c-4363-3d13-9921adec0715</v>
    <v>en-US</v>
    <v>Map</v>
  </rv>
  <rv s="0">
    <v>536870912</v>
    <v>Nana-Grébizi</v>
    <v>34d608ac-7273-069a-a429-92d6b1af7ee0</v>
    <v>en-US</v>
    <v>Map</v>
  </rv>
  <rv s="0">
    <v>536870912</v>
    <v>Sangha-Mbaéré</v>
    <v>45ad2a51-19a4-96d7-6830-cde206ace0c9</v>
    <v>en-US</v>
    <v>Map</v>
  </rv>
  <rv s="3">
    <v>57</v>
  </rv>
  <rv s="1">
    <fb>8.6398307197091503E-2</fb>
    <v>21</v>
  </rv>
  <rv s="3">
    <v>58</v>
  </rv>
  <rv s="1">
    <fb>0.73299999999999998</fb>
    <v>21</v>
  </rv>
  <rv s="1">
    <fb>3.6800000667571997E-2</fb>
    <v>29</v>
  </rv>
  <rv s="1">
    <fb>1982064</fb>
    <v>22</v>
  </rv>
  <rv s="12">
    <v>#VALUE!</v>
    <v>en-US</v>
    <v>420b9ef3-9637-3d01-90d0-c50484f595ee</v>
    <v>536870912</v>
    <v>1</v>
    <v>123</v>
    <v>84</v>
    <v>Central African Republic</v>
    <v>17</v>
    <v>18</v>
    <v>Map</v>
    <v>19</v>
    <v>124</v>
    <v>CF</v>
    <v>725</v>
    <v>726</v>
    <v>727</v>
    <v>728</v>
    <v>729</v>
    <v>730</v>
    <v>731</v>
    <v>732</v>
    <v>733</v>
    <v>XAF</v>
    <v>The Central African Republic is a landlocked country located in Central Africa. It is bordered by Chad to the north, Sudan to the northeast, South Sudan to the east, the Democratic Republic of the Congo to the south, the Republic of the Congo to ...</v>
    <v>734</v>
    <v>735</v>
    <v>736</v>
    <v>737</v>
    <v>738</v>
    <v>739</v>
    <v>740</v>
    <v>741</v>
    <v>730</v>
    <v>744</v>
    <v>745</v>
    <v>746</v>
    <v>747</v>
    <v>748</v>
    <v>Central African Republic</v>
    <v>La Renaissance</v>
    <v>749</v>
    <v>Ködörösêse tî Bêafrîka</v>
    <v>750</v>
    <v>751</v>
    <v>752</v>
    <v>753</v>
    <v>754</v>
    <v>755</v>
    <v>756</v>
    <v>394</v>
    <v>449</v>
    <v>450</v>
    <v>757</v>
    <v>773</v>
    <v>774</v>
    <v>775</v>
    <v>776</v>
    <v>777</v>
    <v>Central African Republic</v>
    <v>778</v>
    <v>mdp/vdpid/55</v>
  </rv>
  <rv s="0">
    <v>536870912</v>
    <v>Ethiopia</v>
    <v>37e8cce3-f9b7-eca4-846f-b8b7e9cb6fb8</v>
    <v>en-US</v>
    <v>Map</v>
  </rv>
  <rv s="1">
    <fb>0.36259000000000002</fb>
    <v>21</v>
  </rv>
  <rv s="1">
    <fb>1104300</fb>
    <v>22</v>
  </rv>
  <rv s="1">
    <fb>138000</fb>
    <v>22</v>
  </rv>
  <rv s="1">
    <fb>32.338999999999999</fb>
    <v>23</v>
  </rv>
  <rv s="1">
    <fb>251</fb>
    <v>24</v>
  </rv>
  <rv s="0">
    <v>536870912</v>
    <v>Addis Ababa</v>
    <v>938abfc6-a154-7e94-5bda-6ce5f148a1f5</v>
    <v>en-US</v>
    <v>Map</v>
  </rv>
  <rv s="1">
    <fb>14869.684999999999</fb>
    <v>22</v>
  </rv>
  <rv s="1">
    <fb>143.85508616915899</fb>
    <v>25</v>
  </rv>
  <rv s="1">
    <fb>0.15809632171934701</fb>
    <v>21</v>
  </rv>
  <rv s="1">
    <fb>69.198753162430407</fb>
    <v>22</v>
  </rv>
  <rv s="1">
    <fb>4.2469999999999999</fb>
    <v>23</v>
  </rv>
  <rv s="1">
    <fb>0.12539599609374999</fb>
    <v>21</v>
  </rv>
  <rv s="1">
    <fb>6.5698066296372399</fb>
    <v>26</v>
  </rv>
  <rv s="1">
    <fb>0.75</fb>
    <v>28</v>
  </rv>
  <rv s="1">
    <fb>96107662398.174896</fb>
    <v>27</v>
  </rv>
  <rv s="1">
    <fb>1.0097149000000001</fb>
    <v>21</v>
  </rv>
  <rv s="1">
    <fb>8.1053200000000006E-2</fb>
    <v>21</v>
  </rv>
  <rv s="2">
    <v>15</v>
    <v>19</v>
    <v>126</v>
    <v>7</v>
    <v>0</v>
    <v>Image of Ethiopia</v>
  </rv>
  <rv s="1">
    <fb>39.1</fb>
    <v>26</v>
  </rv>
  <rv s="0">
    <v>805306368</v>
    <v>Taye Atske Selassie (President)</v>
    <v>0ecc37f9-fbf2-9992-b451-9764e24913b8</v>
    <v>en-US</v>
    <v>Generic</v>
  </rv>
  <rv s="0">
    <v>805306368</v>
    <v>Abiy Ahmed (Prime minister)</v>
    <v>8b769640-264e-25d4-5b3b-3b3d837de7f3</v>
    <v>en-US</v>
    <v>Generic</v>
  </rv>
  <rv s="3">
    <v>59</v>
  </rv>
  <rv s="4">
    <v>https://www.bing.com/search?q=ethiopia&amp;form=skydnc</v>
    <v>Learn more on Bing</v>
  </rv>
  <rv s="1">
    <fb>66.239999999999995</fb>
    <v>26</v>
  </rv>
  <rv s="1">
    <fb>401</fb>
    <v>26</v>
  </rv>
  <rv s="3">
    <v>60</v>
  </rv>
  <rv s="1">
    <fb>0.3781040625</fb>
    <v>21</v>
  </rv>
  <rv s="1">
    <fb>7.6899999999999996E-2</fb>
    <v>23</v>
  </rv>
  <rv s="1">
    <fb>121372632</fb>
    <v>22</v>
  </rv>
  <rv s="1">
    <fb>0.21199999999999999</fb>
    <v>21</v>
  </rv>
  <rv s="1">
    <fb>0.28499999999999998</fb>
    <v>21</v>
  </rv>
  <rv s="1">
    <fb>0.43</fb>
    <v>21</v>
  </rv>
  <rv s="1">
    <fb>2.8999999999999998E-2</fb>
    <v>21</v>
  </rv>
  <rv s="1">
    <fb>7.2999999999999995E-2</fb>
    <v>21</v>
  </rv>
  <rv s="1">
    <fb>0.16300000000000001</fb>
    <v>21</v>
  </rv>
  <rv s="1">
    <fb>0.79550003051757801</fb>
    <v>21</v>
  </rv>
  <rv s="0">
    <v>536870912</v>
    <v>Afar Region</v>
    <v>c769ad43-641f-6ac5-378e-f1eb44ec9da0</v>
    <v>en-US</v>
    <v>Map</v>
  </rv>
  <rv s="0">
    <v>536870912</v>
    <v>Amhara Region</v>
    <v>18974485-7701-f939-eb43-6ed0021bf853</v>
    <v>en-US</v>
    <v>Map</v>
  </rv>
  <rv s="0">
    <v>536870912</v>
    <v>Benishangul-Gumuz Region</v>
    <v>e9e914ad-0904-d200-5dcf-f523e1778e0b</v>
    <v>en-US</v>
    <v>Map</v>
  </rv>
  <rv s="0">
    <v>536870912</v>
    <v>Dire Dawa</v>
    <v>dd9c686e-aed6-8366-bd0d-110a8039b49c</v>
    <v>en-US</v>
    <v>Map</v>
  </rv>
  <rv s="0">
    <v>536870912</v>
    <v>Gambela Region</v>
    <v>cb278b79-0633-4f8c-0d07-23d94b4068dc</v>
    <v>en-US</v>
    <v>Map</v>
  </rv>
  <rv s="0">
    <v>536870912</v>
    <v>Harari Region</v>
    <v>3ae0a830-f196-f556-1385-db52b991e080</v>
    <v>en-US</v>
    <v>Map</v>
  </rv>
  <rv s="0">
    <v>536870912</v>
    <v>Oromia</v>
    <v>f37d5404-2cbe-b6eb-8377-d12265786e2e</v>
    <v>en-US</v>
    <v>Map</v>
  </rv>
  <rv s="0">
    <v>536870912</v>
    <v>Somali Region</v>
    <v>568cb122-5c34-e129-0eb8-472efad75e94</v>
    <v>en-US</v>
    <v>Map</v>
  </rv>
  <rv s="0">
    <v>536870912</v>
    <v>Tigray Region</v>
    <v>f948be5d-0e78-13ff-ddd2-976f549dfa79</v>
    <v>en-US</v>
    <v>Map</v>
  </rv>
  <rv s="0">
    <v>536870912</v>
    <v>Sidama Region</v>
    <v>0d934606-1561-0678-f2f3-1d3e8e835e29</v>
    <v>en-US</v>
    <v>Map</v>
  </rv>
  <rv s="3">
    <v>61</v>
  </rv>
  <rv s="1">
    <fb>7.5122310532462003E-2</fb>
    <v>21</v>
  </rv>
  <rv s="3">
    <v>62</v>
  </rv>
  <rv s="1">
    <fb>0.377</fb>
    <v>21</v>
  </rv>
  <rv s="1">
    <fb>2.0810000896453903E-2</fb>
    <v>29</v>
  </rv>
  <rv s="1">
    <fb>23788710</fb>
    <v>22</v>
  </rv>
  <rv s="16">
    <v>#VALUE!</v>
    <v>en-US</v>
    <v>37e8cce3-f9b7-eca4-846f-b8b7e9cb6fb8</v>
    <v>536870912</v>
    <v>1</v>
    <v>129</v>
    <v>130</v>
    <v>Ethiopia</v>
    <v>17</v>
    <v>18</v>
    <v>Map</v>
    <v>19</v>
    <v>131</v>
    <v>ET</v>
    <v>781</v>
    <v>782</v>
    <v>783</v>
    <v>784</v>
    <v>785</v>
    <v>786</v>
    <v>787</v>
    <v>788</v>
    <v>789</v>
    <v>ETB</v>
    <v>Ethiopia, officially the Federal Democratic Republic of Ethiopia, is a landlocked country located in the Horn of Africa region of East Africa. It shares borders with Eritrea to the north, Djibouti to the northeast, Somalia to the east, Kenya to ...</v>
    <v>790</v>
    <v>791</v>
    <v>792</v>
    <v>793</v>
    <v>794</v>
    <v>795</v>
    <v>796</v>
    <v>797</v>
    <v>798</v>
    <v>799</v>
    <v>786</v>
    <v>802</v>
    <v>803</v>
    <v>804</v>
    <v>805</v>
    <v>Ethiopia</v>
    <v>March Forward, Dear Mother Ethiopia</v>
    <v>806</v>
    <v>la République démocratique fédérale d’Éthiopie</v>
    <v>807</v>
    <v>808</v>
    <v>809</v>
    <v>810</v>
    <v>811</v>
    <v>812</v>
    <v>813</v>
    <v>814</v>
    <v>396</v>
    <v>815</v>
    <v>816</v>
    <v>827</v>
    <v>828</v>
    <v>829</v>
    <v>830</v>
    <v>831</v>
    <v>Ethiopia</v>
    <v>832</v>
    <v>mdp/vdpid/73</v>
  </rv>
  <rv s="0">
    <v>536870912</v>
    <v>The Gambia</v>
    <v>85386bee-ab6d-88df-9ba8-83cd1d537799</v>
    <v>en-US</v>
    <v>Map</v>
  </rv>
  <rv s="1">
    <fb>0.59782608695652195</fb>
    <v>21</v>
  </rv>
  <rv s="1">
    <fb>11300</fb>
    <v>22</v>
  </rv>
  <rv s="1">
    <fb>38.534999999999997</fb>
    <v>23</v>
  </rv>
  <rv s="1">
    <fb>220</fb>
    <v>24</v>
  </rv>
  <rv s="0">
    <v>536870912</v>
    <v>Banjul</v>
    <v>72e78ebd-b3dd-3152-78aa-ef828f48f70e</v>
    <v>en-US</v>
    <v>Map</v>
  </rv>
  <rv s="1">
    <fb>531.71500000000003</fb>
    <v>22</v>
  </rv>
  <rv s="1">
    <fb>172.730435584882</fb>
    <v>25</v>
  </rv>
  <rv s="1">
    <fb>7.1156762563118897E-2</fb>
    <v>21</v>
  </rv>
  <rv s="1">
    <fb>5.2190000000000003</fb>
    <v>23</v>
  </rv>
  <rv s="1">
    <fb>0.48379447243430396</fb>
    <v>21</v>
  </rv>
  <rv s="1">
    <fb>1.18</fb>
    <v>28</v>
  </rv>
  <rv s="1">
    <fb>1763819047.69838</fb>
    <v>27</v>
  </rv>
  <rv s="1">
    <fb>0.98014380000000001</fb>
    <v>21</v>
  </rv>
  <rv s="1">
    <fb>2.7246100000000002E-2</fb>
    <v>21</v>
  </rv>
  <rv s="2">
    <v>16</v>
    <v>19</v>
    <v>133</v>
    <v>7</v>
    <v>0</v>
    <v>Image of The Gambia</v>
  </rv>
  <rv s="1">
    <fb>39</fb>
    <v>26</v>
  </rv>
  <rv s="0">
    <v>536870912</v>
    <v>Serekunda</v>
    <v>f3917dee-1062-2d23-ebf7-3c224aac6bb4</v>
    <v>en-US</v>
    <v>Map</v>
  </rv>
  <rv s="0">
    <v>805306368</v>
    <v>Adama Barrow (President)</v>
    <v>b4a2470d-4f06-2a38-0d39-ec4d5af2e634</v>
    <v>en-US</v>
    <v>Generic</v>
  </rv>
  <rv s="0">
    <v>805306368</v>
    <v>Muhammad B. S. Jallow (Vice president)</v>
    <v>16fb5420-e1c5-6209-80ed-d54722499ad5</v>
    <v>en-US</v>
    <v>Generic</v>
  </rv>
  <rv s="0">
    <v>805306368</v>
    <v>Hassan Bubacar Jallow (Chief justice)</v>
    <v>70b962a0-8f27-49a4-8c13-374f8c23727f</v>
    <v>en-US</v>
    <v>Generic</v>
  </rv>
  <rv s="3">
    <v>63</v>
  </rv>
  <rv s="4">
    <v>https://www.bing.com/search?q=the+gambia&amp;form=skydnc</v>
    <v>Learn more on Bing</v>
  </rv>
  <rv s="1">
    <fb>61.734999999999999</fb>
    <v>26</v>
  </rv>
  <rv s="1">
    <fb>597</fb>
    <v>26</v>
  </rv>
  <rv s="1">
    <fb>0.13</fb>
    <v>28</v>
  </rv>
  <rv s="1">
    <fb>0.20305275179999999</fb>
    <v>21</v>
  </rv>
  <rv s="1">
    <fb>0.1021</fb>
    <v>23</v>
  </rv>
  <rv s="1">
    <fb>2577553</fb>
    <v>22</v>
  </rv>
  <rv s="1">
    <fb>0.28699999999999998</fb>
    <v>21</v>
  </rv>
  <rv s="1">
    <fb>0.436</fb>
    <v>21</v>
  </rv>
  <rv s="1">
    <fb>0.03</fb>
    <v>21</v>
  </rv>
  <rv s="1">
    <fb>7.400000000000001E-2</fb>
    <v>21</v>
  </rv>
  <rv s="1">
    <fb>0.11599999999999999</fb>
    <v>21</v>
  </rv>
  <rv s="1">
    <fb>0.157</fb>
    <v>21</v>
  </rv>
  <rv s="1">
    <fb>0.59401000976562501</fb>
    <v>21</v>
  </rv>
  <rv s="0">
    <v>536870912</v>
    <v>Lower River Division</v>
    <v>f41047a2-baef-157c-fac5-41a1cc34bcd5</v>
    <v>en-US</v>
    <v>Map</v>
  </rv>
  <rv s="0">
    <v>536870912</v>
    <v>Central River Division</v>
    <v>87326972-186c-d4c4-b40b-ac937cfacbdc</v>
    <v>en-US</v>
    <v>Map</v>
  </rv>
  <rv s="0">
    <v>536870912</v>
    <v>North Bank Division</v>
    <v>583c1a5a-476b-a07d-cf82-a86e811cf222</v>
    <v>en-US</v>
    <v>Map</v>
  </rv>
  <rv s="0">
    <v>536870912</v>
    <v>Upper River Division</v>
    <v>a92ab152-33d4-b577-a430-49f713ce6dcf</v>
    <v>en-US</v>
    <v>Map</v>
  </rv>
  <rv s="0">
    <v>536870912</v>
    <v>West Coast Division</v>
    <v>cb7451d8-c3cc-d3ab-75ab-fe2feda99a9d</v>
    <v>en-US</v>
    <v>Map</v>
  </rv>
  <rv s="3">
    <v>64</v>
  </rv>
  <rv s="1">
    <fb>9.3940904811868398E-2</fb>
    <v>21</v>
  </rv>
  <rv s="3">
    <v>65</v>
  </rv>
  <rv s="1">
    <fb>0.48399999999999999</fb>
    <v>21</v>
  </rv>
  <rv s="1">
    <fb>9.0559997558593799E-2</fb>
    <v>29</v>
  </rv>
  <rv s="1">
    <fb>1453958</fb>
    <v>22</v>
  </rv>
  <rv s="17">
    <v>#VALUE!</v>
    <v>en-US</v>
    <v>85386bee-ab6d-88df-9ba8-83cd1d537799</v>
    <v>536870912</v>
    <v>1</v>
    <v>136</v>
    <v>137</v>
    <v>The Gambia</v>
    <v>17</v>
    <v>18</v>
    <v>Map</v>
    <v>19</v>
    <v>138</v>
    <v>GM</v>
    <v>835</v>
    <v>836</v>
    <v>225</v>
    <v>837</v>
    <v>838</v>
    <v>839</v>
    <v>840</v>
    <v>841</v>
    <v>842</v>
    <v>GMD</v>
    <v>The Gambia, officially the Republic of The Gambia, is a country in West Africa. Geographically, the Gambia is the smallest country in continental Africa; it is surrounded by Senegal on all sides except for the western part, which is bordered by ...</v>
    <v>843</v>
    <v>844</v>
    <v>11</v>
    <v>845</v>
    <v>846</v>
    <v>847</v>
    <v>848</v>
    <v>849</v>
    <v>850</v>
    <v>851</v>
    <v>855</v>
    <v>856</v>
    <v>857</v>
    <v>858</v>
    <v>859</v>
    <v>The Gambia</v>
    <v>For The Gambia Our Homeland</v>
    <v>440</v>
    <v>Republic of The Gambia</v>
    <v>860</v>
    <v>861</v>
    <v>862</v>
    <v>583</v>
    <v>863</v>
    <v>864</v>
    <v>865</v>
    <v>866</v>
    <v>867</v>
    <v>868</v>
    <v>869</v>
    <v>875</v>
    <v>876</v>
    <v>877</v>
    <v>878</v>
    <v>879</v>
    <v>The Gambia</v>
    <v>880</v>
    <v>mdp/vdpid/86</v>
  </rv>
  <rv s="0">
    <v>536870912</v>
    <v>Liberia</v>
    <v>95192591-973c-cf6a-417a-9b3fa9907caa</v>
    <v>en-US</v>
    <v>Map</v>
  </rv>
  <rv s="1">
    <fb>0.28031561461793997</fb>
    <v>21</v>
  </rv>
  <rv s="1">
    <fb>111369</fb>
    <v>22</v>
  </rv>
  <rv s="1">
    <fb>2000</fb>
    <v>22</v>
  </rv>
  <rv s="1">
    <fb>33.042000000000002</fb>
    <v>23</v>
  </rv>
  <rv s="1">
    <fb>231</fb>
    <v>24</v>
  </rv>
  <rv s="0">
    <v>536870912</v>
    <v>Monrovia</v>
    <v>35146d2a-a25e-aeed-611b-49d8993bdac9</v>
    <v>en-US</v>
    <v>Map</v>
  </rv>
  <rv s="1">
    <fb>1386.126</fb>
    <v>22</v>
  </rv>
  <rv s="1">
    <fb>223.12978802062801</fb>
    <v>25</v>
  </rv>
  <rv s="1">
    <fb>0.23563514895374202</fb>
    <v>21</v>
  </rv>
  <rv s="1">
    <fb>4.3150000000000004</fb>
    <v>23</v>
  </rv>
  <rv s="1">
    <fb>0.43075166112956803</fb>
    <v>21</v>
  </rv>
  <rv s="1">
    <fb>0.8</fb>
    <v>28</v>
  </rv>
  <rv s="1">
    <fb>3070518100</fb>
    <v>27</v>
  </rv>
  <rv s="1">
    <fb>0.85109190000000001</fb>
    <v>21</v>
  </rv>
  <rv s="1">
    <fb>0.11922530000000001</fb>
    <v>21</v>
  </rv>
  <rv s="2">
    <v>17</v>
    <v>19</v>
    <v>140</v>
    <v>7</v>
    <v>0</v>
    <v>Image of Liberia</v>
  </rv>
  <rv s="1">
    <fb>53.5</fb>
    <v>26</v>
  </rv>
  <rv s="0">
    <v>805306368</v>
    <v>Joseph Boakai (President)</v>
    <v>41852ea0-d977-c68e-2a17-e7de4012a02c</v>
    <v>en-US</v>
    <v>Generic</v>
  </rv>
  <rv s="0">
    <v>805306368</v>
    <v>Jeremiah Koung (Vice president)</v>
    <v>38158556-2122-a551-5444-4f1e0ed0d906</v>
    <v>en-US</v>
    <v>Generic</v>
  </rv>
  <rv s="0">
    <v>805306368</v>
    <v>Richard Koon (Speaker)</v>
    <v>8b5853ab-71c6-d312-853a-0fd98704244c</v>
    <v>en-US</v>
    <v>Generic</v>
  </rv>
  <rv s="0">
    <v>805306368</v>
    <v>Sie-A-Nyene Yuoh (Chief justice)</v>
    <v>1949a044-b028-9be8-8288-d4778a0181c0</v>
    <v>en-US</v>
    <v>Generic</v>
  </rv>
  <rv s="3">
    <v>66</v>
  </rv>
  <rv s="4">
    <v>https://www.bing.com/search?q=liberia&amp;form=skydnc</v>
    <v>Learn more on Bing</v>
  </rv>
  <rv s="1">
    <fb>63.73</fb>
    <v>26</v>
  </rv>
  <rv s="1">
    <fb>661</fb>
    <v>26</v>
  </rv>
  <rv s="1">
    <fb>0.17</fb>
    <v>28</v>
  </rv>
  <rv s="3">
    <v>67</v>
  </rv>
  <rv s="1">
    <fb>0.1963532674</fb>
    <v>21</v>
  </rv>
  <rv s="1">
    <fb>3.73E-2</fb>
    <v>23</v>
  </rv>
  <rv s="1">
    <fb>5563541</fb>
    <v>22</v>
  </rv>
  <rv s="1">
    <fb>0.223</fb>
    <v>21</v>
  </rv>
  <rv s="1">
    <fb>0.27100000000000002</fb>
    <v>21</v>
  </rv>
  <rv s="1">
    <fb>0.42799999999999999</fb>
    <v>21</v>
  </rv>
  <rv s="1">
    <fb>7.2000000000000008E-2</fb>
    <v>21</v>
  </rv>
  <rv s="1">
    <fb>0.7631500244140631</fb>
    <v>21</v>
  </rv>
  <rv s="0">
    <v>536870912</v>
    <v>Bomi County</v>
    <v>213c11f5-5f82-2d59-c2f6-5563efe6fe51</v>
    <v>en-US</v>
    <v>Map</v>
  </rv>
  <rv s="0">
    <v>536870912</v>
    <v>Bong County</v>
    <v>b21e8ba9-2afb-7122-75a1-18f259487975</v>
    <v>en-US</v>
    <v>Map</v>
  </rv>
  <rv s="0">
    <v>536870912</v>
    <v>Gbarpolu County</v>
    <v>fe1f8697-3001-e4ee-07df-84b02073269a</v>
    <v>en-US</v>
    <v>Map</v>
  </rv>
  <rv s="0">
    <v>536870912</v>
    <v>Grand Bassa County</v>
    <v>a8135369-20e8-e5a6-9b50-2994ccbb934c</v>
    <v>en-US</v>
    <v>Map</v>
  </rv>
  <rv s="0">
    <v>536870912</v>
    <v>Grand Cape Mount County</v>
    <v>05ada0f3-8ec3-ba70-cc61-eaf4375c0dab</v>
    <v>en-US</v>
    <v>Map</v>
  </rv>
  <rv s="0">
    <v>536870912</v>
    <v>Grand Gedeh County</v>
    <v>cc14e117-c801-17cc-9ea5-f9a88daf4f82</v>
    <v>en-US</v>
    <v>Map</v>
  </rv>
  <rv s="0">
    <v>536870912</v>
    <v>Grand Kru County</v>
    <v>075eee02-1783-4e13-39cc-95fa317b23e0</v>
    <v>en-US</v>
    <v>Map</v>
  </rv>
  <rv s="0">
    <v>536870912</v>
    <v>Lofa County</v>
    <v>5a2741e4-9127-a0d3-3eba-cdae90710607</v>
    <v>en-US</v>
    <v>Map</v>
  </rv>
  <rv s="0">
    <v>536870912</v>
    <v>Margibi County</v>
    <v>be0abe4e-f4a0-77e4-bbb3-6b8f861c4e3e</v>
    <v>en-US</v>
    <v>Map</v>
  </rv>
  <rv s="0">
    <v>536870912</v>
    <v>Maryland County</v>
    <v>f897806e-0dc2-2b4c-8e40-6f137a38f53c</v>
    <v>en-US</v>
    <v>Map</v>
  </rv>
  <rv s="0">
    <v>536870912</v>
    <v>Montserrado County</v>
    <v>21440288-266a-669b-ecc4-cfd55860d830</v>
    <v>en-US</v>
    <v>Map</v>
  </rv>
  <rv s="0">
    <v>536870912</v>
    <v>Nimba County</v>
    <v>61a49794-53d2-0a79-06f5-6c82de1c59dc</v>
    <v>en-US</v>
    <v>Map</v>
  </rv>
  <rv s="0">
    <v>536870912</v>
    <v>Rivercess County</v>
    <v>5b0405c8-9c4b-5652-de78-0913953487ee</v>
    <v>en-US</v>
    <v>Map</v>
  </rv>
  <rv s="0">
    <v>536870912</v>
    <v>River Gee County</v>
    <v>6c16b75b-39eb-259c-fc86-b1bd3c6e235e</v>
    <v>en-US</v>
    <v>Map</v>
  </rv>
  <rv s="0">
    <v>536870912</v>
    <v>Sinoe County</v>
    <v>706fd40f-95de-c3f5-cce3-67c1caef8e7a</v>
    <v>en-US</v>
    <v>Map</v>
  </rv>
  <rv s="3">
    <v>68</v>
  </rv>
  <rv s="1">
    <fb>0.12909168787088401</fb>
    <v>21</v>
  </rv>
  <rv s="3">
    <v>69</v>
  </rv>
  <rv s="1">
    <fb>2.8139998912811302E-2</fb>
    <v>29</v>
  </rv>
  <rv s="1">
    <fb>2548426</fb>
    <v>22</v>
  </rv>
  <rv s="12">
    <v>#VALUE!</v>
    <v>en-US</v>
    <v>95192591-973c-cf6a-417a-9b3fa9907caa</v>
    <v>536870912</v>
    <v>1</v>
    <v>143</v>
    <v>84</v>
    <v>Liberia</v>
    <v>17</v>
    <v>18</v>
    <v>Map</v>
    <v>19</v>
    <v>144</v>
    <v>LR</v>
    <v>883</v>
    <v>884</v>
    <v>885</v>
    <v>886</v>
    <v>887</v>
    <v>888</v>
    <v>889</v>
    <v>890</v>
    <v>891</v>
    <v>LRD</v>
    <v>Liberia, officially the Republic of Liberia, is a country on the West African coast. It is bordered by Sierra Leone to its northwest, Guinea to its north, Ivory Coast to its east, and the Atlantic Ocean to its south and southwest. It has a ...</v>
    <v>892</v>
    <v>893</v>
    <v>894</v>
    <v>895</v>
    <v>896</v>
    <v>897</v>
    <v>898</v>
    <v>899</v>
    <v>888</v>
    <v>904</v>
    <v>905</v>
    <v>906</v>
    <v>907</v>
    <v>908</v>
    <v>Liberia</v>
    <v>All Hail, Liberia, Hail!</v>
    <v>909</v>
    <v>Repubblica di Libèria</v>
    <v>910</v>
    <v>911</v>
    <v>912</v>
    <v>913</v>
    <v>914</v>
    <v>915</v>
    <v>813</v>
    <v>916</v>
    <v>867</v>
    <v>102</v>
    <v>917</v>
    <v>933</v>
    <v>934</v>
    <v>935</v>
    <v>754</v>
    <v>936</v>
    <v>Liberia</v>
    <v>937</v>
    <v>mdp/vdpid/142</v>
  </rv>
  <rv s="0">
    <v>536870912</v>
    <v>Democratic Republic of the Congo</v>
    <v>ca4ca1f6-14e8-4ec4-828b-9f989adfdedf</v>
    <v>en-US</v>
    <v>Map</v>
  </rv>
  <rv s="1">
    <fb>0.115568690589092</fb>
    <v>21</v>
  </rv>
  <rv s="1">
    <fb>2344858</fb>
    <v>22</v>
  </rv>
  <rv s="1">
    <fb>134000</fb>
    <v>22</v>
  </rv>
  <rv s="1">
    <fb>41.183</fb>
    <v>23</v>
  </rv>
  <rv s="1">
    <fb>243</fb>
    <v>24</v>
  </rv>
  <rv s="0">
    <v>536870912</v>
    <v>Kinshasa</v>
    <v>2acb1013-1141-4cb4-9703-aa6eef3bc16a</v>
    <v>en-US</v>
    <v>Map</v>
  </rv>
  <rv s="1">
    <fb>2020.5170000000001</fb>
    <v>22</v>
  </rv>
  <rv s="1">
    <fb>133.85092657703501</fb>
    <v>25</v>
  </rv>
  <rv s="1">
    <fb>2.8858510729000902E-2</fb>
    <v>21</v>
  </rv>
  <rv s="1">
    <fb>108.516701140545</fb>
    <v>22</v>
  </rv>
  <rv s="1">
    <fb>5.9189999999999996</fb>
    <v>23</v>
  </rv>
  <rv s="1">
    <fb>0.67165079618888002</fb>
    <v>21</v>
  </rv>
  <rv s="1">
    <fb>5.3558141424821999</fb>
    <v>26</v>
  </rv>
  <rv s="1">
    <fb>1.49</fb>
    <v>28</v>
  </rv>
  <rv s="1">
    <fb>47319624204.093803</fb>
    <v>27</v>
  </rv>
  <rv s="1">
    <fb>1.0797707999999999</fb>
    <v>21</v>
  </rv>
  <rv s="1">
    <fb>6.6033400000000006E-2</fb>
    <v>21</v>
  </rv>
  <rv s="2">
    <v>18</v>
    <v>19</v>
    <v>146</v>
    <v>7</v>
    <v>0</v>
    <v>Image of Democratic Republic of the Congo</v>
  </rv>
  <rv s="1">
    <fb>68.2</fb>
    <v>26</v>
  </rv>
  <rv s="0">
    <v>805306368</v>
    <v>Félix Tshisekedi (President)</v>
    <v>c33cb891-5387-79e5-c3ac-161bddd248b5</v>
    <v>en-US</v>
    <v>Generic</v>
  </rv>
  <rv s="0">
    <v>805306368</v>
    <v>Judith Suminwa (Prime minister)</v>
    <v>57702177-7d63-4886-9329-3817fa5b3404</v>
    <v>en-US</v>
    <v>Generic</v>
  </rv>
  <rv s="3">
    <v>70</v>
  </rv>
  <rv s="4">
    <v>https://www.bing.com/search?q=democratic+republic+of+the+congo&amp;form=skydnc</v>
    <v>Learn more on Bing</v>
  </rv>
  <rv s="1">
    <fb>60.368000000000002</fb>
    <v>26</v>
  </rv>
  <rv s="1">
    <fb>473</fb>
    <v>26</v>
  </rv>
  <rv s="1">
    <fb>0.18</fb>
    <v>28</v>
  </rv>
  <rv s="1">
    <fb>0.37426708410000004</fb>
    <v>21</v>
  </rv>
  <rv s="1">
    <fb>7.3999999999999996E-2</fb>
    <v>23</v>
  </rv>
  <rv s="1">
    <fb>119038825</fb>
    <v>22</v>
  </rv>
  <rv s="1">
    <fb>0.32</fb>
    <v>21</v>
  </rv>
  <rv s="1">
    <fb>2.1000000000000001E-2</fb>
    <v>21</v>
  </rv>
  <rv s="1">
    <fb>5.5E-2</fb>
    <v>21</v>
  </rv>
  <rv s="1">
    <fb>0.1</fb>
    <v>21</v>
  </rv>
  <rv s="1">
    <fb>0.14499999999999999</fb>
    <v>21</v>
  </rv>
  <rv s="1">
    <fb>0.63462001800537104</fb>
    <v>21</v>
  </rv>
  <rv s="0">
    <v>536870912</v>
    <v>Maniema</v>
    <v>061168d8-c9d6-4e36-a475-b6c1b6b53803</v>
    <v>en-US</v>
    <v>Map</v>
  </rv>
  <rv s="0">
    <v>536870912</v>
    <v>North Kivu</v>
    <v>cff98cf5-c18d-4744-b7fd-3460e4e602e4</v>
    <v>en-US</v>
    <v>Map</v>
  </rv>
  <rv s="0">
    <v>536870912</v>
    <v>South Kivu</v>
    <v>9e033254-96ff-4a56-bf8a-9bd770751374</v>
    <v>en-US</v>
    <v>Map</v>
  </rv>
  <rv s="0">
    <v>536870912</v>
    <v>Kwilu Province</v>
    <v>91e16f16-6205-4934-84a1-63961c3de246</v>
    <v>en-US</v>
    <v>Map</v>
  </rv>
  <rv s="0">
    <v>536870912</v>
    <v>Kwango</v>
    <v>3b9fc57d-2572-408a-ba5c-8d4dedf0a165</v>
    <v>en-US</v>
    <v>Map</v>
  </rv>
  <rv s="0">
    <v>536870912</v>
    <v>Mai-Ndombe Province</v>
    <v>a9427c9c-85d8-490b-8e86-9caedee73192</v>
    <v>en-US</v>
    <v>Map</v>
  </rv>
  <rv s="0">
    <v>536870912</v>
    <v>Tshuapa</v>
    <v>6ce8e89c-6e4f-4dc0-8e15-c6c5898e782f</v>
    <v>en-US</v>
    <v>Map</v>
  </rv>
  <rv s="0">
    <v>536870912</v>
    <v>Nord-Ubangi</v>
    <v>a1350b0b-d77a-40f6-9e35-96edefa00ba2</v>
    <v>en-US</v>
    <v>Map</v>
  </rv>
  <rv s="0">
    <v>536870912</v>
    <v>Sud-Ubangi</v>
    <v>5aa5d2c7-166d-40b8-8741-da458a49c2a7</v>
    <v>en-US</v>
    <v>Map</v>
  </rv>
  <rv s="0">
    <v>536870912</v>
    <v>Mongala</v>
    <v>142ee87e-d95f-4f95-abd4-5bcda09c2fe5</v>
    <v>en-US</v>
    <v>Map</v>
  </rv>
  <rv s="0">
    <v>536870912</v>
    <v>Bas-Uélé</v>
    <v>52e17b7b-4d5f-4928-bab8-4498c43530f0</v>
    <v>en-US</v>
    <v>Map</v>
  </rv>
  <rv s="0">
    <v>536870912</v>
    <v>Haut-Uélé</v>
    <v>64f0aa00-e4f8-4901-9fd2-1c83b30b33e8</v>
    <v>en-US</v>
    <v>Map</v>
  </rv>
  <rv s="0">
    <v>536870912</v>
    <v>Tshopo</v>
    <v>27dd0c89-4a04-42dd-9dc8-a028ae34e022</v>
    <v>en-US</v>
    <v>Map</v>
  </rv>
  <rv s="0">
    <v>536870912</v>
    <v>Ituri Province</v>
    <v>54a61892-2627-4504-9950-1b38358e9625</v>
    <v>en-US</v>
    <v>Map</v>
  </rv>
  <rv s="0">
    <v>536870912</v>
    <v>Kasaï Province</v>
    <v>61c09312-64fb-43b5-b723-e36f3beb848f</v>
    <v>en-US</v>
    <v>Map</v>
  </rv>
  <rv s="0">
    <v>536870912</v>
    <v>Kasaï-Central</v>
    <v>c78a5928-7dc9-488d-a2c4-fb14f2e44703</v>
    <v>en-US</v>
    <v>Map</v>
  </rv>
  <rv s="0">
    <v>536870912</v>
    <v>Lomami Province</v>
    <v>39a507fd-0fd1-4024-8f20-452df0dcadd4</v>
    <v>en-US</v>
    <v>Map</v>
  </rv>
  <rv s="0">
    <v>536870912</v>
    <v>Sankuru</v>
    <v>2b441678-943e-4215-8807-f4fb15eb88c5</v>
    <v>en-US</v>
    <v>Map</v>
  </rv>
  <rv s="0">
    <v>536870912</v>
    <v>Haut-Katanga Province</v>
    <v>ca09ce83-9df2-4ddf-9514-ff5fff5735c8</v>
    <v>en-US</v>
    <v>Map</v>
  </rv>
  <rv s="0">
    <v>536870912</v>
    <v>Haut-Lomami</v>
    <v>5c51e955-1220-40b9-bb47-7b9854475e3a</v>
    <v>en-US</v>
    <v>Map</v>
  </rv>
  <rv s="0">
    <v>536870912</v>
    <v>Lualaba Province</v>
    <v>ed2b028d-faa0-4b24-93f0-d528ddb53e0c</v>
    <v>en-US</v>
    <v>Map</v>
  </rv>
  <rv s="0">
    <v>536870912</v>
    <v>Tanganyika Province</v>
    <v>17feb6f7-3b23-8f1a-205b-e7023c73b77b</v>
    <v>en-US</v>
    <v>Map</v>
  </rv>
  <rv s="3">
    <v>71</v>
  </rv>
  <rv s="1">
    <fb>0.10704062801046201</fb>
    <v>21</v>
  </rv>
  <rv s="3">
    <v>72</v>
  </rv>
  <rv s="1">
    <fb>0.50700000000000001</fb>
    <v>21</v>
  </rv>
  <rv s="1">
    <fb>4.2360000610351597E-2</fb>
    <v>29</v>
  </rv>
  <rv s="1">
    <fb>39095679</fb>
    <v>22</v>
  </rv>
  <rv s="7">
    <v>#VALUE!</v>
    <v>en-US</v>
    <v>ca4ca1f6-14e8-4ec4-828b-9f989adfdedf</v>
    <v>536870912</v>
    <v>1</v>
    <v>149</v>
    <v>43</v>
    <v>Democratic Republic of the Congo</v>
    <v>17</v>
    <v>18</v>
    <v>Map</v>
    <v>19</v>
    <v>150</v>
    <v>CD</v>
    <v>940</v>
    <v>941</v>
    <v>942</v>
    <v>943</v>
    <v>944</v>
    <v>945</v>
    <v>946</v>
    <v>947</v>
    <v>948</v>
    <v>CDF</v>
    <v>The Democratic Republic of the Congo, also known as the DR Congo, Congo-Kinshasa, or simply the Congo or less often Zaire, is a country in Central Africa. By land area, it is the second-largest country in Africa and the 11th-largest in the ...</v>
    <v>949</v>
    <v>950</v>
    <v>951</v>
    <v>952</v>
    <v>953</v>
    <v>954</v>
    <v>955</v>
    <v>956</v>
    <v>957</v>
    <v>958</v>
    <v>945</v>
    <v>961</v>
    <v>962</v>
    <v>963</v>
    <v>964</v>
    <v>965</v>
    <v>Democratic Republic of the Congo</v>
    <v>Debout Congolais</v>
    <v>293</v>
    <v>République démocratique du Congo</v>
    <v>966</v>
    <v>967</v>
    <v>968</v>
    <v>149</v>
    <v>969</v>
    <v>878</v>
    <v>970</v>
    <v>971</v>
    <v>972</v>
    <v>973</v>
    <v>974</v>
    <v>997</v>
    <v>998</v>
    <v>999</v>
    <v>1000</v>
    <v>1001</v>
    <v>Democratic Republic of the Congo</v>
    <v>1002</v>
    <v>mdp/vdpid/44</v>
  </rv>
  <rv s="0">
    <v>536870912</v>
    <v>Guinea</v>
    <v>fb286d30-98bc-03ec-5a8c-021c49f1009b</v>
    <v>en-US</v>
    <v>Map</v>
  </rv>
  <rv s="1">
    <fb>0.59010255575451698</fb>
    <v>21</v>
  </rv>
  <rv s="1">
    <fb>245857</fb>
    <v>22</v>
  </rv>
  <rv s="1">
    <fb>13000</fb>
    <v>22</v>
  </rv>
  <rv s="1">
    <fb>36.363999999999997</fb>
    <v>23</v>
  </rv>
  <rv s="1">
    <fb>224</fb>
    <v>24</v>
  </rv>
  <rv s="0">
    <v>536870912</v>
    <v>Conakry</v>
    <v>684c5718-8371-c14b-92c9-6af66425dc35</v>
    <v>en-US</v>
    <v>Map</v>
  </rv>
  <rv s="1">
    <fb>2995.9389999999999</fb>
    <v>22</v>
  </rv>
  <rv s="1">
    <fb>262.949692139783</fb>
    <v>25</v>
  </rv>
  <rv s="1">
    <fb>9.4706971640204307E-2</fb>
    <v>21</v>
  </rv>
  <rv s="1">
    <fb>4.7</fb>
    <v>23</v>
  </rv>
  <rv s="1">
    <fb>0.25752889467686801</fb>
    <v>21</v>
  </rv>
  <rv s="1">
    <fb>0.9</fb>
    <v>28</v>
  </rv>
  <rv s="1">
    <fb>13590281808.692801</fb>
    <v>27</v>
  </rv>
  <rv s="1">
    <fb>0.91509169999999995</fb>
    <v>21</v>
  </rv>
  <rv s="1">
    <fb>0.1155931</fb>
    <v>21</v>
  </rv>
  <rv s="2">
    <v>19</v>
    <v>19</v>
    <v>152</v>
    <v>7</v>
    <v>0</v>
    <v>Image of Guinea</v>
  </rv>
  <rv s="1">
    <fb>64.900000000000006</fb>
    <v>26</v>
  </rv>
  <rv s="0">
    <v>805306368</v>
    <v>Mamady Doumbouya (President)</v>
    <v>4b4da2bd-4ed5-009f-0d86-fb9a1b35f25e</v>
    <v>en-US</v>
    <v>Generic</v>
  </rv>
  <rv s="0">
    <v>805306368</v>
    <v>Bah Oury (Prime minister)</v>
    <v>22c59910-48fa-249a-6489-fdd76f285cd3</v>
    <v>en-US</v>
    <v>Generic</v>
  </rv>
  <rv s="3">
    <v>73</v>
  </rv>
  <rv s="4">
    <v>https://www.bing.com/search?q=guinea&amp;form=skydnc</v>
    <v>Learn more on Bing</v>
  </rv>
  <rv s="1">
    <fb>61.185000000000002</fb>
    <v>26</v>
  </rv>
  <rv s="1">
    <fb>576</fb>
    <v>26</v>
  </rv>
  <rv s="1">
    <fb>0.54494895890000006</fb>
    <v>21</v>
  </rv>
  <rv s="1">
    <fb>7.8799999999999995E-2</fb>
    <v>23</v>
  </rv>
  <rv s="1">
    <fb>14374590</fb>
    <v>22</v>
  </rv>
  <rv s="1">
    <fb>0.22399999999999998</fb>
    <v>21</v>
  </rv>
  <rv s="1">
    <fb>0.26400000000000001</fb>
    <v>21</v>
  </rv>
  <rv s="1">
    <fb>7.5999999999999998E-2</fb>
    <v>21</v>
  </rv>
  <rv s="1">
    <fb>0.16399999999999998</fb>
    <v>21</v>
  </rv>
  <rv s="1">
    <fb>0.61534000396728505</fb>
    <v>21</v>
  </rv>
  <rv s="3">
    <v>74</v>
  </rv>
  <rv s="1">
    <fb>0.10841783867052399</fb>
    <v>21</v>
  </rv>
  <rv s="3">
    <v>75</v>
  </rv>
  <rv s="1">
    <fb>0.69299999999999995</fb>
    <v>21</v>
  </rv>
  <rv s="1">
    <fb>4.2960000038146998E-2</fb>
    <v>29</v>
  </rv>
  <rv s="1">
    <fb>4661505</fb>
    <v>22</v>
  </rv>
  <rv s="15">
    <v>#VALUE!</v>
    <v>en-US</v>
    <v>fb286d30-98bc-03ec-5a8c-021c49f1009b</v>
    <v>536870912</v>
    <v>1</v>
    <v>155</v>
    <v>111</v>
    <v>Guinea</v>
    <v>17</v>
    <v>18</v>
    <v>Map</v>
    <v>19</v>
    <v>156</v>
    <v>GN</v>
    <v>1005</v>
    <v>1006</v>
    <v>1007</v>
    <v>1008</v>
    <v>1009</v>
    <v>1010</v>
    <v>1011</v>
    <v>1012</v>
    <v>1013</v>
    <v>GNF</v>
    <v>Guinea, officially the Republic of Guinea, is a coastal country in West Africa. It borders the Atlantic Ocean to the west, Guinea-Bissau to the northwest, Senegal to the north, Mali to the northeast, Ivory Coast to the southeast, and Sierra ...</v>
    <v>1014</v>
    <v>1015</v>
    <v>1016</v>
    <v>1017</v>
    <v>1018</v>
    <v>1019</v>
    <v>1020</v>
    <v>1021</v>
    <v>1010</v>
    <v>1024</v>
    <v>1025</v>
    <v>1026</v>
    <v>1027</v>
    <v>Guinea</v>
    <v>Liberté</v>
    <v>293</v>
    <v>Guinée</v>
    <v>1028</v>
    <v>1029</v>
    <v>1030</v>
    <v>1031</v>
    <v>1032</v>
    <v>445</v>
    <v>865</v>
    <v>1033</v>
    <v>205</v>
    <v>1034</v>
    <v>1035</v>
    <v>1036</v>
    <v>1037</v>
    <v>1038</v>
    <v>1039</v>
    <v>1040</v>
    <v>Guinea</v>
    <v>1041</v>
    <v>mdp/vdpid/100</v>
  </rv>
  <rv s="0">
    <v>536870912</v>
    <v>South Sudan</v>
    <v>635b509c-70bc-d390-59d2-111df3a4c6bf</v>
    <v>en-US</v>
    <v>Map</v>
  </rv>
  <rv s="1">
    <fb>644329</fb>
    <v>22</v>
  </rv>
  <rv s="1">
    <fb>185000</fb>
    <v>22</v>
  </rv>
  <rv s="1">
    <fb>35.01</fb>
    <v>23</v>
  </rv>
  <rv s="1">
    <fb>211</fb>
    <v>24</v>
  </rv>
  <rv s="0">
    <v>536870912</v>
    <v>Juba</v>
    <v>4dfb3035-1f71-020c-ac75-1fd8e9de5a25</v>
    <v>en-US</v>
    <v>Map</v>
  </rv>
  <rv s="1">
    <fb>1727.1569999999999</fb>
    <v>22</v>
  </rv>
  <rv s="1">
    <fb>4583.7054616258101</fb>
    <v>25</v>
  </rv>
  <rv s="1">
    <fb>1.8785162569662401</fb>
    <v>21</v>
  </rv>
  <rv s="1">
    <fb>43.5817242123859</fb>
    <v>22</v>
  </rv>
  <rv s="1">
    <fb>4.6959999999999997</fb>
    <v>23</v>
  </rv>
  <rv s="1">
    <fb>72.222634783900205</fb>
    <v>26</v>
  </rv>
  <rv s="1">
    <fb>0.28000000000000003</fb>
    <v>28</v>
  </rv>
  <rv s="1">
    <fb>11997800751.0613</fb>
    <v>27</v>
  </rv>
  <rv s="1">
    <fb>0.72989909999999991</fb>
    <v>21</v>
  </rv>
  <rv s="2">
    <v>20</v>
    <v>19</v>
    <v>158</v>
    <v>7</v>
    <v>0</v>
    <v>Image of South Sudan</v>
  </rv>
  <rv s="1">
    <fb>63.7</fb>
    <v>26</v>
  </rv>
  <rv s="0">
    <v>805306368</v>
    <v>Salva Kiir Mayardit (President)</v>
    <v>c0ae52ac-d436-411b-b133-bb255da42af4</v>
    <v>en-US</v>
    <v>Generic</v>
  </rv>
  <rv s="0">
    <v>805306368</v>
    <v>Riek Machar (Vice president)</v>
    <v>68ed28f3-fb00-a527-16cb-cdd5c41d370e</v>
    <v>en-US</v>
    <v>Generic</v>
  </rv>
  <rv s="3">
    <v>76</v>
  </rv>
  <rv s="4">
    <v>https://www.bing.com/search?q=south+sudan&amp;form=skydnc</v>
    <v>Learn more on Bing</v>
  </rv>
  <rv s="1">
    <fb>57.603999999999999</fb>
    <v>26</v>
  </rv>
  <rv s="1">
    <fb>1150</fb>
    <v>26</v>
  </rv>
  <rv s="1">
    <fb>0.61346893280000003</fb>
    <v>21</v>
  </rv>
  <rv s="1">
    <fb>13300066</fb>
    <v>22</v>
  </rv>
  <rv s="1">
    <fb>0.22800000000000001</fb>
    <v>21</v>
  </rv>
  <rv s="1">
    <fb>0.33200000000000002</fb>
    <v>21</v>
  </rv>
  <rv s="1">
    <fb>0.50600000000000001</fb>
    <v>21</v>
  </rv>
  <rv s="1">
    <fb>1.3000000000000001E-2</fb>
    <v>21</v>
  </rv>
  <rv s="1">
    <fb>8.5999999999999993E-2</fb>
    <v>21</v>
  </rv>
  <rv s="1">
    <fb>0.14199999999999999</fb>
    <v>21</v>
  </rv>
  <rv s="1">
    <fb>0.72386001586914106</fb>
    <v>21</v>
  </rv>
  <rv s="0">
    <v>536870912</v>
    <v>Jonglei State</v>
    <v>55bb8850-8170-898d-2687-c0773460903b</v>
    <v>en-US</v>
    <v>Map</v>
  </rv>
  <rv s="3">
    <v>77</v>
  </rv>
  <rv s="3">
    <v>78</v>
  </rv>
  <rv s="1">
    <fb>0.314</fb>
    <v>21</v>
  </rv>
  <rv s="1">
    <fb>0.122440004348755</fb>
    <v>29</v>
  </rv>
  <rv s="1">
    <fb>2201250</fb>
    <v>22</v>
  </rv>
  <rv s="18">
    <v>#VALUE!</v>
    <v>en-US</v>
    <v>635b509c-70bc-d390-59d2-111df3a4c6bf</v>
    <v>536870912</v>
    <v>1</v>
    <v>161</v>
    <v>162</v>
    <v>South Sudan</v>
    <v>17</v>
    <v>18</v>
    <v>Map</v>
    <v>19</v>
    <v>163</v>
    <v>SS</v>
    <v>1044</v>
    <v>1045</v>
    <v>1046</v>
    <v>1047</v>
    <v>1048</v>
    <v>1049</v>
    <v>1050</v>
    <v>1051</v>
    <v>SSP</v>
    <v>South Sudan, officially the Republic of South Sudan, is a landlocked country in East Africa. It is bordered by Sudan to the north, Ethiopia to the east, Kenya to the southeast, Uganda to the south, Democratic Republic of the Congo to the ...</v>
    <v>1052</v>
    <v>1053</v>
    <v>1054</v>
    <v>1055</v>
    <v>1056</v>
    <v>1057</v>
    <v>1058</v>
    <v>1059</v>
    <v>1048</v>
    <v>1062</v>
    <v>1063</v>
    <v>1064</v>
    <v>1065</v>
    <v>South Sudan</v>
    <v>South Sudan, Oyee!</v>
    <v>440</v>
    <v>la République du Soudan du Sud</v>
    <v>1066</v>
    <v>1067</v>
    <v>1068</v>
    <v>1069</v>
    <v>1070</v>
    <v>1071</v>
    <v>448</v>
    <v>1072</v>
    <v>1073</v>
    <v>1074</v>
    <v>1076</v>
    <v>1077</v>
    <v>1078</v>
    <v>1079</v>
    <v>South Sudan</v>
    <v>1080</v>
    <v>mdp/vdpid/276</v>
  </rv>
  <rv s="0">
    <v>536870912</v>
    <v>Zimbabwe</v>
    <v>b5996cb7-676c-cac9-7199-564ad2aab277</v>
    <v>en-US</v>
    <v>Map</v>
  </rv>
  <rv s="1">
    <fb>0.41876696393951102</fb>
    <v>21</v>
  </rv>
  <rv s="1">
    <fb>390757</fb>
    <v>22</v>
  </rv>
  <rv s="1">
    <fb>51000</fb>
    <v>22</v>
  </rv>
  <rv s="1">
    <fb>30.675999999999998</fb>
    <v>23</v>
  </rv>
  <rv s="1">
    <fb>263</fb>
    <v>24</v>
  </rv>
  <rv s="0">
    <v>536870912</v>
    <v>Harare</v>
    <v>339262f8-e3e8-4a7a-b284-2ec0ae8db056</v>
    <v>en-US</v>
    <v>Map</v>
  </rv>
  <rv s="1">
    <fb>10982.665000000001</fb>
    <v>22</v>
  </rv>
  <rv s="1">
    <fb>105.511848952592</fb>
    <v>25</v>
  </rv>
  <rv s="1">
    <fb>9.0973328962810091E-3</fb>
    <v>21</v>
  </rv>
  <rv s="1">
    <fb>609.12595209970698</fb>
    <v>22</v>
  </rv>
  <rv s="1">
    <fb>3.6150000000000002</fb>
    <v>23</v>
  </rv>
  <rv s="1">
    <fb>0.35542457307418901</fb>
    <v>21</v>
  </rv>
  <rv s="1">
    <fb>29.095759404593402</fb>
    <v>26</v>
  </rv>
  <rv s="1">
    <fb>1.34</fb>
    <v>28</v>
  </rv>
  <rv s="1">
    <fb>21440758800</fb>
    <v>27</v>
  </rv>
  <rv s="1">
    <fb>1.0989279000000001</fb>
    <v>21</v>
  </rv>
  <rv s="1">
    <fb>0.1000655</fb>
    <v>21</v>
  </rv>
  <rv s="2">
    <v>21</v>
    <v>19</v>
    <v>165</v>
    <v>7</v>
    <v>0</v>
    <v>Image of Zimbabwe</v>
  </rv>
  <rv s="1">
    <fb>33.9</fb>
    <v>26</v>
  </rv>
  <rv s="0">
    <v>805306368</v>
    <v>Emmerson Mnangagwa (President)</v>
    <v>485bebda-1a4d-dcb2-fcaa-11582e210099</v>
    <v>en-US</v>
    <v>Generic</v>
  </rv>
  <rv s="0">
    <v>805306368</v>
    <v>Constantino Chiwenga (Vice president)</v>
    <v>6eb34b17-b52d-5fb1-d5c1-ef0bf3a6b7d0</v>
    <v>en-US</v>
    <v>Generic</v>
  </rv>
  <rv s="3">
    <v>79</v>
  </rv>
  <rv s="4">
    <v>https://www.bing.com/search?q=zimbabwe&amp;form=skydnc</v>
    <v>Learn more on Bing</v>
  </rv>
  <rv s="1">
    <fb>61.195</fb>
    <v>26</v>
  </rv>
  <rv s="1">
    <fb>2460690000</fb>
    <v>27</v>
  </rv>
  <rv s="1">
    <fb>458</fb>
    <v>26</v>
  </rv>
  <rv s="3">
    <v>80</v>
  </rv>
  <rv s="1">
    <fb>0.25786417579999998</fb>
    <v>21</v>
  </rv>
  <rv s="1">
    <fb>0.20960000000000001</fb>
    <v>23</v>
  </rv>
  <rv s="1">
    <fb>17472752</fb>
    <v>22</v>
  </rv>
  <rv s="1">
    <fb>0.20600000000000002</fb>
    <v>21</v>
  </rv>
  <rv s="1">
    <fb>0.51100000000000001</fb>
    <v>21</v>
  </rv>
  <rv s="1">
    <fb>2.5000000000000001E-2</fb>
    <v>21</v>
  </rv>
  <rv s="1">
    <fb>0.06</fb>
    <v>21</v>
  </rv>
  <rv s="1">
    <fb>0.83098999023437503</fb>
    <v>21</v>
  </rv>
  <rv s="0">
    <v>536870912</v>
    <v>Manicaland Province</v>
    <v>b1f33617-37cf-4b27-9859-5db9bb06fa11</v>
    <v>en-US</v>
    <v>Map</v>
  </rv>
  <rv s="0">
    <v>536870912</v>
    <v>Mashonaland Central Province</v>
    <v>2ef46323-c369-41a1-9e79-1f5e432f3ecd</v>
    <v>en-US</v>
    <v>Map</v>
  </rv>
  <rv s="0">
    <v>536870912</v>
    <v>Mashonaland East Province</v>
    <v>1fc07007-9f63-4db6-a6c5-e8b0f8bdb7a7</v>
    <v>en-US</v>
    <v>Map</v>
  </rv>
  <rv s="0">
    <v>536870912</v>
    <v>Mashonaland West Province</v>
    <v>99e23c4e-5280-488f-afcc-0fd10e492c5a</v>
    <v>en-US</v>
    <v>Map</v>
  </rv>
  <rv s="0">
    <v>536870912</v>
    <v>Matabeleland North Province</v>
    <v>51d8ea84-5806-40c6-b58c-33b181349fe4</v>
    <v>en-US</v>
    <v>Map</v>
  </rv>
  <rv s="0">
    <v>536870912</v>
    <v>Matabeleland South Province</v>
    <v>67f42b25-58c5-468d-b8c4-68f5b3c9f2a9</v>
    <v>en-US</v>
    <v>Map</v>
  </rv>
  <rv s="0">
    <v>536870912</v>
    <v>Midlands Province</v>
    <v>0265a709-9b01-4e2b-a93a-1cabf7de13a0</v>
    <v>en-US</v>
    <v>Map</v>
  </rv>
  <rv s="0">
    <v>536870912</v>
    <v>Harare Province</v>
    <v>8b8018d5-44a5-2bd7-fdd4-b805107e6afa</v>
    <v>en-US</v>
    <v>Map</v>
  </rv>
  <rv s="0">
    <v>536870912</v>
    <v>Masvingo Province</v>
    <v>eaed1e4c-fb87-46f4-9780-f36993637fbe</v>
    <v>en-US</v>
    <v>Map</v>
  </rv>
  <rv s="3">
    <v>81</v>
  </rv>
  <rv s="1">
    <fb>0.20658688009763901</fb>
    <v>21</v>
  </rv>
  <rv s="3">
    <v>82</v>
  </rv>
  <rv s="1">
    <fb>0.316</fb>
    <v>21</v>
  </rv>
  <rv s="1">
    <fb>4.9539999961853001E-2</fb>
    <v>29</v>
  </rv>
  <rv s="1">
    <fb>4717305</fb>
    <v>22</v>
  </rv>
  <rv s="19">
    <v>#VALUE!</v>
    <v>en-US</v>
    <v>b5996cb7-676c-cac9-7199-564ad2aab277</v>
    <v>536870912</v>
    <v>1</v>
    <v>168</v>
    <v>169</v>
    <v>Zimbabwe</v>
    <v>17</v>
    <v>18</v>
    <v>Map</v>
    <v>19</v>
    <v>170</v>
    <v>ZW</v>
    <v>1083</v>
    <v>1084</v>
    <v>1085</v>
    <v>1086</v>
    <v>1087</v>
    <v>1088</v>
    <v>1089</v>
    <v>1090</v>
    <v>1091</v>
    <v>AUD</v>
    <v>Zimbabwe, officially the Republic of Zimbabwe, is a landlocked country in Southeast Africa, between the Zambezi and Limpopo River, bordered by South Africa to the south, Botswana to the southwest, Zambia to the north, and Mozambique to the east. ...</v>
    <v>1092</v>
    <v>1093</v>
    <v>1094</v>
    <v>1095</v>
    <v>1096</v>
    <v>1097</v>
    <v>1098</v>
    <v>1099</v>
    <v>1100</v>
    <v>1101</v>
    <v>1088</v>
    <v>1104</v>
    <v>1105</v>
    <v>1106</v>
    <v>1107</v>
    <v>1108</v>
    <v>Zimbabwe</v>
    <v>National Anthem of Zimbabwe</v>
    <v>1109</v>
    <v>Zimbabwe</v>
    <v>1110</v>
    <v>1111</v>
    <v>1112</v>
    <v>1113</v>
    <v>550</v>
    <v>1114</v>
    <v>1115</v>
    <v>1116</v>
    <v>32</v>
    <v>302</v>
    <v>1117</v>
    <v>1127</v>
    <v>1128</v>
    <v>1129</v>
    <v>1130</v>
    <v>1131</v>
    <v>Zimbabwe</v>
    <v>1132</v>
    <v>mdp/vdpid/264</v>
  </rv>
  <rv s="0">
    <v>536870912</v>
    <v>Malawi</v>
    <v>ea88d001-8d7b-94df-0326-28dd7c25ee20</v>
    <v>en-US</v>
    <v>Map</v>
  </rv>
  <rv s="1">
    <fb>0.61412812897751401</fb>
    <v>21</v>
  </rv>
  <rv s="1">
    <fb>118484</fb>
    <v>22</v>
  </rv>
  <rv s="1">
    <fb>15000</fb>
    <v>22</v>
  </rv>
  <rv s="1">
    <fb>34.118000000000002</fb>
    <v>23</v>
  </rv>
  <rv s="1">
    <fb>265</fb>
    <v>24</v>
  </rv>
  <rv s="0">
    <v>536870912</v>
    <v>Lilongwe</v>
    <v>8ee8ebd1-3df0-a3b5-3d70-d8e0924b7ca7</v>
    <v>en-US</v>
    <v>Map</v>
  </rv>
  <rv s="1">
    <fb>1298.1179999999999</fb>
    <v>22</v>
  </rv>
  <rv s="1">
    <fb>418.344325525805</fb>
    <v>25</v>
  </rv>
  <rv s="1">
    <fb>9.3708360560567208E-2</fb>
    <v>21</v>
  </rv>
  <rv s="1">
    <fb>4.2089999999999996</fb>
    <v>23</v>
  </rv>
  <rv s="1">
    <fb>0.33188375053033503</fb>
    <v>21</v>
  </rv>
  <rv s="1">
    <fb>1.1499999999999999</fb>
    <v>28</v>
  </rv>
  <rv s="1">
    <fb>7666704427.0091496</fb>
    <v>27</v>
  </rv>
  <rv s="1">
    <fb>1.4245782</fb>
    <v>21</v>
  </rv>
  <rv s="1">
    <fb>8.2387999999999992E-3</fb>
    <v>21</v>
  </rv>
  <rv s="2">
    <v>22</v>
    <v>19</v>
    <v>172</v>
    <v>7</v>
    <v>0</v>
    <v>Image of Malawi</v>
  </rv>
  <rv s="1">
    <fb>35.299999999999997</fb>
    <v>26</v>
  </rv>
  <rv s="0">
    <v>805306368</v>
    <v>Peter Mutharika (President)</v>
    <v>43d12fb8-268f-2da5-095d-0ea191a62256</v>
    <v>en-US</v>
    <v>Generic</v>
  </rv>
  <rv s="0">
    <v>805306368</v>
    <v>Jane Ansah (Vice president)</v>
    <v>b7f81e96-e24f-f7c2-db37-b2a030716f52</v>
    <v>en-US</v>
    <v>Generic</v>
  </rv>
  <rv s="0">
    <v>805306368</v>
    <v>Sameer Suleman (Speaker)</v>
    <v>ad4a67c9-ad42-6bde-9b98-d2cbd2518be3</v>
    <v>en-US</v>
    <v>Generic</v>
  </rv>
  <rv s="0">
    <v>805306368</v>
    <v>Rizine Mzikamanda (Chief justice)</v>
    <v>1a5d8e52-6806-3541-454f-2de01bcc12f6</v>
    <v>en-US</v>
    <v>Generic</v>
  </rv>
  <rv s="3">
    <v>83</v>
  </rv>
  <rv s="4">
    <v>https://www.bing.com/search?q=malawi&amp;form=skydnc</v>
    <v>Learn more on Bing</v>
  </rv>
  <rv s="1">
    <fb>63.798000000000002</fb>
    <v>26</v>
  </rv>
  <rv s="1">
    <fb>349</fb>
    <v>26</v>
  </rv>
  <rv s="1">
    <fb>0.12</fb>
    <v>28</v>
  </rv>
  <rv s="1">
    <fb>0.10981896049999999</fb>
    <v>21</v>
  </rv>
  <rv s="1">
    <fb>3.5799999999999998E-2</fb>
    <v>23</v>
  </rv>
  <rv s="1">
    <fb>20550954</fb>
    <v>22</v>
  </rv>
  <rv s="1">
    <fb>0.188</fb>
    <v>21</v>
  </rv>
  <rv s="1">
    <fb>0.38100000000000001</fb>
    <v>21</v>
  </rv>
  <rv s="1">
    <fb>2.6000000000000002E-2</fb>
    <v>21</v>
  </rv>
  <rv s="1">
    <fb>6.4000000000000001E-2</fb>
    <v>21</v>
  </rv>
  <rv s="1">
    <fb>9.8000000000000004E-2</fb>
    <v>21</v>
  </rv>
  <rv s="1">
    <fb>0.13300000000000001</fb>
    <v>21</v>
  </rv>
  <rv s="1">
    <fb>0.76718002319335898</fb>
    <v>21</v>
  </rv>
  <rv s="1">
    <fb>0.17253667002529302</fb>
    <v>21</v>
  </rv>
  <rv s="3">
    <v>84</v>
  </rv>
  <rv s="1">
    <fb>0.34499999999999997</fb>
    <v>21</v>
  </rv>
  <rv s="1">
    <fb>5.6529998779296903E-2</fb>
    <v>29</v>
  </rv>
  <rv s="1">
    <fb>3199301</fb>
    <v>22</v>
  </rv>
  <rv s="20">
    <v>#VALUE!</v>
    <v>en-US</v>
    <v>ea88d001-8d7b-94df-0326-28dd7c25ee20</v>
    <v>536870912</v>
    <v>1</v>
    <v>175</v>
    <v>176</v>
    <v>Malawi</v>
    <v>17</v>
    <v>18</v>
    <v>Map</v>
    <v>19</v>
    <v>177</v>
    <v>MW</v>
    <v>1135</v>
    <v>1136</v>
    <v>1137</v>
    <v>1138</v>
    <v>1139</v>
    <v>1140</v>
    <v>1141</v>
    <v>1142</v>
    <v>1143</v>
    <v>MWK</v>
    <v>Malawi, officially the Republic of Malawi, is a landlocked country in Southeast Africa. It is bordered by Zambia to the west, Tanzania to the north and northeast, and Mozambique to the east, south, and southwest. Malawi spans over 118,484 km² ...</v>
    <v>1144</v>
    <v>1145</v>
    <v>1146</v>
    <v>1147</v>
    <v>1148</v>
    <v>1149</v>
    <v>1150</v>
    <v>1151</v>
    <v>1140</v>
    <v>1156</v>
    <v>1157</v>
    <v>1158</v>
    <v>1159</v>
    <v>1160</v>
    <v>Malawi</v>
    <v>Mlungu dalitsani Malaŵi</v>
    <v>440</v>
    <v>Malawi</v>
    <v>1161</v>
    <v>1162</v>
    <v>1163</v>
    <v>1164</v>
    <v>1165</v>
    <v>151</v>
    <v>1166</v>
    <v>1167</v>
    <v>1168</v>
    <v>1169</v>
    <v>1170</v>
    <v>1171</v>
    <v>1172</v>
    <v>1173</v>
    <v>1174</v>
    <v>Malawi</v>
    <v>1175</v>
    <v>mdp/vdpid/156</v>
  </rv>
  <rv s="0">
    <v>536870912</v>
    <v>Uganda</v>
    <v>7d4e292c-ed0f-b242-321c-a056c115e6cc</v>
    <v>en-US</v>
    <v>Map</v>
  </rv>
  <rv s="1">
    <fb>0.71888090963494899</fb>
    <v>21</v>
  </rv>
  <rv s="1">
    <fb>241038</fb>
    <v>22</v>
  </rv>
  <rv s="1">
    <fb>46000</fb>
    <v>22</v>
  </rv>
  <rv s="1">
    <fb>38.134999999999998</fb>
    <v>23</v>
  </rv>
  <rv s="1">
    <fb>256</fb>
    <v>24</v>
  </rv>
  <rv s="0">
    <v>536870912</v>
    <v>Kampala</v>
    <v>67dc76a5-510b-2628-8dfa-cbbf87564c1c</v>
    <v>en-US</v>
    <v>Map</v>
  </rv>
  <rv s="1">
    <fb>5680.183</fb>
    <v>22</v>
  </rv>
  <rv s="1">
    <fb>173.871268176331</fb>
    <v>25</v>
  </rv>
  <rv s="1">
    <fb>2.8690942502055398E-2</fb>
    <v>21</v>
  </rv>
  <rv s="1">
    <fb>4.9550000000000001</fb>
    <v>23</v>
  </rv>
  <rv s="1">
    <fb>9.6838223061446696E-2</fb>
    <v>21</v>
  </rv>
  <rv s="1">
    <fb>0.94</fb>
    <v>28</v>
  </rv>
  <rv s="1">
    <fb>34387229486.400803</fb>
    <v>27</v>
  </rv>
  <rv s="1">
    <fb>1.0270471000000001</fb>
    <v>21</v>
  </rv>
  <rv s="1">
    <fb>4.8366400000000004E-2</fb>
    <v>21</v>
  </rv>
  <rv s="2">
    <v>23</v>
    <v>19</v>
    <v>179</v>
    <v>7</v>
    <v>0</v>
    <v>Image of Uganda</v>
  </rv>
  <rv s="1">
    <fb>33.799999999999997</fb>
    <v>26</v>
  </rv>
  <rv s="0">
    <v>805306368</v>
    <v>Yoweri Museveni (President)</v>
    <v>64dcefe8-9e50-6c08-a717-3213c308913a</v>
    <v>en-US</v>
    <v>Generic</v>
  </rv>
  <rv s="0">
    <v>805306368</v>
    <v>Jessica Alupo (Vice president)</v>
    <v>d4586258-cc35-d9b7-4504-0bcd193c3259</v>
    <v>en-US</v>
    <v>Generic</v>
  </rv>
  <rv s="0">
    <v>805306368</v>
    <v>Robinah Nabbanja (Prime minister)</v>
    <v>48911f0c-c5ae-841e-ad36-d7f43af76493</v>
    <v>en-US</v>
    <v>Generic</v>
  </rv>
  <rv s="3">
    <v>85</v>
  </rv>
  <rv s="4">
    <v>https://www.bing.com/search?q=uganda&amp;form=skydnc</v>
    <v>Learn more on Bing</v>
  </rv>
  <rv s="1">
    <fb>62.972999999999999</fb>
    <v>26</v>
  </rv>
  <rv s="1">
    <fb>375</fb>
    <v>26</v>
  </rv>
  <rv s="1">
    <fb>0.01</fb>
    <v>28</v>
  </rv>
  <rv s="3">
    <v>86</v>
  </rv>
  <rv s="1">
    <fb>0.40501093429999996</fb>
    <v>21</v>
  </rv>
  <rv s="1">
    <fb>0.16800000000000001</fb>
    <v>23</v>
  </rv>
  <rv s="1">
    <fb>50863850</fb>
    <v>22</v>
  </rv>
  <rv s="1">
    <fb>0.20399999999999999</fb>
    <v>21</v>
  </rv>
  <rv s="1">
    <fb>0.34200000000000003</fb>
    <v>21</v>
  </rv>
  <rv s="1">
    <fb>0.498</fb>
    <v>21</v>
  </rv>
  <rv s="1">
    <fb>0.13800000000000001</fb>
    <v>21</v>
  </rv>
  <rv s="1">
    <fb>0.703369979858398</fb>
    <v>21</v>
  </rv>
  <rv s="0">
    <v>536870912</v>
    <v>Buikwe District</v>
    <v>f2d05439-5ff8-6b50-30cf-2de0bd18486b</v>
    <v>en-US</v>
    <v>Map</v>
  </rv>
  <rv s="0">
    <v>536870912</v>
    <v>Bukomansimbi District</v>
    <v>8ec77aae-1d78-247d-142a-a1b24a683ac6</v>
    <v>en-US</v>
    <v>Map</v>
  </rv>
  <rv s="0">
    <v>536870912</v>
    <v>Butambala District</v>
    <v>1696851b-eca8-466d-8416-035ee72a7504</v>
    <v>en-US</v>
    <v>Map</v>
  </rv>
  <rv s="0">
    <v>536870912</v>
    <v>Buvuma District</v>
    <v>416c9b18-8eab-41df-90f0-a88344a8ff8e</v>
    <v>en-US</v>
    <v>Map</v>
  </rv>
  <rv s="0">
    <v>536870912</v>
    <v>Gomba District</v>
    <v>708b530f-631c-49cc-b584-8772420f1bd6</v>
    <v>en-US</v>
    <v>Map</v>
  </rv>
  <rv s="0">
    <v>536870912</v>
    <v>Kalangala District</v>
    <v>58006821-1b21-7c0d-aa1a-cc52a621c055</v>
    <v>en-US</v>
    <v>Map</v>
  </rv>
  <rv s="0">
    <v>536870912</v>
    <v>Kalungu District</v>
    <v>6c800f8c-8e3e-ff73-84fd-7d26b506a62c</v>
    <v>en-US</v>
    <v>Map</v>
  </rv>
  <rv s="0">
    <v>536870912</v>
    <v>Kampala District</v>
    <v>c83cc293-6fb4-3b16-2054-3f9547fff4a3</v>
    <v>en-US</v>
    <v>Map</v>
  </rv>
  <rv s="0">
    <v>536870912</v>
    <v>Kayunga District</v>
    <v>370c3c3a-0e9d-db15-f2d2-412b1843cdb4</v>
    <v>en-US</v>
    <v>Map</v>
  </rv>
  <rv s="0">
    <v>536870912</v>
    <v>Kiboga District</v>
    <v>7098ef10-c952-8824-8790-67b6e0941d29</v>
    <v>en-US</v>
    <v>Map</v>
  </rv>
  <rv s="0">
    <v>536870912</v>
    <v>Kyankwanzi District</v>
    <v>4e677004-908e-1591-6fdf-cb50ffe78955</v>
    <v>en-US</v>
    <v>Map</v>
  </rv>
  <rv s="0">
    <v>536870912</v>
    <v>Luweero District</v>
    <v>c392e326-e5cc-b98d-074d-67f021fc0fd5</v>
    <v>en-US</v>
    <v>Map</v>
  </rv>
  <rv s="0">
    <v>536870912</v>
    <v>Lwengo District</v>
    <v>00af7840-bc24-7461-e13d-426be139ba35</v>
    <v>en-US</v>
    <v>Map</v>
  </rv>
  <rv s="0">
    <v>536870912</v>
    <v>Lyantonde District</v>
    <v>96a41db4-7c72-96b4-2716-be8ff9b54bc1</v>
    <v>en-US</v>
    <v>Map</v>
  </rv>
  <rv s="0">
    <v>536870912</v>
    <v>Masaka District</v>
    <v>fdbaf2dc-1526-073f-4c14-17bbfaaea07f</v>
    <v>en-US</v>
    <v>Map</v>
  </rv>
  <rv s="0">
    <v>536870912</v>
    <v>Mityana District</v>
    <v>349d406a-b304-30dd-2477-b8c66412da0f</v>
    <v>en-US</v>
    <v>Map</v>
  </rv>
  <rv s="0">
    <v>536870912</v>
    <v>Mpigi District</v>
    <v>a40a0def-8780-45c6-e099-6aa139f00ea5</v>
    <v>en-US</v>
    <v>Map</v>
  </rv>
  <rv s="0">
    <v>536870912</v>
    <v>Mubende District</v>
    <v>3cbf7551-fa5f-aad7-9286-d23f5d922824</v>
    <v>en-US</v>
    <v>Map</v>
  </rv>
  <rv s="0">
    <v>536870912</v>
    <v>Mukono District</v>
    <v>e480dfcc-09c7-9c93-4144-80ef8b7bdfc6</v>
    <v>en-US</v>
    <v>Map</v>
  </rv>
  <rv s="0">
    <v>536870912</v>
    <v>Nakaseke District</v>
    <v>5c0e5eb9-7540-dcb2-c61f-7f163e27ca0d</v>
    <v>en-US</v>
    <v>Map</v>
  </rv>
  <rv s="0">
    <v>536870912</v>
    <v>Nakasongola District</v>
    <v>5b572f0b-1499-e070-55f3-965f13ba8e82</v>
    <v>en-US</v>
    <v>Map</v>
  </rv>
  <rv s="0">
    <v>536870912</v>
    <v>Rakai District</v>
    <v>c49b1a37-023c-a446-57a8-ae53ec038f4a</v>
    <v>en-US</v>
    <v>Map</v>
  </rv>
  <rv s="0">
    <v>536870912</v>
    <v>Sembabule District</v>
    <v>33029761-5f47-be41-6171-3b18eae54c98</v>
    <v>en-US</v>
    <v>Map</v>
  </rv>
  <rv s="0">
    <v>536870912</v>
    <v>Wakiso District</v>
    <v>92994034-0e70-8ea3-c37f-3ecbeff6f9bf</v>
    <v>en-US</v>
    <v>Map</v>
  </rv>
  <rv s="0">
    <v>536870912</v>
    <v>Amuria District</v>
    <v>62b6eaa7-09bf-3e57-dd64-6e07cefb791c</v>
    <v>en-US</v>
    <v>Map</v>
  </rv>
  <rv s="0">
    <v>536870912</v>
    <v>Budaka District</v>
    <v>d498d986-dc74-9fb3-d622-049468a3ca7c</v>
    <v>en-US</v>
    <v>Map</v>
  </rv>
  <rv s="0">
    <v>536870912</v>
    <v>Bududa District</v>
    <v>8657e48e-c424-565b-31db-ec71b8d19f95</v>
    <v>en-US</v>
    <v>Map</v>
  </rv>
  <rv s="0">
    <v>536870912</v>
    <v>Bugiri District</v>
    <v>cd2c9903-0268-600c-2301-b18517147e32</v>
    <v>en-US</v>
    <v>Map</v>
  </rv>
  <rv s="0">
    <v>536870912</v>
    <v>Bukedea District</v>
    <v>f8770798-37e6-8c33-0dcb-ba1e6fc8264f</v>
    <v>en-US</v>
    <v>Map</v>
  </rv>
  <rv s="0">
    <v>536870912</v>
    <v>Bukwo District</v>
    <v>b0ac9f47-f5ef-8f68-b61f-1bb7249dce79</v>
    <v>en-US</v>
    <v>Map</v>
  </rv>
  <rv s="0">
    <v>536870912</v>
    <v>Bulambuli District</v>
    <v>0157d6f5-cb41-a186-0cdd-b0e889f2633d</v>
    <v>en-US</v>
    <v>Map</v>
  </rv>
  <rv s="0">
    <v>536870912</v>
    <v>Busia District</v>
    <v>17e18ab6-99aa-b26b-5dad-972405c9cef1</v>
    <v>en-US</v>
    <v>Map</v>
  </rv>
  <rv s="0">
    <v>536870912</v>
    <v>Butaleja District</v>
    <v>6ec87612-56ac-797c-19ca-04732aa20455</v>
    <v>en-US</v>
    <v>Map</v>
  </rv>
  <rv s="0">
    <v>536870912</v>
    <v>Buyende District</v>
    <v>8076d2d9-f5c3-a7d3-0508-44efbb5cb9f9</v>
    <v>en-US</v>
    <v>Map</v>
  </rv>
  <rv s="0">
    <v>536870912</v>
    <v>Iganga District</v>
    <v>26be4719-c7f6-c6a8-a9a8-77855569bf38</v>
    <v>en-US</v>
    <v>Map</v>
  </rv>
  <rv s="0">
    <v>536870912</v>
    <v>Jinja District</v>
    <v>391480b0-1696-2af0-5402-d63f88f6a374</v>
    <v>en-US</v>
    <v>Map</v>
  </rv>
  <rv s="0">
    <v>536870912</v>
    <v>Kaberamaido District</v>
    <v>ba81d5dd-db0c-6458-874d-9b6520a4f927</v>
    <v>en-US</v>
    <v>Map</v>
  </rv>
  <rv s="0">
    <v>536870912</v>
    <v>Kaliro District</v>
    <v>d25ae4be-60c8-28ad-b542-0579eb5e5e08</v>
    <v>en-US</v>
    <v>Map</v>
  </rv>
  <rv s="0">
    <v>536870912</v>
    <v>Kamuli District</v>
    <v>2ab20290-b9ef-ff6d-5a71-a1488c48dba9</v>
    <v>en-US</v>
    <v>Map</v>
  </rv>
  <rv s="0">
    <v>536870912</v>
    <v>Kapchorwa District</v>
    <v>a10a6813-4134-8e2a-ab93-5b103a547690</v>
    <v>en-US</v>
    <v>Map</v>
  </rv>
  <rv s="0">
    <v>536870912</v>
    <v>Katakwi District</v>
    <v>6a7d6c62-081e-feef-1891-12a7d94affaa</v>
    <v>en-US</v>
    <v>Map</v>
  </rv>
  <rv s="0">
    <v>536870912</v>
    <v>Kibuku District</v>
    <v>7c9a91b5-1b20-c9bf-b578-ccc27a797688</v>
    <v>en-US</v>
    <v>Map</v>
  </rv>
  <rv s="0">
    <v>536870912</v>
    <v>Kumi District</v>
    <v>e6191e07-e190-3dfd-23bb-afebb37771aa</v>
    <v>en-US</v>
    <v>Map</v>
  </rv>
  <rv s="0">
    <v>536870912</v>
    <v>Kween District</v>
    <v>14446749-1edf-430d-a957-9549fad0639f</v>
    <v>en-US</v>
    <v>Map</v>
  </rv>
  <rv s="0">
    <v>536870912</v>
    <v>Luuka District</v>
    <v>1c905aa8-cfad-c3c3-7dd1-44006298f4d6</v>
    <v>en-US</v>
    <v>Map</v>
  </rv>
  <rv s="0">
    <v>536870912</v>
    <v>Manafwa District</v>
    <v>c3af2571-26f0-4cdc-8404-f925367b46ab</v>
    <v>en-US</v>
    <v>Map</v>
  </rv>
  <rv s="0">
    <v>536870912</v>
    <v>Mayuge District</v>
    <v>56dc6b83-adb7-85f5-76cf-152842f1a9fb</v>
    <v>en-US</v>
    <v>Map</v>
  </rv>
  <rv s="0">
    <v>536870912</v>
    <v>Mbale District</v>
    <v>43976d14-a481-641c-05cf-fcfc64808710</v>
    <v>en-US</v>
    <v>Map</v>
  </rv>
  <rv s="0">
    <v>536870912</v>
    <v>Namayingo District</v>
    <v>9df0191e-0c52-3bbd-6550-761b97792eaf</v>
    <v>en-US</v>
    <v>Map</v>
  </rv>
  <rv s="0">
    <v>536870912</v>
    <v>Namutumba District</v>
    <v>6402dcf1-8914-1dce-87a0-1d38079f98c1</v>
    <v>en-US</v>
    <v>Map</v>
  </rv>
  <rv s="0">
    <v>536870912</v>
    <v>Ngora District</v>
    <v>36906f64-bf0f-b140-6046-bb958997fe07</v>
    <v>en-US</v>
    <v>Map</v>
  </rv>
  <rv s="0">
    <v>536870912</v>
    <v>Pallisa District</v>
    <v>118ed6a1-7a16-b582-2fe5-b5756970beac</v>
    <v>en-US</v>
    <v>Map</v>
  </rv>
  <rv s="0">
    <v>536870912</v>
    <v>Serere District</v>
    <v>91191892-8a33-db6c-26ac-5caaefce7c56</v>
    <v>en-US</v>
    <v>Map</v>
  </rv>
  <rv s="0">
    <v>536870912</v>
    <v>Sironko District</v>
    <v>2b6fab9c-0eff-254e-b2c3-6da8a6a6badc</v>
    <v>en-US</v>
    <v>Map</v>
  </rv>
  <rv s="0">
    <v>536870912</v>
    <v>Soroti District</v>
    <v>4d164bfe-cb33-98ab-4b82-d2bcf1e0e8d9</v>
    <v>en-US</v>
    <v>Map</v>
  </rv>
  <rv s="0">
    <v>536870912</v>
    <v>Tororo District</v>
    <v>dce4500c-36f9-2b4c-f31f-96d86bde4f96</v>
    <v>en-US</v>
    <v>Map</v>
  </rv>
  <rv s="0">
    <v>536870912</v>
    <v>Abim District</v>
    <v>29419ebc-02d5-d463-1718-3ddb57ae5fa8</v>
    <v>en-US</v>
    <v>Map</v>
  </rv>
  <rv s="0">
    <v>536870912</v>
    <v>Adjumani District</v>
    <v>f1ccc807-1fbf-9ec8-576c-bb8edfa3d2f0</v>
    <v>en-US</v>
    <v>Map</v>
  </rv>
  <rv s="0">
    <v>536870912</v>
    <v>Agago District</v>
    <v>b222976f-8edd-b694-6458-aa73ed6b3813</v>
    <v>en-US</v>
    <v>Map</v>
  </rv>
  <rv s="0">
    <v>536870912</v>
    <v>Alebtong District</v>
    <v>6b1f40e5-ee78-1be9-f408-14344b3ca2cd</v>
    <v>en-US</v>
    <v>Map</v>
  </rv>
  <rv s="0">
    <v>536870912</v>
    <v>Amolatar District</v>
    <v>a09c2577-38a8-d27b-ea09-771cc3fac468</v>
    <v>en-US</v>
    <v>Map</v>
  </rv>
  <rv s="0">
    <v>536870912</v>
    <v>Amudat District</v>
    <v>ecc13e2b-baa6-8e85-4b58-8d2b49796271</v>
    <v>en-US</v>
    <v>Map</v>
  </rv>
  <rv s="0">
    <v>536870912</v>
    <v>Amuru District</v>
    <v>d9026d8b-8b48-53b6-c503-538a14819689</v>
    <v>en-US</v>
    <v>Map</v>
  </rv>
  <rv s="0">
    <v>536870912</v>
    <v>Apac District</v>
    <v>105fe9c4-60a3-c53a-4273-31345d63648f</v>
    <v>en-US</v>
    <v>Map</v>
  </rv>
  <rv s="0">
    <v>536870912</v>
    <v>Arua District</v>
    <v>d10bc05c-b917-5132-fc07-c25892a2104a</v>
    <v>en-US</v>
    <v>Map</v>
  </rv>
  <rv s="0">
    <v>536870912</v>
    <v>Dokolo District</v>
    <v>8251b00b-c485-1978-73e7-88bcde6320d4</v>
    <v>en-US</v>
    <v>Map</v>
  </rv>
  <rv s="0">
    <v>536870912</v>
    <v>Gulu District</v>
    <v>5c0ee095-c4e1-a7d2-497f-be1b6a1eb173</v>
    <v>en-US</v>
    <v>Map</v>
  </rv>
  <rv s="0">
    <v>536870912</v>
    <v>Kaabong District</v>
    <v>91b83a77-147e-9a6c-bbf8-4101cc86b1c7</v>
    <v>en-US</v>
    <v>Map</v>
  </rv>
  <rv s="0">
    <v>536870912</v>
    <v>Kitgum District</v>
    <v>50215a5b-1892-7209-2bd3-698149bfa23b</v>
    <v>en-US</v>
    <v>Map</v>
  </rv>
  <rv s="0">
    <v>536870912</v>
    <v>Koboko District</v>
    <v>27d6756f-de04-c1aa-6001-e4dbf8cdea9c</v>
    <v>en-US</v>
    <v>Map</v>
  </rv>
  <rv s="0">
    <v>536870912</v>
    <v>Kole District</v>
    <v>5b170021-649b-a2a0-8c68-7baca0933acb</v>
    <v>en-US</v>
    <v>Map</v>
  </rv>
  <rv s="0">
    <v>536870912</v>
    <v>Kotido District</v>
    <v>bc702f99-12ce-1a40-b9a7-4052844938fd</v>
    <v>en-US</v>
    <v>Map</v>
  </rv>
  <rv s="0">
    <v>536870912</v>
    <v>Lamwo District</v>
    <v>b403abf2-5a6e-7a8e-2a9a-1322456652fa</v>
    <v>en-US</v>
    <v>Map</v>
  </rv>
  <rv s="0">
    <v>536870912</v>
    <v>Lira District</v>
    <v>27bfe193-81e1-de65-9276-6a05bec4202c</v>
    <v>en-US</v>
    <v>Map</v>
  </rv>
  <rv s="0">
    <v>536870912</v>
    <v>Maracha District</v>
    <v>f49a2190-86b5-4a0c-9af1-e39345080f68</v>
    <v>en-US</v>
    <v>Map</v>
  </rv>
  <rv s="0">
    <v>536870912</v>
    <v>Moroto District</v>
    <v>dc0215d6-6809-a84b-50db-cf59190a5e3c</v>
    <v>en-US</v>
    <v>Map</v>
  </rv>
  <rv s="0">
    <v>536870912</v>
    <v>Moyo District</v>
    <v>fae9c60f-c426-b205-4769-62bdbade277f</v>
    <v>en-US</v>
    <v>Map</v>
  </rv>
  <rv s="0">
    <v>536870912</v>
    <v>Nakapiripirit District</v>
    <v>b0413110-b35a-5dc4-d613-1884a3a3f825</v>
    <v>en-US</v>
    <v>Map</v>
  </rv>
  <rv s="0">
    <v>536870912</v>
    <v>Napak District</v>
    <v>2623ca7b-24ff-6bc5-0f7f-54cf577efb03</v>
    <v>en-US</v>
    <v>Map</v>
  </rv>
  <rv s="0">
    <v>536870912</v>
    <v>Nebbi District</v>
    <v>dc446f39-de00-40cb-995a-214cc7bf68db</v>
    <v>en-US</v>
    <v>Map</v>
  </rv>
  <rv s="0">
    <v>536870912</v>
    <v>Nwoya District</v>
    <v>f3e049a4-0c17-ce1b-c574-2bfc5b84979b</v>
    <v>en-US</v>
    <v>Map</v>
  </rv>
  <rv s="0">
    <v>536870912</v>
    <v>Otuke District</v>
    <v>2996036d-3a48-3622-acc9-95d959d4a908</v>
    <v>en-US</v>
    <v>Map</v>
  </rv>
  <rv s="0">
    <v>536870912</v>
    <v>Oyam District</v>
    <v>74e5f8bd-ae17-ac2f-cc45-97ac94fad502</v>
    <v>en-US</v>
    <v>Map</v>
  </rv>
  <rv s="0">
    <v>536870912</v>
    <v>Pader District</v>
    <v>d87460b6-de91-068e-d672-471043777b03</v>
    <v>en-US</v>
    <v>Map</v>
  </rv>
  <rv s="0">
    <v>536870912</v>
    <v>Yumbe District</v>
    <v>9b6d24af-f700-20f2-bae5-f166b7710505</v>
    <v>en-US</v>
    <v>Map</v>
  </rv>
  <rv s="0">
    <v>536870912</v>
    <v>Zombo District</v>
    <v>ae245e52-5be7-fe52-70bb-b4d848626fb6</v>
    <v>en-US</v>
    <v>Map</v>
  </rv>
  <rv s="0">
    <v>536870912</v>
    <v>Buhweju District</v>
    <v>79190a2f-d12c-433e-764a-b3471324f6d6</v>
    <v>en-US</v>
    <v>Map</v>
  </rv>
  <rv s="0">
    <v>536870912</v>
    <v>Buliisa District</v>
    <v>cd8e84d5-4bb8-4f3c-a0b5-d8872f3b9bb6</v>
    <v>en-US</v>
    <v>Map</v>
  </rv>
  <rv s="0">
    <v>536870912</v>
    <v>Bundibugyo District</v>
    <v>5070546d-172d-504d-84b2-cb60beaa53cb</v>
    <v>en-US</v>
    <v>Map</v>
  </rv>
  <rv s="0">
    <v>536870912</v>
    <v>Bushenyi District</v>
    <v>b510ce84-718b-5a27-dea9-1001b7f638bb</v>
    <v>en-US</v>
    <v>Map</v>
  </rv>
  <rv s="0">
    <v>536870912</v>
    <v>Hoima District</v>
    <v>c88659b1-d54d-0803-c9db-28c20330b186</v>
    <v>en-US</v>
    <v>Map</v>
  </rv>
  <rv s="0">
    <v>536870912</v>
    <v>Ibanda District</v>
    <v>4c4632c3-35e2-d358-9121-e37a61d23cdc</v>
    <v>en-US</v>
    <v>Map</v>
  </rv>
  <rv s="0">
    <v>536870912</v>
    <v>Isingiro District</v>
    <v>bd8b4022-a46f-425a-8116-afb371a30b09</v>
    <v>en-US</v>
    <v>Map</v>
  </rv>
  <rv s="0">
    <v>536870912</v>
    <v>Kabale District</v>
    <v>dfad3502-a75c-be56-bf1e-0e579198a3c1</v>
    <v>en-US</v>
    <v>Map</v>
  </rv>
  <rv s="0">
    <v>536870912</v>
    <v>Kabarole District</v>
    <v>f4797522-0c91-ea89-11cb-574094365b9f</v>
    <v>en-US</v>
    <v>Map</v>
  </rv>
  <rv s="0">
    <v>536870912</v>
    <v>Kamwenge District</v>
    <v>3f708bdd-7305-f197-4802-a9576e4317e7</v>
    <v>en-US</v>
    <v>Map</v>
  </rv>
  <rv s="0">
    <v>536870912</v>
    <v>Kanungu District</v>
    <v>783daab0-54ba-da4d-8fed-48310841ca5c</v>
    <v>en-US</v>
    <v>Map</v>
  </rv>
  <rv s="0">
    <v>536870912</v>
    <v>Kasese District</v>
    <v>921b9091-cac8-b129-f1b4-b2306086d5a1</v>
    <v>en-US</v>
    <v>Map</v>
  </rv>
  <rv s="0">
    <v>536870912</v>
    <v>Kibaale District</v>
    <v>485b9be2-73eb-235b-ff88-53e8af67fdd2</v>
    <v>en-US</v>
    <v>Map</v>
  </rv>
  <rv s="0">
    <v>536870912</v>
    <v>Kiruhura District</v>
    <v>6b35e7d6-57b4-ef6d-4ffa-c04a106794c9</v>
    <v>en-US</v>
    <v>Map</v>
  </rv>
  <rv s="0">
    <v>536870912</v>
    <v>Kiryandongo District</v>
    <v>5e41d164-5f19-e9a8-af85-bd30778b9e78</v>
    <v>en-US</v>
    <v>Map</v>
  </rv>
  <rv s="0">
    <v>536870912</v>
    <v>Kisoro District</v>
    <v>76a0add3-0ea7-4a53-0204-438f9d016993</v>
    <v>en-US</v>
    <v>Map</v>
  </rv>
  <rv s="0">
    <v>536870912</v>
    <v>Kyegegwa District</v>
    <v>ded72a78-23a1-49df-b898-21114048313a</v>
    <v>en-US</v>
    <v>Map</v>
  </rv>
  <rv s="0">
    <v>536870912</v>
    <v>Kyenjojo District</v>
    <v>e6967dc8-9abc-c412-90c2-8ad0876a1536</v>
    <v>en-US</v>
    <v>Map</v>
  </rv>
  <rv s="0">
    <v>536870912</v>
    <v>Masindi District</v>
    <v>bfcc000b-e7b3-cc6c-8ecb-81a5d281523c</v>
    <v>en-US</v>
    <v>Map</v>
  </rv>
  <rv s="0">
    <v>536870912</v>
    <v>Mbarara district</v>
    <v>3004c94f-fb81-fc83-acc3-5c52730ceff3</v>
    <v>en-US</v>
    <v>Map</v>
  </rv>
  <rv s="0">
    <v>536870912</v>
    <v>Mitooma District</v>
    <v>152412be-02d2-bc45-3f5e-170438024993</v>
    <v>en-US</v>
    <v>Map</v>
  </rv>
  <rv s="0">
    <v>536870912</v>
    <v>Ntoroko District</v>
    <v>c9888485-ec74-39ba-61aa-c26227c200d9</v>
    <v>en-US</v>
    <v>Map</v>
  </rv>
  <rv s="0">
    <v>536870912</v>
    <v>Ntungamo District</v>
    <v>469cac16-03ad-c4e1-11a8-d287cb371cb5</v>
    <v>en-US</v>
    <v>Map</v>
  </rv>
  <rv s="0">
    <v>536870912</v>
    <v>Rubirizi District</v>
    <v>cb6b8cb7-2962-5fc6-1822-dc2db8f09c3d</v>
    <v>en-US</v>
    <v>Map</v>
  </rv>
  <rv s="0">
    <v>536870912</v>
    <v>Rukungiri District</v>
    <v>630e5dde-32bd-e5c3-c218-8f587b1061df</v>
    <v>en-US</v>
    <v>Map</v>
  </rv>
  <rv s="0">
    <v>536870912</v>
    <v>Sheema District</v>
    <v>37314be3-8b82-c23e-ceba-03e0baa8b112</v>
    <v>en-US</v>
    <v>Map</v>
  </rv>
  <rv s="3">
    <v>87</v>
  </rv>
  <rv s="1">
    <fb>0.117391967515158</fb>
    <v>21</v>
  </rv>
  <rv s="3">
    <v>88</v>
  </rv>
  <rv s="1">
    <fb>1.8430000543594401E-2</fb>
    <v>29</v>
  </rv>
  <rv s="1">
    <fb>10784516</fb>
    <v>22</v>
  </rv>
  <rv s="12">
    <v>#VALUE!</v>
    <v>en-US</v>
    <v>7d4e292c-ed0f-b242-321c-a056c115e6cc</v>
    <v>536870912</v>
    <v>1</v>
    <v>182</v>
    <v>84</v>
    <v>Uganda</v>
    <v>17</v>
    <v>18</v>
    <v>Map</v>
    <v>19</v>
    <v>183</v>
    <v>UG</v>
    <v>1178</v>
    <v>1179</v>
    <v>1180</v>
    <v>1181</v>
    <v>1182</v>
    <v>1183</v>
    <v>1184</v>
    <v>1185</v>
    <v>1186</v>
    <v>UGX</v>
    <v>Uganda, officially the Republic of Uganda, is a landlocked country in East Africa. It is bordered to the east by Kenya, to the north by South Sudan, to the west by the Democratic Republic of the Congo, to the south-west by Rwanda, and to the ...</v>
    <v>1187</v>
    <v>1188</v>
    <v>1189</v>
    <v>1190</v>
    <v>1191</v>
    <v>1192</v>
    <v>1193</v>
    <v>1194</v>
    <v>1183</v>
    <v>1198</v>
    <v>1199</v>
    <v>1200</v>
    <v>1201</v>
    <v>1202</v>
    <v>Uganda</v>
    <v>Oh Uganda, Land of Beauty</v>
    <v>1203</v>
    <v>Uganda</v>
    <v>1204</v>
    <v>1205</v>
    <v>1206</v>
    <v>1207</v>
    <v>1208</v>
    <v>1209</v>
    <v>1115</v>
    <v>700</v>
    <v>1168</v>
    <v>1210</v>
    <v>1211</v>
    <v>1324</v>
    <v>1325</v>
    <v>1326</v>
    <v>28</v>
    <v>1327</v>
    <v>Uganda</v>
    <v>1328</v>
    <v>mdp/vdpid/240</v>
  </rv>
  <rv s="0">
    <v>536870912</v>
    <v>Madagascar</v>
    <v>0c191888-e860-e654-dadd-811644d3a15d</v>
    <v>en-US</v>
    <v>Map</v>
  </rv>
  <rv s="1">
    <fb>0.71184255757992398</fb>
    <v>21</v>
  </rv>
  <rv s="1">
    <fb>587295</fb>
    <v>22</v>
  </rv>
  <rv s="1">
    <fb>22000</fb>
    <v>22</v>
  </rv>
  <rv s="1">
    <fb>32.656999999999996</fb>
    <v>23</v>
  </rv>
  <rv s="1">
    <fb>261</fb>
    <v>24</v>
  </rv>
  <rv s="0">
    <v>536870912</v>
    <v>Antananarivo</v>
    <v>015e5356-1976-ff36-b4fa-949440dd65d5</v>
    <v>en-US</v>
    <v>Map</v>
  </rv>
  <rv s="1">
    <fb>3905.355</fb>
    <v>22</v>
  </rv>
  <rv s="1">
    <fb>184.32973641733099</fb>
    <v>25</v>
  </rv>
  <rv s="1">
    <fb>5.6253057395435402E-2</fb>
    <v>21</v>
  </rv>
  <rv s="1">
    <fb>4.077</fb>
    <v>23</v>
  </rv>
  <rv s="1">
    <fb>0.21411137848057799</fb>
    <v>21</v>
  </rv>
  <rv s="1">
    <fb>1.1100000000000001</fb>
    <v>28</v>
  </rv>
  <rv s="1">
    <fb>14083906356.618</fb>
    <v>27</v>
  </rv>
  <rv s="1">
    <fb>1.4253427999999999</fb>
    <v>21</v>
  </rv>
  <rv s="1">
    <fb>5.3504899999999994E-2</fb>
    <v>21</v>
  </rv>
  <rv s="2">
    <v>24</v>
    <v>19</v>
    <v>185</v>
    <v>7</v>
    <v>0</v>
    <v>Image of Madagascar</v>
  </rv>
  <rv s="1">
    <fb>38.200000000000003</fb>
    <v>26</v>
  </rv>
  <rv s="0">
    <v>805306368</v>
    <v>Michael Randrianirina (President)</v>
    <v>551f1592-679c-48d1-eff0-e192967f9bd2</v>
    <v>en-US</v>
    <v>Generic</v>
  </rv>
  <rv s="0">
    <v>805306368</v>
    <v>Mamitiana Rajaonarison (Prime minister)</v>
    <v>e7a474a2-8a6e-613a-8887-cda7e604a687</v>
    <v>en-US</v>
    <v>Generic</v>
  </rv>
  <rv s="3">
    <v>89</v>
  </rv>
  <rv s="4">
    <v>https://www.bing.com/search?q=madagascar&amp;form=skydnc</v>
    <v>Learn more on Bing</v>
  </rv>
  <rv s="1">
    <fb>66.680999999999997</fb>
    <v>26</v>
  </rv>
  <rv s="1">
    <fb>335</fb>
    <v>26</v>
  </rv>
  <rv s="1">
    <fb>0.21</fb>
    <v>28</v>
  </rv>
  <rv s="3">
    <v>90</v>
  </rv>
  <rv s="1">
    <fb>0.21660046290000001</fb>
    <v>21</v>
  </rv>
  <rv s="1">
    <fb>0.1812</fb>
    <v>23</v>
  </rv>
  <rv s="1">
    <fb>31345040</fb>
    <v>22</v>
  </rv>
  <rv s="1">
    <fb>0.33500000000000002</fb>
    <v>21</v>
  </rv>
  <rv s="1">
    <fb>0.49399999999999999</fb>
    <v>21</v>
  </rv>
  <rv s="1">
    <fb>2.2000000000000002E-2</fb>
    <v>21</v>
  </rv>
  <rv s="1">
    <fb>5.7000000000000002E-2</fb>
    <v>21</v>
  </rv>
  <rv s="1">
    <fb>0.14099999999999999</fb>
    <v>21</v>
  </rv>
  <rv s="1">
    <fb>0.86126998901367202</fb>
    <v>21</v>
  </rv>
  <rv s="0">
    <v>536870912</v>
    <v>Antananarivo Province</v>
    <v>774a3ee9-5787-6ee7-6e63-7d86a1dfad3f</v>
    <v>en-US</v>
    <v>Map</v>
  </rv>
  <rv s="0">
    <v>536870912</v>
    <v>Antsiranana Province</v>
    <v>44173606-a566-f68b-0721-d4fc912b69f0</v>
    <v>en-US</v>
    <v>Map</v>
  </rv>
  <rv s="0">
    <v>536870912</v>
    <v>Fianarantsoa Province</v>
    <v>ef5ed46a-3d90-24e6-f03f-1328f7a8e283</v>
    <v>en-US</v>
    <v>Map</v>
  </rv>
  <rv s="0">
    <v>536870912</v>
    <v>Mahajanga Province</v>
    <v>89db80b9-c4d6-de79-f49c-1ed17577f6e5</v>
    <v>en-US</v>
    <v>Map</v>
  </rv>
  <rv s="0">
    <v>536870912</v>
    <v>Toamasina Province</v>
    <v>5ec8ab51-8059-2832-127d-24185cf6dbc1</v>
    <v>en-US</v>
    <v>Map</v>
  </rv>
  <rv s="0">
    <v>536870912</v>
    <v>Toliara Province</v>
    <v>379e6f2e-26ba-3c7e-efc5-890c18372229</v>
    <v>en-US</v>
    <v>Map</v>
  </rv>
  <rv s="3">
    <v>91</v>
  </rv>
  <rv s="1">
    <fb>0.102158473066606</fb>
    <v>21</v>
  </rv>
  <rv s="3">
    <v>92</v>
  </rv>
  <rv s="1">
    <fb>0.38299999999999995</fb>
    <v>21</v>
  </rv>
  <rv s="1">
    <fb>1.75800001621246E-2</fb>
    <v>29</v>
  </rv>
  <rv s="1">
    <fb>10210849</fb>
    <v>22</v>
  </rv>
  <rv s="12">
    <v>#VALUE!</v>
    <v>en-US</v>
    <v>0c191888-e860-e654-dadd-811644d3a15d</v>
    <v>536870912</v>
    <v>1</v>
    <v>188</v>
    <v>84</v>
    <v>Madagascar</v>
    <v>17</v>
    <v>18</v>
    <v>Map</v>
    <v>19</v>
    <v>189</v>
    <v>MG</v>
    <v>1331</v>
    <v>1332</v>
    <v>1333</v>
    <v>1334</v>
    <v>1335</v>
    <v>1336</v>
    <v>1337</v>
    <v>1338</v>
    <v>1339</v>
    <v>MGA</v>
    <v>Madagascar, officially the Republic of Madagascar, is an island country in the Indian Ocean that includes the island of Madagascar and numerous smaller peripheral islands. Lying off the southeastern coast of Africa, it is the world's ...</v>
    <v>1340</v>
    <v>1341</v>
    <v>1342</v>
    <v>1343</v>
    <v>1344</v>
    <v>1345</v>
    <v>1346</v>
    <v>1347</v>
    <v>1336</v>
    <v>1350</v>
    <v>1351</v>
    <v>1352</v>
    <v>1353</v>
    <v>1354</v>
    <v>Madagascar</v>
    <v>Ry Tanindrazanay malala ô!</v>
    <v>1355</v>
    <v>République de Madagascar</v>
    <v>1356</v>
    <v>1357</v>
    <v>1358</v>
    <v>297</v>
    <v>1359</v>
    <v>1360</v>
    <v>1361</v>
    <v>1362</v>
    <v>972</v>
    <v>1363</v>
    <v>1364</v>
    <v>1371</v>
    <v>1372</v>
    <v>1373</v>
    <v>1374</v>
    <v>1375</v>
    <v>Madagascar</v>
    <v>1376</v>
    <v>mdp/vdpid/149</v>
  </rv>
  <rv s="0">
    <v>536870912</v>
    <v>Ghana</v>
    <v>4caa1a94-3f55-f5a7-8b85-5abd256a54f1</v>
    <v>en-US</v>
    <v>Map</v>
  </rv>
  <rv s="1">
    <fb>0.68998857343763698</fb>
    <v>21</v>
  </rv>
  <rv s="1">
    <fb>238535</fb>
    <v>22</v>
  </rv>
  <rv s="1">
    <fb>16000</fb>
    <v>22</v>
  </rv>
  <rv s="1">
    <fb>29.407</fb>
    <v>23</v>
  </rv>
  <rv s="1">
    <fb>233</fb>
    <v>24</v>
  </rv>
  <rv s="0">
    <v>536870912</v>
    <v>Accra</v>
    <v>7dea44eb-65d3-ca6b-c353-eac951cbdc50</v>
    <v>en-US</v>
    <v>Map</v>
  </rv>
  <rv s="1">
    <fb>16670.182000000001</fb>
    <v>22</v>
  </rv>
  <rv s="1">
    <fb>268.36084800436601</fb>
    <v>25</v>
  </rv>
  <rv s="1">
    <fb>7.17592284708857E-2</fb>
    <v>21</v>
  </rv>
  <rv s="1">
    <fb>351.301578961752</fb>
    <v>22</v>
  </rv>
  <rv s="1">
    <fb>3.87</fb>
    <v>23</v>
  </rv>
  <rv s="1">
    <fb>0.41159358313373501</fb>
    <v>21</v>
  </rv>
  <rv s="1">
    <fb>52.543060129263097</fb>
    <v>26</v>
  </rv>
  <rv s="1">
    <fb>0.92</fb>
    <v>28</v>
  </rv>
  <rv s="1">
    <fb>66983634223.943001</fb>
    <v>27</v>
  </rv>
  <rv s="1">
    <fb>1.0484141</fb>
    <v>21</v>
  </rv>
  <rv s="1">
    <fb>0.15691769999999999</fb>
    <v>21</v>
  </rv>
  <rv s="2">
    <v>25</v>
    <v>19</v>
    <v>191</v>
    <v>7</v>
    <v>0</v>
    <v>Image of Ghana</v>
  </rv>
  <rv s="1">
    <fb>34.9</fb>
    <v>26</v>
  </rv>
  <rv s="0">
    <v>805306368</v>
    <v>John Mahama (President)</v>
    <v>6d379b32-0cd8-9157-0ec8-883c7cf48d1f</v>
    <v>en-US</v>
    <v>Generic</v>
  </rv>
  <rv s="0">
    <v>805306368</v>
    <v>Jane Naana Opoku-Agyemang (Vice president)</v>
    <v>cdb58c49-a2ad-b3d3-44d6-f5f4a29f565d</v>
    <v>en-US</v>
    <v>Generic</v>
  </rv>
  <rv s="0">
    <v>805306368</v>
    <v>Paul Baffoe-Bonnie (Chief justice)</v>
    <v>9f668e46-ba9e-440a-5c88-3d11fcab2fc6</v>
    <v>en-US</v>
    <v>Generic</v>
  </rv>
  <rv s="3">
    <v>93</v>
  </rv>
  <rv s="4">
    <v>https://www.bing.com/search?q=ghana&amp;form=skydnc</v>
    <v>Learn more on Bing</v>
  </rv>
  <rv s="1">
    <fb>63.78</fb>
    <v>26</v>
  </rv>
  <rv s="1">
    <fb>3098510000</fb>
    <v>27</v>
  </rv>
  <rv s="1">
    <fb>308</fb>
    <v>26</v>
  </rv>
  <rv s="1">
    <fb>0.27</fb>
    <v>28</v>
  </rv>
  <rv s="1">
    <fb>0.36105228150000002</fb>
    <v>21</v>
  </rv>
  <rv s="1">
    <fb>0.13589999999999999</fb>
    <v>23</v>
  </rv>
  <rv s="1">
    <fb>35336133</fb>
    <v>22</v>
  </rv>
  <rv s="1">
    <fb>0.32200000000000001</fb>
    <v>21</v>
  </rv>
  <rv s="1">
    <fb>0.48599999999999999</fb>
    <v>21</v>
  </rv>
  <rv s="1">
    <fb>4.7E-2</fb>
    <v>21</v>
  </rv>
  <rv s="1">
    <fb>9.6000000000000002E-2</fb>
    <v>21</v>
  </rv>
  <rv s="1">
    <fb>0.67797996520996096</fb>
    <v>21</v>
  </rv>
  <rv s="0">
    <v>536870912</v>
    <v>Ashanti Region</v>
    <v>03a4bbc8-218a-4560-dc76-f52b742a183e</v>
    <v>en-US</v>
    <v>Map</v>
  </rv>
  <rv s="0">
    <v>536870912</v>
    <v>Central Region</v>
    <v>04a9f5cc-56ee-cdc9-3b25-34ae0f54a835</v>
    <v>en-US</v>
    <v>Map</v>
  </rv>
  <rv s="0">
    <v>536870912</v>
    <v>Eastern Region</v>
    <v>8dd7c62c-e599-708a-4b1a-72c8a568a856</v>
    <v>en-US</v>
    <v>Map</v>
  </rv>
  <rv s="0">
    <v>536870912</v>
    <v>Greater Accra Region</v>
    <v>91f1ae15-d54e-29be-d169-d4548c5bad59</v>
    <v>en-US</v>
    <v>Map</v>
  </rv>
  <rv s="0">
    <v>536870912</v>
    <v>Northern Region</v>
    <v>281b9874-7787-6cbe-36fc-6f1e4b5edeed</v>
    <v>en-US</v>
    <v>Map</v>
  </rv>
  <rv s="0">
    <v>536870912</v>
    <v>Upper East Region</v>
    <v>a536de11-1bf2-b814-79bf-3bfcd2eb23da</v>
    <v>en-US</v>
    <v>Map</v>
  </rv>
  <rv s="0">
    <v>536870912</v>
    <v>Upper West Region</v>
    <v>decfccd3-cb14-9a30-7a4f-c9f5225315dc</v>
    <v>en-US</v>
    <v>Map</v>
  </rv>
  <rv s="0">
    <v>536870912</v>
    <v>Volta Region</v>
    <v>08e5e28e-0235-8c89-7ffb-ba81717c530a</v>
    <v>en-US</v>
    <v>Map</v>
  </rv>
  <rv s="0">
    <v>536870912</v>
    <v>Western Region</v>
    <v>9137e271-300a-d288-dc27-09a2e8930911</v>
    <v>en-US</v>
    <v>Map</v>
  </rv>
  <rv s="3">
    <v>94</v>
  </rv>
  <rv s="1">
    <fb>0.12569754463437299</fb>
    <v>21</v>
  </rv>
  <rv s="3">
    <v>95</v>
  </rv>
  <rv s="1">
    <fb>0.55399999999999994</fb>
    <v>21</v>
  </rv>
  <rv s="1">
    <fb>4.3309998512268105E-2</fb>
    <v>29</v>
  </rv>
  <rv s="1">
    <fb>17249054</fb>
    <v>22</v>
  </rv>
  <rv s="13">
    <v>#VALUE!</v>
    <v>en-US</v>
    <v>4caa1a94-3f55-f5a7-8b85-5abd256a54f1</v>
    <v>536870912</v>
    <v>1</v>
    <v>194</v>
    <v>91</v>
    <v>Ghana</v>
    <v>17</v>
    <v>18</v>
    <v>Map</v>
    <v>19</v>
    <v>195</v>
    <v>GH</v>
    <v>1379</v>
    <v>1380</v>
    <v>1381</v>
    <v>1382</v>
    <v>1383</v>
    <v>1384</v>
    <v>1385</v>
    <v>1386</v>
    <v>1387</v>
    <v>GHS</v>
    <v>Ghana, officially the Republic of Ghana, is a country in West Africa. It is situated with the Gulf of Guinea and the Atlantic Ocean to the south, and shares borders with Côte d'Ivoire to the west, Burkina Faso to the north, and Togo to the east. ...</v>
    <v>1388</v>
    <v>1389</v>
    <v>1390</v>
    <v>1391</v>
    <v>1392</v>
    <v>1393</v>
    <v>1394</v>
    <v>1395</v>
    <v>1396</v>
    <v>1397</v>
    <v>1384</v>
    <v>1401</v>
    <v>1402</v>
    <v>1403</v>
    <v>1404</v>
    <v>1405</v>
    <v>1406</v>
    <v>Ghana</v>
    <v>God Bless Our Homeland Ghana</v>
    <v>440</v>
    <v>Ghana</v>
    <v>1407</v>
    <v>1408</v>
    <v>1409</v>
    <v>913</v>
    <v>1410</v>
    <v>1411</v>
    <v>30</v>
    <v>1412</v>
    <v>1413</v>
    <v>588</v>
    <v>1414</v>
    <v>1424</v>
    <v>1425</v>
    <v>1426</v>
    <v>1427</v>
    <v>1428</v>
    <v>Ghana</v>
    <v>1429</v>
    <v>mdp/vdpid/89</v>
  </rv>
  <rv s="0">
    <v>536870912</v>
    <v>Lesotho</v>
    <v>5c17227d-3ed7-168e-a4d5-87288eb2e3f9</v>
    <v>en-US</v>
    <v>Map</v>
  </rv>
  <rv s="1">
    <fb>0.77635046113306994</fb>
    <v>21</v>
  </rv>
  <rv s="1">
    <fb>30355</fb>
    <v>22</v>
  </rv>
  <rv s="1">
    <fb>26.808</fb>
    <v>23</v>
  </rv>
  <rv s="1">
    <fb>266</fb>
    <v>24</v>
  </rv>
  <rv s="0">
    <v>536870912</v>
    <v>Maseru</v>
    <v>23d9936d-7e8e-f74c-1ef1-08927d747066</v>
    <v>en-US</v>
    <v>Map</v>
  </rv>
  <rv s="1">
    <fb>2511.895</fb>
    <v>22</v>
  </rv>
  <rv s="1">
    <fb>155.858195070683</fb>
    <v>25</v>
  </rv>
  <rv s="1">
    <fb>5.1870835919799303E-2</fb>
    <v>21</v>
  </rv>
  <rv s="1">
    <fb>3.141</fb>
    <v>23</v>
  </rv>
  <rv s="1">
    <fb>1.6469038208168599E-2</fb>
    <v>21</v>
  </rv>
  <rv s="1">
    <fb>0.7</fb>
    <v>28</v>
  </rv>
  <rv s="1">
    <fb>2460072443.6284199</fb>
    <v>27</v>
  </rv>
  <rv s="1">
    <fb>1.2089749999999999</fb>
    <v>21</v>
  </rv>
  <rv s="1">
    <fb>0.1019626</fb>
    <v>21</v>
  </rv>
  <rv s="2">
    <v>26</v>
    <v>19</v>
    <v>197</v>
    <v>7</v>
    <v>0</v>
    <v>Image of Lesotho</v>
  </rv>
  <rv s="1">
    <fb>65.7</fb>
    <v>26</v>
  </rv>
  <rv s="0">
    <v>805306368</v>
    <v>Letsie III (Monarch)</v>
    <v>d13aa3f3-753b-b556-7f53-b7516f446e56</v>
    <v>en-US</v>
    <v>Generic</v>
  </rv>
  <rv s="0">
    <v>805306368</v>
    <v>Sam Matekane (Prime minister)</v>
    <v>35c67ab5-feaa-6ac4-e929-460410c1f833</v>
    <v>en-US</v>
    <v>Generic</v>
  </rv>
  <rv s="3">
    <v>96</v>
  </rv>
  <rv s="4">
    <v>https://www.bing.com/search?q=lesotho&amp;form=skydnc</v>
    <v>Learn more on Bing</v>
  </rv>
  <rv s="1">
    <fb>53.704999999999998</fb>
    <v>26</v>
  </rv>
  <rv s="1">
    <fb>544</fb>
    <v>26</v>
  </rv>
  <rv s="1">
    <fb>0.41</fb>
    <v>28</v>
  </rv>
  <rv s="3">
    <v>97</v>
  </rv>
  <rv s="1">
    <fb>0.16853801170000002</fb>
    <v>21</v>
  </rv>
  <rv s="1">
    <fb>6.7599999999999993E-2</fb>
    <v>23</v>
  </rv>
  <rv s="1">
    <fb>2222962</fb>
    <v>22</v>
  </rv>
  <rv s="1">
    <fb>0.22600000000000001</fb>
    <v>21</v>
  </rv>
  <rv s="1">
    <fb>0.32899999999999996</fb>
    <v>21</v>
  </rv>
  <rv s="1">
    <fb>4.5999999999999999E-2</fb>
    <v>21</v>
  </rv>
  <rv s="1">
    <fb>8.900000000000001E-2</fb>
    <v>21</v>
  </rv>
  <rv s="1">
    <fb>0.67884002685546907</fb>
    <v>21</v>
  </rv>
  <rv s="0">
    <v>536870912</v>
    <v>Berea District</v>
    <v>c70c35f9-a151-6b7f-eec0-00e72232b095</v>
    <v>en-US</v>
    <v>Map</v>
  </rv>
  <rv s="0">
    <v>536870912</v>
    <v>Butha-Buthe District</v>
    <v>82296630-f891-2e68-bf4a-af581fb38346</v>
    <v>en-US</v>
    <v>Map</v>
  </rv>
  <rv s="0">
    <v>536870912</v>
    <v>Leribe District</v>
    <v>8479f582-170e-6819-aff4-0aca594de477</v>
    <v>en-US</v>
    <v>Map</v>
  </rv>
  <rv s="0">
    <v>536870912</v>
    <v>Mafeteng District</v>
    <v>3070d20f-140c-c363-c406-293b6d1d5d46</v>
    <v>en-US</v>
    <v>Map</v>
  </rv>
  <rv s="0">
    <v>536870912</v>
    <v>Maseru District</v>
    <v>15a23df3-3817-5f98-e145-bf557b53874f</v>
    <v>en-US</v>
    <v>Map</v>
  </rv>
  <rv s="0">
    <v>536870912</v>
    <v>Mohale's Hoek District</v>
    <v>3c5319b8-4e30-87f4-0ec8-71b0337552e9</v>
    <v>en-US</v>
    <v>Map</v>
  </rv>
  <rv s="0">
    <v>536870912</v>
    <v>Mokhotlong District</v>
    <v>7a9ffcb7-6df9-aee9-1550-e30715fa9720</v>
    <v>en-US</v>
    <v>Map</v>
  </rv>
  <rv s="0">
    <v>536870912</v>
    <v>Qacha's Nek District</v>
    <v>7e5baa2c-41f0-6e19-9d41-b6a5bd72954e</v>
    <v>en-US</v>
    <v>Map</v>
  </rv>
  <rv s="0">
    <v>536870912</v>
    <v>Quthing District</v>
    <v>90c02a93-fa4d-3f74-75c0-db41fa95d728</v>
    <v>en-US</v>
    <v>Map</v>
  </rv>
  <rv s="0">
    <v>536870912</v>
    <v>Thaba-Tseka District</v>
    <v>d52e2535-8347-23b1-bf5d-94ce4df4a55a</v>
    <v>en-US</v>
    <v>Map</v>
  </rv>
  <rv s="3">
    <v>98</v>
  </rv>
  <rv s="1">
    <fb>0.31572594000417697</fb>
    <v>21</v>
  </rv>
  <rv s="3">
    <v>99</v>
  </rv>
  <rv s="1">
    <fb>0.13600000000000001</fb>
    <v>21</v>
  </rv>
  <rv s="1">
    <fb>0.234050006866455</fb>
    <v>29</v>
  </rv>
  <rv s="1">
    <fb>607508</fb>
    <v>22</v>
  </rv>
  <rv s="17">
    <v>#VALUE!</v>
    <v>en-US</v>
    <v>5c17227d-3ed7-168e-a4d5-87288eb2e3f9</v>
    <v>536870912</v>
    <v>1</v>
    <v>200</v>
    <v>137</v>
    <v>Lesotho</v>
    <v>17</v>
    <v>18</v>
    <v>Map</v>
    <v>19</v>
    <v>201</v>
    <v>LS</v>
    <v>1432</v>
    <v>1433</v>
    <v>885</v>
    <v>1434</v>
    <v>1435</v>
    <v>1436</v>
    <v>1437</v>
    <v>1438</v>
    <v>1439</v>
    <v>LSL</v>
    <v>Lesotho, officially the Kingdom of Lesotho and formerly known as Basutoland, is a landlocked country in Southern Africa. Surrounded by South Africa, it is the largest of the only three sovereign enclaves. Lesotho is located in the Maloti ...</v>
    <v>1440</v>
    <v>1441</v>
    <v>11</v>
    <v>1442</v>
    <v>1443</v>
    <v>1444</v>
    <v>1445</v>
    <v>1446</v>
    <v>1447</v>
    <v>1436</v>
    <v>1450</v>
    <v>1451</v>
    <v>1452</v>
    <v>1453</v>
    <v>1454</v>
    <v>Lesotho</v>
    <v>Lesotho Fatse La Bontata Rona</v>
    <v>1455</v>
    <v>Muso oa Lesotho</v>
    <v>1456</v>
    <v>1457</v>
    <v>1458</v>
    <v>1459</v>
    <v>1460</v>
    <v>1209</v>
    <v>152</v>
    <v>1461</v>
    <v>1462</v>
    <v>1073</v>
    <v>1463</v>
    <v>1474</v>
    <v>1475</v>
    <v>1476</v>
    <v>1477</v>
    <v>1478</v>
    <v>Lesotho</v>
    <v>1479</v>
    <v>mdp/vdpid/146</v>
  </rv>
  <rv s="0">
    <v>536870912</v>
    <v>Tanzania</v>
    <v>2cfae8b0-3beb-e190-7019-29edde94e3e0</v>
    <v>en-US</v>
    <v>Map</v>
  </rv>
  <rv s="1">
    <fb>0.44761797245427898</fb>
    <v>21</v>
  </rv>
  <rv s="1">
    <fb>947303</fb>
    <v>22</v>
  </rv>
  <rv s="1">
    <fb>28000</fb>
    <v>22</v>
  </rv>
  <rv s="1">
    <fb>36.700000000000003</fb>
    <v>23</v>
  </rv>
  <rv s="1">
    <fb>255</fb>
    <v>24</v>
  </rv>
  <rv s="0">
    <v>536870912</v>
    <v>Dodoma</v>
    <v>a336fd71-199e-7557-a105-dd368f3c8210</v>
    <v>en-US</v>
    <v>Map</v>
  </rv>
  <rv s="1">
    <fb>11972.754999999999</fb>
    <v>22</v>
  </rv>
  <rv s="1">
    <fb>187.430158933386</fb>
    <v>25</v>
  </rv>
  <rv s="1">
    <fb>3.4642805799902601E-2</fb>
    <v>21</v>
  </rv>
  <rv s="1">
    <fb>103.68331576521599</fb>
    <v>22</v>
  </rv>
  <rv s="1">
    <fb>4.8920000000000003</fb>
    <v>23</v>
  </rv>
  <rv s="1">
    <fb>0.51578234364416309</fb>
    <v>21</v>
  </rv>
  <rv s="1">
    <fb>14.380616951892099</fb>
    <v>26</v>
  </rv>
  <rv s="1">
    <fb>0.87</fb>
    <v>28</v>
  </rv>
  <rv s="1">
    <fb>63177068174.549004</fb>
    <v>27</v>
  </rv>
  <rv s="1">
    <fb>0.94168689999999999</fb>
    <v>21</v>
  </rv>
  <rv s="1">
    <fb>4.0101600000000001E-2</fb>
    <v>21</v>
  </rv>
  <rv s="2">
    <v>27</v>
    <v>19</v>
    <v>203</v>
    <v>7</v>
    <v>0</v>
    <v>Image of Tanzania</v>
  </rv>
  <rv s="1">
    <fb>37.6</fb>
    <v>26</v>
  </rv>
  <rv s="0">
    <v>536870912</v>
    <v>Dar es Salaam</v>
    <v>b834f4ed-c3b3-2ad3-425b-36a4be604716</v>
    <v>en-US</v>
    <v>Map</v>
  </rv>
  <rv s="0">
    <v>805306368</v>
    <v>Samia Suluhu Hassan (President)</v>
    <v>6b384cc1-95e5-4433-9157-873daa3a373c</v>
    <v>en-US</v>
    <v>Generic</v>
  </rv>
  <rv s="0">
    <v>805306368</v>
    <v>Emmanuel Nchimbi (Vice president)</v>
    <v>1da7b233-5eff-4fb0-b7f0-a388fe2d511c</v>
    <v>en-US</v>
    <v>Generic</v>
  </rv>
  <rv s="0">
    <v>805306368</v>
    <v>Mwigulu Nchemba (Prime minister)</v>
    <v>dfd86648-8c5e-450f-87bb-a392faddb48f</v>
    <v>en-US</v>
    <v>Generic</v>
  </rv>
  <rv s="0">
    <v>805306368</v>
    <v>Mussa Zungu (Speaker)</v>
    <v>802a2933-8687-4a8d-95bc-e7ddb0692ee4</v>
    <v>en-US</v>
    <v>Generic</v>
  </rv>
  <rv s="0">
    <v>805306368</v>
    <v>George Mcheche Masaju (Chief justice)</v>
    <v>cd65c9df-13ad-1b2d-9543-12d09507d74d</v>
    <v>en-US</v>
    <v>Generic</v>
  </rv>
  <rv s="3">
    <v>100</v>
  </rv>
  <rv s="4">
    <v>https://www.bing.com/search?q=tanzania&amp;form=skydnc</v>
    <v>Learn more on Bing</v>
  </rv>
  <rv s="1">
    <fb>65.015000000000001</fb>
    <v>26</v>
  </rv>
  <rv s="1">
    <fb>398100000</fb>
    <v>27</v>
  </rv>
  <rv s="1">
    <fb>524</fb>
    <v>26</v>
  </rv>
  <rv s="1">
    <fb>0.09</fb>
    <v>28</v>
  </rv>
  <rv s="3">
    <v>101</v>
  </rv>
  <rv s="1">
    <fb>0.26149116560000002</fb>
    <v>21</v>
  </rv>
  <rv s="1">
    <fb>1.4E-2</fb>
    <v>23</v>
  </rv>
  <rv s="1">
    <fb>69145464</fb>
    <v>22</v>
  </rv>
  <rv s="1">
    <fb>0.33100000000000002</fb>
    <v>21</v>
  </rv>
  <rv s="1">
    <fb>0.48100000000000004</fb>
    <v>21</v>
  </rv>
  <rv s="1">
    <fb>0.105</fb>
    <v>21</v>
  </rv>
  <rv s="1">
    <fb>0.83412002563476606</fb>
    <v>21</v>
  </rv>
  <rv s="0">
    <v>536870912</v>
    <v>Mwanza Region</v>
    <v>ec2e6314-6cef-8a10-b982-2fbaaf1a017e</v>
    <v>en-US</v>
    <v>Map</v>
  </rv>
  <rv s="0">
    <v>536870912</v>
    <v>Shinyanga Region</v>
    <v>f2b7fd6a-99f7-2f79-c7aa-6e1397cbc1a8</v>
    <v>en-US</v>
    <v>Map</v>
  </rv>
  <rv s="0">
    <v>536870912</v>
    <v>Mbeya Region</v>
    <v>2d39fadc-63bd-f295-bda7-9b1e11d4a090</v>
    <v>en-US</v>
    <v>Map</v>
  </rv>
  <rv s="0">
    <v>536870912</v>
    <v>Kagera Region</v>
    <v>f6b40bb1-6ddd-835d-a3f6-42f3a77dba9c</v>
    <v>en-US</v>
    <v>Map</v>
  </rv>
  <rv s="0">
    <v>536870912</v>
    <v>Morogoro Region</v>
    <v>fc248d0b-dc71-3a6a-253c-d84620965fd9</v>
    <v>en-US</v>
    <v>Map</v>
  </rv>
  <rv s="0">
    <v>536870912</v>
    <v>Tabora Region</v>
    <v>f1191b0b-d64f-70ed-fdd9-8ee299abc6a4</v>
    <v>en-US</v>
    <v>Map</v>
  </rv>
  <rv s="0">
    <v>536870912</v>
    <v>Dodoma Region</v>
    <v>a0c69226-4585-d219-ca0a-5afbe5f11768</v>
    <v>en-US</v>
    <v>Map</v>
  </rv>
  <rv s="0">
    <v>536870912</v>
    <v>Kigoma Region</v>
    <v>772391a8-053e-b6f7-1829-83eb4d7f39ce</v>
    <v>en-US</v>
    <v>Map</v>
  </rv>
  <rv s="0">
    <v>536870912</v>
    <v>Tanga Region</v>
    <v>1fef9e91-2513-1195-7f2f-6059265d3666</v>
    <v>en-US</v>
    <v>Map</v>
  </rv>
  <rv s="0">
    <v>536870912</v>
    <v>Iringa Region</v>
    <v>82e4024e-18b6-a78f-da02-b2a5037bf8c0</v>
    <v>en-US</v>
    <v>Map</v>
  </rv>
  <rv s="0">
    <v>536870912</v>
    <v>Kilimanjaro Region</v>
    <v>168bcb72-e533-737f-4a74-1df855f5ddda</v>
    <v>en-US</v>
    <v>Map</v>
  </rv>
  <rv s="0">
    <v>536870912</v>
    <v>Mara Region</v>
    <v>0d6d1da3-377f-d527-b2de-99c8d3bd3d90</v>
    <v>en-US</v>
    <v>Map</v>
  </rv>
  <rv s="0">
    <v>536870912</v>
    <v>Arusha Region</v>
    <v>b5140e27-5025-b787-5e88-bfafdcc9257b</v>
    <v>en-US</v>
    <v>Map</v>
  </rv>
  <rv s="0">
    <v>536870912</v>
    <v>Mtwara Region</v>
    <v>b7cec449-e82a-b80a-0b74-347ee94b38a2</v>
    <v>en-US</v>
    <v>Map</v>
  </rv>
  <rv s="0">
    <v>536870912</v>
    <v>Rukwa Region</v>
    <v>376fec36-dc3b-6fb1-658b-e802572a5489</v>
    <v>en-US</v>
    <v>Map</v>
  </rv>
  <rv s="0">
    <v>536870912</v>
    <v>Ruvuma Region</v>
    <v>65c1ab97-2a74-df72-b6ed-472d8fcce87f</v>
    <v>en-US</v>
    <v>Map</v>
  </rv>
  <rv s="0">
    <v>536870912</v>
    <v>Singida Region</v>
    <v>a041d593-5d01-635f-a887-cad871c68414</v>
    <v>en-US</v>
    <v>Map</v>
  </rv>
  <rv s="0">
    <v>536870912</v>
    <v>Manyara Region</v>
    <v>93ad7d87-c70f-8ef4-11fb-f8cff9072ef8</v>
    <v>en-US</v>
    <v>Map</v>
  </rv>
  <rv s="0">
    <v>536870912</v>
    <v>Pwani Region</v>
    <v>26dceea1-a7ec-d06e-1077-5ea05d2de430</v>
    <v>en-US</v>
    <v>Map</v>
  </rv>
  <rv s="0">
    <v>536870912</v>
    <v>Lindi Region</v>
    <v>299d4016-ec73-670e-97f8-e0fad8e478d9</v>
    <v>en-US</v>
    <v>Map</v>
  </rv>
  <rv s="0">
    <v>536870912</v>
    <v>Mjini Magharibi Region</v>
    <v>dcb0c0e8-876e-a8b3-ac55-94367b8f989e</v>
    <v>en-US</v>
    <v>Map</v>
  </rv>
  <rv s="0">
    <v>536870912</v>
    <v>Pemba North Region</v>
    <v>e83560b5-5570-c857-9222-f6275b015547</v>
    <v>en-US</v>
    <v>Map</v>
  </rv>
  <rv s="0">
    <v>536870912</v>
    <v>Pemba South Region</v>
    <v>3338a3f5-8675-a33d-e4b9-fb8690efad5b</v>
    <v>en-US</v>
    <v>Map</v>
  </rv>
  <rv s="0">
    <v>536870912</v>
    <v>Unguja North Region</v>
    <v>4e562235-0f03-e397-29a8-082cdc878cb4</v>
    <v>en-US</v>
    <v>Map</v>
  </rv>
  <rv s="0">
    <v>536870912</v>
    <v>Unguja South Region</v>
    <v>76dc29ae-c776-8ec0-bac8-13ca3679abaf</v>
    <v>en-US</v>
    <v>Map</v>
  </rv>
  <rv s="0">
    <v>536870912</v>
    <v>Shinyanga</v>
    <v>1f0b07cc-f91b-58a2-a210-059f7748447c</v>
    <v>en-US</v>
    <v>Map</v>
  </rv>
  <rv s="0">
    <v>536870912</v>
    <v>Mtwara</v>
    <v>c11015b5-6645-4786-92fb-4a43c02a085e</v>
    <v>en-US</v>
    <v>Map</v>
  </rv>
  <rv s="0">
    <v>536870912</v>
    <v>Kigoma</v>
    <v>2f16d18e-900a-fc65-8d7f-087532557891</v>
    <v>en-US</v>
    <v>Map</v>
  </rv>
  <rv s="0">
    <v>536870912</v>
    <v>Mbeya</v>
    <v>6752258a-0d25-b0ae-749d-2d4a9f23777b</v>
    <v>en-US</v>
    <v>Map</v>
  </rv>
  <rv s="0">
    <v>536870912</v>
    <v>Tabora</v>
    <v>672b4ec3-4660-4c01-5c78-8fd2c9110708</v>
    <v>en-US</v>
    <v>Map</v>
  </rv>
  <rv s="0">
    <v>536870912</v>
    <v>Mount Kilimanjaro</v>
    <v>f779243d-3398-eb70-55dc-f1f1a7322a0a</v>
    <v>en-US</v>
    <v>Map</v>
  </rv>
  <rv s="0">
    <v>536870912</v>
    <v>Morogoro</v>
    <v>bf80e9e4-63bb-8ca1-9944-a54ad2d47a07</v>
    <v>en-US</v>
    <v>Map</v>
  </rv>
  <rv s="0">
    <v>536870912</v>
    <v>Iringa</v>
    <v>b1ffddc1-5953-3662-b42e-6b3b38ab3211</v>
    <v>en-US</v>
    <v>Map</v>
  </rv>
  <rv s="0">
    <v>536870912</v>
    <v>Lindi</v>
    <v>cbba6bd3-1586-9e1f-f97f-69ef9c0d3413</v>
    <v>en-US</v>
    <v>Map</v>
  </rv>
  <rv s="0">
    <v>536870912</v>
    <v>Mwanza</v>
    <v>de8238d2-9d8a-335d-9806-653fdc5628b9</v>
    <v>en-US</v>
    <v>Map</v>
  </rv>
  <rv s="3">
    <v>102</v>
  </rv>
  <rv s="1">
    <fb>0.11493954613651799</fb>
    <v>21</v>
  </rv>
  <rv s="3">
    <v>103</v>
  </rv>
  <rv s="1">
    <fb>0.43799999999999994</fb>
    <v>21</v>
  </rv>
  <rv s="1">
    <fb>1.9800000190734902E-2</fb>
    <v>29</v>
  </rv>
  <rv s="1">
    <fb>20011885</fb>
    <v>22</v>
  </rv>
  <rv s="13">
    <v>#VALUE!</v>
    <v>en-US</v>
    <v>2cfae8b0-3beb-e190-7019-29edde94e3e0</v>
    <v>536870912</v>
    <v>1</v>
    <v>206</v>
    <v>91</v>
    <v>Tanzania</v>
    <v>17</v>
    <v>18</v>
    <v>Map</v>
    <v>19</v>
    <v>207</v>
    <v>TZ</v>
    <v>1482</v>
    <v>1483</v>
    <v>1484</v>
    <v>1485</v>
    <v>1486</v>
    <v>1487</v>
    <v>1488</v>
    <v>1489</v>
    <v>1490</v>
    <v>TZS</v>
    <v>Tanzania, officially the United Republic of Tanzania, is a country in East Africa within the African Great Lakes region. It is bordered by Uganda to the northwest, Kenya to the northeast, the Indian Ocean to the east, Mozambique and Malawi to ...</v>
    <v>1491</v>
    <v>1492</v>
    <v>1493</v>
    <v>1494</v>
    <v>1495</v>
    <v>1496</v>
    <v>1497</v>
    <v>1498</v>
    <v>1499</v>
    <v>1500</v>
    <v>1501</v>
    <v>1507</v>
    <v>1508</v>
    <v>1509</v>
    <v>1510</v>
    <v>1511</v>
    <v>1512</v>
    <v>Tanzania</v>
    <v>Mungu ibariki Afrika</v>
    <v>1513</v>
    <v>République unie de Tanzanie</v>
    <v>1514</v>
    <v>1515</v>
    <v>1516</v>
    <v>1207</v>
    <v>1517</v>
    <v>1518</v>
    <v>813</v>
    <v>639</v>
    <v>1519</v>
    <v>1073</v>
    <v>1520</v>
    <v>1556</v>
    <v>1557</v>
    <v>1558</v>
    <v>1559</v>
    <v>1560</v>
    <v>Tanzania</v>
    <v>1561</v>
    <v>mdp/vdpid/239</v>
  </rv>
  <rv s="0">
    <v>536870912</v>
    <v>Burkina Faso</v>
    <v>41031ee6-3bfc-3231-5552-a3e7d41319a5</v>
    <v>en-US</v>
    <v>Map</v>
  </rv>
  <rv s="1">
    <fb>0.44225146198830401</fb>
    <v>21</v>
  </rv>
  <rv s="1">
    <fb>274200</fb>
    <v>22</v>
  </rv>
  <rv s="1">
    <fb>11000</fb>
    <v>22</v>
  </rv>
  <rv s="1">
    <fb>37.93</fb>
    <v>23</v>
  </rv>
  <rv s="1">
    <fb>226</fb>
    <v>24</v>
  </rv>
  <rv s="0">
    <v>536870912</v>
    <v>Ouagadougou</v>
    <v>4ce7d237-e6df-89c2-3840-589216cd771e</v>
    <v>en-US</v>
    <v>Map</v>
  </rv>
  <rv s="1">
    <fb>3417.6439999999998</fb>
    <v>22</v>
  </rv>
  <rv s="1">
    <fb>106.578776314878</fb>
    <v>25</v>
  </rv>
  <rv s="1">
    <fb>-3.2318116919484802E-2</fb>
    <v>21</v>
  </rv>
  <rv s="1">
    <fb>5.1890000000000001</fb>
    <v>23</v>
  </rv>
  <rv s="1">
    <fb>0.19335527029651001</fb>
    <v>21</v>
  </rv>
  <rv s="1">
    <fb>0.98</fb>
    <v>28</v>
  </rv>
  <rv s="1">
    <fb>15745810234.6602</fb>
    <v>27</v>
  </rv>
  <rv s="1">
    <fb>0.96090369999999992</fb>
    <v>21</v>
  </rv>
  <rv s="1">
    <fb>6.5018699999999999E-2</fb>
    <v>21</v>
  </rv>
  <rv s="2">
    <v>28</v>
    <v>19</v>
    <v>209</v>
    <v>7</v>
    <v>0</v>
    <v>Image of Burkina Faso</v>
  </rv>
  <rv s="1">
    <fb>49</fb>
    <v>26</v>
  </rv>
  <rv s="0">
    <v>805306368</v>
    <v>Ibrahim Traoré (President)</v>
    <v>150c79a0-9a19-28f6-b7de-dec69af1ff98</v>
    <v>en-US</v>
    <v>Generic</v>
  </rv>
  <rv s="0">
    <v>805306368</v>
    <v>Jean Emmanuel Ouédraogo (Prime minister)</v>
    <v>c809d274-90f3-fe15-3df3-aaad5ec27ab5</v>
    <v>en-US</v>
    <v>Generic</v>
  </rv>
  <rv s="3">
    <v>104</v>
  </rv>
  <rv s="4">
    <v>https://www.bing.com/search?q=burkina+faso&amp;form=skydnc</v>
    <v>Learn more on Bing</v>
  </rv>
  <rv s="1">
    <fb>61.173999999999999</fb>
    <v>26</v>
  </rv>
  <rv s="1">
    <fb>320</fb>
    <v>26</v>
  </rv>
  <rv s="1">
    <fb>0.34</fb>
    <v>28</v>
  </rv>
  <rv s="3">
    <v>105</v>
  </rv>
  <rv s="1">
    <fb>0.36106663449999998</fb>
    <v>21</v>
  </rv>
  <rv s="1">
    <fb>8.4699999999999998E-2</fb>
    <v>23</v>
  </rv>
  <rv s="1">
    <fb>23490300</fb>
    <v>22</v>
  </rv>
  <rv s="1">
    <fb>0.29600000000000004</fb>
    <v>21</v>
  </rv>
  <rv s="1">
    <fb>0.44299999999999995</fb>
    <v>21</v>
  </rv>
  <rv s="1">
    <fb>3.6000000000000004E-2</fb>
    <v>21</v>
  </rv>
  <rv s="1">
    <fb>0.11699999999999999</fb>
    <v>21</v>
  </rv>
  <rv s="1">
    <fb>0.66430000305175796</fb>
    <v>21</v>
  </rv>
  <rv s="0">
    <v>536870912</v>
    <v>Hauts-Bassins Region</v>
    <v>4d3d4fb7-47c5-b938-2317-e8fb1c39659c</v>
    <v>en-US</v>
    <v>Map</v>
  </rv>
  <rv s="0">
    <v>536870912</v>
    <v>Plateau-Central Region</v>
    <v>6b3e8651-0d0a-0598-ae34-f78e6dbec959</v>
    <v>en-US</v>
    <v>Map</v>
  </rv>
  <rv s="0">
    <v>536870912</v>
    <v>Boucle du Mouhoun Region</v>
    <v>6f1a2c78-b734-6d4e-a4ff-0c828c9ebd12</v>
    <v>en-US</v>
    <v>Map</v>
  </rv>
  <rv s="0">
    <v>536870912</v>
    <v>Cascades Region</v>
    <v>35d041eb-307d-5a1a-edff-4cbddbfb9a86</v>
    <v>en-US</v>
    <v>Map</v>
  </rv>
  <rv s="0">
    <v>536870912</v>
    <v>Centre Region, Burkina Faso</v>
    <v>54c7ea22-5fa0-2939-4975-ec178c2a277d</v>
    <v>en-US</v>
    <v>Map</v>
  </rv>
  <rv s="0">
    <v>536870912</v>
    <v>Centre-Est Region</v>
    <v>3f8fd028-a8d7-4be0-3378-b425686ad57e</v>
    <v>en-US</v>
    <v>Map</v>
  </rv>
  <rv s="0">
    <v>536870912</v>
    <v>Centre-Nord Region</v>
    <v>ba80f8cd-36b3-fdca-06a1-0552dad61365</v>
    <v>en-US</v>
    <v>Map</v>
  </rv>
  <rv s="0">
    <v>536870912</v>
    <v>Centre-Ouest Region</v>
    <v>8cf809d2-f6dc-84d5-3137-334d2460f541</v>
    <v>en-US</v>
    <v>Map</v>
  </rv>
  <rv s="0">
    <v>536870912</v>
    <v>Centre-Sud Region</v>
    <v>11b49748-a562-9418-ef0a-c092321dd376</v>
    <v>en-US</v>
    <v>Map</v>
  </rv>
  <rv s="0">
    <v>536870912</v>
    <v>Est Region</v>
    <v>1638b7f7-d425-9397-8de9-422b93883e1a</v>
    <v>en-US</v>
    <v>Map</v>
  </rv>
  <rv s="0">
    <v>536870912</v>
    <v>Nord Region</v>
    <v>9247521b-d74e-307d-cd35-9df63c7f3e5c</v>
    <v>en-US</v>
    <v>Map</v>
  </rv>
  <rv s="0">
    <v>536870912</v>
    <v>Sahel Region</v>
    <v>b649a5b1-ba04-6d5d-c4c2-99f9422276b9</v>
    <v>en-US</v>
    <v>Map</v>
  </rv>
  <rv s="0">
    <v>536870912</v>
    <v>Sud-Ouest Region</v>
    <v>bc70130b-229e-290e-725e-30c780d16d25</v>
    <v>en-US</v>
    <v>Map</v>
  </rv>
  <rv s="3">
    <v>106</v>
  </rv>
  <rv s="1">
    <fb>0.150003643932096</fb>
    <v>21</v>
  </rv>
  <rv s="3">
    <v>107</v>
  </rv>
  <rv s="1">
    <fb>6.2639999389648399E-2</fb>
    <v>29</v>
  </rv>
  <rv s="1">
    <fb>6092349</fb>
    <v>22</v>
  </rv>
  <rv s="12">
    <v>#VALUE!</v>
    <v>en-US</v>
    <v>41031ee6-3bfc-3231-5552-a3e7d41319a5</v>
    <v>536870912</v>
    <v>1</v>
    <v>212</v>
    <v>84</v>
    <v>Burkina Faso</v>
    <v>17</v>
    <v>18</v>
    <v>Map</v>
    <v>19</v>
    <v>213</v>
    <v>BF</v>
    <v>1564</v>
    <v>1565</v>
    <v>1566</v>
    <v>1567</v>
    <v>1568</v>
    <v>1569</v>
    <v>1570</v>
    <v>1571</v>
    <v>1572</v>
    <v>XOF</v>
    <v>Burkina Faso is a landlocked country in West Africa. It is bordered by Mali to the northwest, Niger to the northeast, Benin to the southeast, Togo and Ghana to the south, and Ivory Coast to the southwest. It covers an area of 274,223 km². In ...</v>
    <v>1573</v>
    <v>1574</v>
    <v>1575</v>
    <v>1576</v>
    <v>1577</v>
    <v>1578</v>
    <v>1579</v>
    <v>1580</v>
    <v>1569</v>
    <v>1583</v>
    <v>1584</v>
    <v>1585</v>
    <v>1586</v>
    <v>1587</v>
    <v>Burkina Faso</v>
    <v>Ditanyè</v>
    <v>1588</v>
    <v>Burkina Faso</v>
    <v>1589</v>
    <v>1590</v>
    <v>1591</v>
    <v>1113</v>
    <v>1592</v>
    <v>1593</v>
    <v>1594</v>
    <v>204</v>
    <v>1595</v>
    <v>641</v>
    <v>1596</v>
    <v>1610</v>
    <v>1611</v>
    <v>1612</v>
    <v>393</v>
    <v>1613</v>
    <v>Burkina Faso</v>
    <v>1614</v>
    <v>mdp/vdpid/245</v>
  </rv>
  <rv s="0">
    <v>536870912</v>
    <v>Benin</v>
    <v>fd7f79df-e6ce-a0dc-2a07-c156019e62e4</v>
    <v>en-US</v>
    <v>Map</v>
  </rv>
  <rv s="1">
    <fb>0.33256473926924401</fb>
    <v>21</v>
  </rv>
  <rv s="1">
    <fb>114763</fb>
    <v>22</v>
  </rv>
  <rv s="1">
    <fb>36.220999999999997</fb>
    <v>23</v>
  </rv>
  <rv s="1">
    <fb>229</fb>
    <v>24</v>
  </rv>
  <rv s="0">
    <v>536870912</v>
    <v>Porto-Novo</v>
    <v>03bd3c55-9557-8577-e456-672fc53d7d5d</v>
    <v>en-US</v>
    <v>Map</v>
  </rv>
  <rv s="1">
    <fb>6475.9219999999996</fb>
    <v>22</v>
  </rv>
  <rv s="1">
    <fb>110.709095484763</fb>
    <v>25</v>
  </rv>
  <rv s="1">
    <fb>-9.1568157286491501E-3</fb>
    <v>21</v>
  </rv>
  <rv s="1">
    <fb>100.22512254003701</fb>
    <v>22</v>
  </rv>
  <rv s="1">
    <fb>4.8360000000000003</fb>
    <v>23</v>
  </rv>
  <rv s="1">
    <fb>0.37788222774033398</fb>
    <v>21</v>
  </rv>
  <rv s="1">
    <fb>36.724581325344801</fb>
    <v>26</v>
  </rv>
  <rv s="1">
    <fb>0.72</fb>
    <v>28</v>
  </rv>
  <rv s="1">
    <fb>14390709094.938601</fb>
    <v>27</v>
  </rv>
  <rv s="1">
    <fb>1.2195825</fb>
    <v>21</v>
  </rv>
  <rv s="1">
    <fb>0.12274139999999999</fb>
    <v>21</v>
  </rv>
  <rv s="2">
    <v>29</v>
    <v>19</v>
    <v>215</v>
    <v>7</v>
    <v>0</v>
    <v>Image of Benin</v>
  </rv>
  <rv s="1">
    <fb>60.5</fb>
    <v>26</v>
  </rv>
  <rv s="0">
    <v>536870912</v>
    <v>Cotonou</v>
    <v>e37489c6-6216-d1a1-37ca-5cae638b76ec</v>
    <v>en-US</v>
    <v>Map</v>
  </rv>
  <rv s="0">
    <v>805306368</v>
    <v>Patrice Talon (President)</v>
    <v>b498249c-19f7-8b16-c5e9-b04ebb10ad4c</v>
    <v>en-US</v>
    <v>Generic</v>
  </rv>
  <rv s="0">
    <v>805306368</v>
    <v>Mariam Chabi Talata (Vice president)</v>
    <v>5ec32b6d-9073-e9dd-41aa-55f2f98921f5</v>
    <v>en-US</v>
    <v>Generic</v>
  </rv>
  <rv s="3">
    <v>108</v>
  </rv>
  <rv s="4">
    <v>https://www.bing.com/search?q=benin&amp;form=skydnc</v>
    <v>Learn more on Bing</v>
  </rv>
  <rv s="1">
    <fb>61.47</fb>
    <v>26</v>
  </rv>
  <rv s="1">
    <fb>397</fb>
    <v>26</v>
  </rv>
  <rv s="1">
    <fb>0.39</fb>
    <v>28</v>
  </rv>
  <rv s="1">
    <fb>0.40496587409999996</fb>
    <v>21</v>
  </rv>
  <rv s="1">
    <fb>7.9100000000000004E-2</fb>
    <v>23</v>
  </rv>
  <rv s="1">
    <fb>15186090</fb>
    <v>22</v>
  </rv>
  <rv s="1">
    <fb>0.376</fb>
    <v>21</v>
  </rv>
  <rv s="1">
    <fb>0.52100000000000002</fb>
    <v>21</v>
  </rv>
  <rv s="1">
    <fb>0.01</fb>
    <v>21</v>
  </rv>
  <rv s="1">
    <fb>0.70867996215820295</fb>
    <v>21</v>
  </rv>
  <rv s="0">
    <v>536870912</v>
    <v>Alibori Department</v>
    <v>548de0a8-8966-1755-3701-c53e579431e7</v>
    <v>en-US</v>
    <v>Map</v>
  </rv>
  <rv s="0">
    <v>536870912</v>
    <v>Atacora Department</v>
    <v>24b521e6-2d25-a462-1fe9-31d977f83cbc</v>
    <v>en-US</v>
    <v>Map</v>
  </rv>
  <rv s="0">
    <v>536870912</v>
    <v>Atlantique Department</v>
    <v>a8b1d989-46d7-9f32-6737-012b6e567663</v>
    <v>en-US</v>
    <v>Map</v>
  </rv>
  <rv s="0">
    <v>536870912</v>
    <v>Borgou Department</v>
    <v>5cdeafb1-70b0-340f-3163-b095d91c9070</v>
    <v>en-US</v>
    <v>Map</v>
  </rv>
  <rv s="0">
    <v>536870912</v>
    <v>Collines Department</v>
    <v>2c901451-7b35-4224-39b6-b63b4e9e4a40</v>
    <v>en-US</v>
    <v>Map</v>
  </rv>
  <rv s="0">
    <v>536870912</v>
    <v>Donga Department</v>
    <v>e5466c4e-b92f-6e2c-1e5c-9523dbff0711</v>
    <v>en-US</v>
    <v>Map</v>
  </rv>
  <rv s="0">
    <v>536870912</v>
    <v>Couffo Department</v>
    <v>22b6a768-49f9-a3f3-dbc7-1ed882382e84</v>
    <v>en-US</v>
    <v>Map</v>
  </rv>
  <rv s="0">
    <v>536870912</v>
    <v>Littoral</v>
    <v>9cc1fd8f-e166-e7be-afff-ccd8b314a549</v>
    <v>en-US</v>
    <v>Map</v>
  </rv>
  <rv s="0">
    <v>536870912</v>
    <v>Mono Department</v>
    <v>b1530902-d753-87e7-7b71-cf5f5a134189</v>
    <v>en-US</v>
    <v>Map</v>
  </rv>
  <rv s="0">
    <v>536870912</v>
    <v>Ouémé Department</v>
    <v>4947cc35-3581-1570-acd5-e90f9cb6f1fc</v>
    <v>en-US</v>
    <v>Map</v>
  </rv>
  <rv s="0">
    <v>536870912</v>
    <v>Plateau Department</v>
    <v>c84679b4-0b88-9a28-ef82-9cc7eb5b5020</v>
    <v>en-US</v>
    <v>Map</v>
  </rv>
  <rv s="0">
    <v>536870912</v>
    <v>Zou Department</v>
    <v>8269a0ab-0ce7-2ca6-aab4-ad95a7aa3717</v>
    <v>en-US</v>
    <v>Map</v>
  </rv>
  <rv s="3">
    <v>109</v>
  </rv>
  <rv s="1">
    <fb>0.10789142547378701</fb>
    <v>21</v>
  </rv>
  <rv s="3">
    <v>110</v>
  </rv>
  <rv s="1">
    <fb>0.48899999999999999</fb>
    <v>21</v>
  </rv>
  <rv s="1">
    <fb>2.2320001125335699E-2</fb>
    <v>29</v>
  </rv>
  <rv s="1">
    <fb>5648149</fb>
    <v>22</v>
  </rv>
  <rv s="7">
    <v>#VALUE!</v>
    <v>en-US</v>
    <v>fd7f79df-e6ce-a0dc-2a07-c156019e62e4</v>
    <v>536870912</v>
    <v>1</v>
    <v>218</v>
    <v>43</v>
    <v>Benin</v>
    <v>17</v>
    <v>18</v>
    <v>Map</v>
    <v>19</v>
    <v>219</v>
    <v>BJ</v>
    <v>1617</v>
    <v>1618</v>
    <v>270</v>
    <v>1619</v>
    <v>1620</v>
    <v>1621</v>
    <v>1622</v>
    <v>1623</v>
    <v>1624</v>
    <v>XOF</v>
    <v>Benin, officially the Republic of Benin, formerly known as Dahomey, is a country in West Africa. Benin is bordered by Togo to the west, Nigeria to the east, Burkina Faso to the northwest, and Niger to the northeast. The majority of its ...</v>
    <v>1625</v>
    <v>1626</v>
    <v>1627</v>
    <v>1628</v>
    <v>1629</v>
    <v>1630</v>
    <v>1631</v>
    <v>1632</v>
    <v>1633</v>
    <v>1634</v>
    <v>1635</v>
    <v>1638</v>
    <v>1639</v>
    <v>1640</v>
    <v>1641</v>
    <v>1642</v>
    <v>Benin</v>
    <v>L'Aube nouvelle</v>
    <v>293</v>
    <v>Bénin</v>
    <v>1643</v>
    <v>1644</v>
    <v>1645</v>
    <v>635</v>
    <v>1646</v>
    <v>1647</v>
    <v>1648</v>
    <v>99</v>
    <v>1413</v>
    <v>1073</v>
    <v>1649</v>
    <v>1662</v>
    <v>1663</v>
    <v>1664</v>
    <v>1665</v>
    <v>1666</v>
    <v>Benin</v>
    <v>1667</v>
    <v>mdp/vdpid/28</v>
  </rv>
  <rv s="0">
    <v>536870912</v>
    <v>São Tomé and Príncipe</v>
    <v>54da485f-443f-55ec-0697-974f0aca178a</v>
    <v>en-US</v>
    <v>Map</v>
  </rv>
  <rv s="1">
    <fb>0.50729167461395297</fb>
    <v>21</v>
  </rv>
  <rv s="1">
    <fb>1001</fb>
    <v>22</v>
  </rv>
  <rv s="1">
    <fb>31.538</fb>
    <v>23</v>
  </rv>
  <rv s="1">
    <fb>239</fb>
    <v>24</v>
  </rv>
  <rv s="0">
    <v>536870912</v>
    <v>São Tomé</v>
    <v>c0da709b-9496-c3f5-2f8d-b785f3df5634</v>
    <v>en-US</v>
    <v>Map</v>
  </rv>
  <rv s="1">
    <fb>121.011</fb>
    <v>22</v>
  </rv>
  <rv s="1">
    <fb>185.08955168232399</fb>
    <v>25</v>
  </rv>
  <rv s="1">
    <fb>7.857064313335331E-2</fb>
    <v>21</v>
  </rv>
  <rv s="1">
    <fb>4.3209999999999997</fb>
    <v>23</v>
  </rv>
  <rv s="1">
    <fb>0.55833331743876102</fb>
    <v>21</v>
  </rv>
  <rv s="1">
    <fb>429016605.20820498</fb>
    <v>27</v>
  </rv>
  <rv s="1">
    <fb>1.0679154</fb>
    <v>21</v>
  </rv>
  <rv s="1">
    <fb>0.1338452</fb>
    <v>21</v>
  </rv>
  <rv s="2">
    <v>30</v>
    <v>19</v>
    <v>221</v>
    <v>7</v>
    <v>0</v>
    <v>Image of São Tomé and Príncipe</v>
  </rv>
  <rv s="1">
    <fb>24.4</fb>
    <v>26</v>
  </rv>
  <rv s="0">
    <v>805306368</v>
    <v>Carlos Vila Nova (President)</v>
    <v>56ed3022-c0e7-b4eb-e37e-2653d83e6f39</v>
    <v>en-US</v>
    <v>Generic</v>
  </rv>
  <rv s="0">
    <v>805306368</v>
    <v>Américo Ramos (Prime minister)</v>
    <v>cad14fd8-ca36-8443-11cf-648b7d9e5e93</v>
    <v>en-US</v>
    <v>Generic</v>
  </rv>
  <rv s="3">
    <v>111</v>
  </rv>
  <rv s="4">
    <v>https://www.bing.com/search?q=s%c3%a3o+tom%c3%a9+and+pr%c3%adncipe&amp;form=skydnc</v>
    <v>Learn more on Bing</v>
  </rv>
  <rv s="1">
    <fb>70.17</fb>
    <v>26</v>
  </rv>
  <rv s="1">
    <fb>130</fb>
    <v>26</v>
  </rv>
  <rv s="3">
    <v>112</v>
  </rv>
  <rv s="1">
    <fb>0.11673493260000001</fb>
    <v>21</v>
  </rv>
  <rv s="1">
    <fb>5.3100000000000001E-2</fb>
    <v>23</v>
  </rv>
  <rv s="1">
    <fb>226722</fb>
    <v>22</v>
  </rv>
  <rv s="1">
    <fb>0.161</fb>
    <v>21</v>
  </rv>
  <rv s="1">
    <fb>0.49200000000000005</fb>
    <v>21</v>
  </rv>
  <rv s="1">
    <fb>0.61199999999999999</fb>
    <v>21</v>
  </rv>
  <rv s="1">
    <fb>0.57789001464843803</fb>
    <v>21</v>
  </rv>
  <rv s="0">
    <v>536870912</v>
    <v>Água Grande District</v>
    <v>157d2149-95a6-6d8b-f1b8-922b52161363</v>
    <v>en-US</v>
    <v>Map</v>
  </rv>
  <rv s="0">
    <v>536870912</v>
    <v>Cantagalo District</v>
    <v>127e677e-be47-89a4-e6d6-3eb4c6d351c4</v>
    <v>en-US</v>
    <v>Map</v>
  </rv>
  <rv s="0">
    <v>536870912</v>
    <v>Caué District</v>
    <v>0c0c6d89-a6fc-5b0a-22a1-093c5ff42db0</v>
    <v>en-US</v>
    <v>Map</v>
  </rv>
  <rv s="0">
    <v>536870912</v>
    <v>Lembá District</v>
    <v>042bca9a-fa04-a8ab-27f3-6789c93bee7b</v>
    <v>en-US</v>
    <v>Map</v>
  </rv>
  <rv s="0">
    <v>536870912</v>
    <v>Lobata District</v>
    <v>f3127fad-61d3-5340-c817-1a5c1694c2e6</v>
    <v>en-US</v>
    <v>Map</v>
  </rv>
  <rv s="0">
    <v>536870912</v>
    <v>Mé-Zóchi District</v>
    <v>932c4417-0766-7348-365e-48d35f0573d7</v>
    <v>en-US</v>
    <v>Map</v>
  </rv>
  <rv s="3">
    <v>113</v>
  </rv>
  <rv s="1">
    <fb>0.14612629428327001</fb>
    <v>21</v>
  </rv>
  <rv s="3">
    <v>114</v>
  </rv>
  <rv s="1">
    <fb>0.37</fb>
    <v>21</v>
  </rv>
  <rv s="1">
    <fb>0.133690004348755</fb>
    <v>29</v>
  </rv>
  <rv s="1">
    <fb>158277</fb>
    <v>22</v>
  </rv>
  <rv s="21">
    <v>#VALUE!</v>
    <v>en-US</v>
    <v>54da485f-443f-55ec-0697-974f0aca178a</v>
    <v>536870912</v>
    <v>1</v>
    <v>224</v>
    <v>225</v>
    <v>São Tomé and Príncipe</v>
    <v>17</v>
    <v>18</v>
    <v>Map</v>
    <v>19</v>
    <v>226</v>
    <v>ST</v>
    <v>1670</v>
    <v>1671</v>
    <v>225</v>
    <v>1672</v>
    <v>1673</v>
    <v>1674</v>
    <v>1675</v>
    <v>1676</v>
    <v>1677</v>
    <v>STD</v>
    <v>São Tomé and Príncipe, officially the Democratic Republic of São Tomé and Príncipe, is an island country in the Gulf of Guinea, off the western equatorial coast of Central Africa. It consists of two archipelagos around the two main islands of ...</v>
    <v>1678</v>
    <v>1679</v>
    <v>11</v>
    <v>1680</v>
    <v>1681</v>
    <v>1682</v>
    <v>1683</v>
    <v>1684</v>
    <v>1674</v>
    <v>1687</v>
    <v>1688</v>
    <v>1689</v>
    <v>1690</v>
    <v>São Tomé and Príncipe</v>
    <v>Independência Total</v>
    <v>1691</v>
    <v>República Democrática de São Tomé e Príncipe</v>
    <v>1692</v>
    <v>1693</v>
    <v>1694</v>
    <v>1695</v>
    <v>1696</v>
    <v>1697</v>
    <v>1071</v>
    <v>448</v>
    <v>1033</v>
    <v>450</v>
    <v>1698</v>
    <v>1705</v>
    <v>1706</v>
    <v>1707</v>
    <v>1708</v>
    <v>1709</v>
    <v>São Tomé and Príncipe</v>
    <v>1710</v>
    <v>mdp/vdpid/233</v>
  </rv>
  <rv s="0">
    <v>536870912</v>
    <v>Mozambique</v>
    <v>a7f78d5f-1f90-031f-0dbd-c31c66e057d5</v>
    <v>en-US</v>
    <v>Map</v>
  </rv>
  <rv s="1">
    <fb>0.63518909433098503</fb>
    <v>21</v>
  </rv>
  <rv s="1">
    <fb>801590</fb>
    <v>22</v>
  </rv>
  <rv s="1">
    <fb>37.520000000000003</fb>
    <v>23</v>
  </rv>
  <rv s="1">
    <fb>258</fb>
    <v>24</v>
  </rv>
  <rv s="0">
    <v>536870912</v>
    <v>Maputo</v>
    <v>d995e878-d96c-85c9-a3eb-fae711074afd</v>
    <v>en-US</v>
    <v>Map</v>
  </rv>
  <rv s="1">
    <fb>7942.7219999999998</fb>
    <v>22</v>
  </rv>
  <rv s="1">
    <fb>182.31478337639101</fb>
    <v>25</v>
  </rv>
  <rv s="1">
    <fb>2.7811063118294198E-2</fb>
    <v>21</v>
  </rv>
  <rv s="1">
    <fb>478.92117232933498</fb>
    <v>22</v>
  </rv>
  <rv s="1">
    <fb>4.8520000000000003</fb>
    <v>23</v>
  </rv>
  <rv s="1">
    <fb>0.47983928332994202</fb>
    <v>21</v>
  </rv>
  <rv s="1">
    <fb>12.6199534718635</fb>
    <v>26</v>
  </rv>
  <rv s="1">
    <fb>0.65</fb>
    <v>28</v>
  </rv>
  <rv s="1">
    <fb>14934159925.523399</fb>
    <v>27</v>
  </rv>
  <rv s="1">
    <fb>1.1260497999999999</fb>
    <v>21</v>
  </rv>
  <rv s="1">
    <fb>7.3125499999999996E-2</fb>
    <v>21</v>
  </rv>
  <rv s="2">
    <v>31</v>
    <v>19</v>
    <v>228</v>
    <v>7</v>
    <v>0</v>
    <v>Image of Mozambique</v>
  </rv>
  <rv s="0">
    <v>805306368</v>
    <v>Daniel Chapo (President)</v>
    <v>db7012c2-0af9-88e4-9ea1-19537331dd45</v>
    <v>en-US</v>
    <v>Generic</v>
  </rv>
  <rv s="0">
    <v>805306368</v>
    <v>Maria Benvinda Levy (Prime minister)</v>
    <v>1c131e3c-98d5-72f6-b903-029c3d9dad0b</v>
    <v>en-US</v>
    <v>Generic</v>
  </rv>
  <rv s="3">
    <v>115</v>
  </rv>
  <rv s="4">
    <v>https://www.bing.com/search?q=mozambique&amp;form=skydnc</v>
    <v>Learn more on Bing</v>
  </rv>
  <rv s="1">
    <fb>60.162999999999997</fb>
    <v>26</v>
  </rv>
  <rv s="1">
    <fb>289</fb>
    <v>26</v>
  </rv>
  <rv s="3">
    <v>116</v>
  </rv>
  <rv s="1">
    <fb>6.8464365599999993E-2</fb>
    <v>21</v>
  </rv>
  <rv s="1">
    <fb>8.3799999999999999E-2</fb>
    <v>23</v>
  </rv>
  <rv s="1">
    <fb>34206144</fb>
    <v>22</v>
  </rv>
  <rv s="1">
    <fb>0.17399999999999999</fb>
    <v>21</v>
  </rv>
  <rv s="1">
    <fb>0.59499999999999997</fb>
    <v>21</v>
  </rv>
  <rv s="1">
    <fb>0.11199999999999999</fb>
    <v>21</v>
  </rv>
  <rv s="1">
    <fb>0.78097000122070304</fb>
    <v>21</v>
  </rv>
  <rv s="0">
    <v>536870912</v>
    <v>Cabo Delgado Province</v>
    <v>e5092fb2-807d-6dde-7af0-8c5ce915dc09</v>
    <v>en-US</v>
    <v>Map</v>
  </rv>
  <rv s="0">
    <v>536870912</v>
    <v>Gaza Province</v>
    <v>ed9118ad-6a52-a758-4ad2-3bb6d7ad6a72</v>
    <v>en-US</v>
    <v>Map</v>
  </rv>
  <rv s="0">
    <v>536870912</v>
    <v>Inhambane Province</v>
    <v>d5ef9c0c-291b-87ed-3596-2c66485f7bcb</v>
    <v>en-US</v>
    <v>Map</v>
  </rv>
  <rv s="0">
    <v>536870912</v>
    <v>Manica Province</v>
    <v>d1fb7605-afd7-bf22-9c3e-885d5343919c</v>
    <v>en-US</v>
    <v>Map</v>
  </rv>
  <rv s="0">
    <v>536870912</v>
    <v>Maputo Province</v>
    <v>4af3ad4a-4b1f-83c9-d3b3-6993c601770f</v>
    <v>en-US</v>
    <v>Map</v>
  </rv>
  <rv s="0">
    <v>536870912</v>
    <v>Nampula Province</v>
    <v>b45ef35f-3689-e855-c77c-99ce450bac9e</v>
    <v>en-US</v>
    <v>Map</v>
  </rv>
  <rv s="0">
    <v>536870912</v>
    <v>Niassa Province</v>
    <v>42011373-ef53-85b1-2f7e-7ac3b4192e52</v>
    <v>en-US</v>
    <v>Map</v>
  </rv>
  <rv s="0">
    <v>536870912</v>
    <v>Sofala Province</v>
    <v>4f472e22-3748-7fd0-52b2-aff1245d8f5d</v>
    <v>en-US</v>
    <v>Map</v>
  </rv>
  <rv s="0">
    <v>536870912</v>
    <v>Tete Province</v>
    <v>cfa93a22-ea12-c7f6-686b-5c7b7852f88e</v>
    <v>en-US</v>
    <v>Map</v>
  </rv>
  <rv s="0">
    <v>536870912</v>
    <v>Zambezia Province</v>
    <v>1ff2b2ab-acf2-31bb-c86a-1a3705c17787</v>
    <v>en-US</v>
    <v>Map</v>
  </rv>
  <rv s="3">
    <v>117</v>
  </rv>
  <rv s="1">
    <fb>2.1625512934769699E-4</fb>
    <v>21</v>
  </rv>
  <rv s="3">
    <v>118</v>
  </rv>
  <rv s="1">
    <fb>0.36099999999999999</fb>
    <v>21</v>
  </rv>
  <rv s="1">
    <fb>3.2409999370575003E-2</fb>
    <v>29</v>
  </rv>
  <rv s="1">
    <fb>11092106</fb>
    <v>22</v>
  </rv>
  <rv s="7">
    <v>#VALUE!</v>
    <v>en-US</v>
    <v>a7f78d5f-1f90-031f-0dbd-c31c66e057d5</v>
    <v>536870912</v>
    <v>1</v>
    <v>231</v>
    <v>43</v>
    <v>Mozambique</v>
    <v>17</v>
    <v>18</v>
    <v>Map</v>
    <v>19</v>
    <v>232</v>
    <v>MZ</v>
    <v>1713</v>
    <v>1714</v>
    <v>1566</v>
    <v>1715</v>
    <v>1716</v>
    <v>1717</v>
    <v>1718</v>
    <v>1719</v>
    <v>1720</v>
    <v>MZN</v>
    <v>Mozambique, officially the Republic of Mozambique, is a country in Southeast Africa bordered by the Indian Ocean to the east, Tanzania to the north, Malawi and Zambia to the northwest, Zimbabwe to the west, and Eswatini and South Africa to the ...</v>
    <v>1721</v>
    <v>1722</v>
    <v>1723</v>
    <v>1724</v>
    <v>1725</v>
    <v>1726</v>
    <v>1727</v>
    <v>1728</v>
    <v>1729</v>
    <v>189</v>
    <v>1717</v>
    <v>1732</v>
    <v>1733</v>
    <v>1734</v>
    <v>1735</v>
    <v>1406</v>
    <v>Mozambique</v>
    <v>Pátria Amada</v>
    <v>1736</v>
    <v>República de Moçambique</v>
    <v>1737</v>
    <v>1738</v>
    <v>1739</v>
    <v>1740</v>
    <v>218</v>
    <v>1741</v>
    <v>30</v>
    <v>300</v>
    <v>1033</v>
    <v>1742</v>
    <v>1743</v>
    <v>1754</v>
    <v>1755</v>
    <v>1756</v>
    <v>1757</v>
    <v>1758</v>
    <v>Mozambique</v>
    <v>1759</v>
    <v>mdp/vdpid/168</v>
  </rv>
  <rv s="0">
    <v>536870912</v>
    <v>Kenya</v>
    <v>8ee43333-b344-289c-d8b1-5abf5e6a5995</v>
    <v>en-US</v>
    <v>Map</v>
  </rv>
  <rv s="1">
    <fb>0.48546930456478199</fb>
    <v>21</v>
  </rv>
  <rv s="1">
    <fb>581309</fb>
    <v>22</v>
  </rv>
  <rv s="1">
    <fb>29000</fb>
    <v>22</v>
  </rv>
  <rv s="1">
    <fb>28.748000000000001</fb>
    <v>23</v>
  </rv>
  <rv s="1">
    <fb>254</fb>
    <v>24</v>
  </rv>
  <rv s="0">
    <v>536870912</v>
    <v>Nairobi</v>
    <v>df1ed42e-a684-844f-342a-4e9bec9a3e99</v>
    <v>en-US</v>
    <v>Map</v>
  </rv>
  <rv s="1">
    <fb>17909.628000000001</fb>
    <v>22</v>
  </rv>
  <rv s="1">
    <fb>180.514812183022</fb>
    <v>25</v>
  </rv>
  <rv s="1">
    <fb>4.6898197612985901E-2</fb>
    <v>21</v>
  </rv>
  <rv s="1">
    <fb>164.32554865493401</fb>
    <v>22</v>
  </rv>
  <rv s="1">
    <fb>3.492</fb>
    <v>23</v>
  </rv>
  <rv s="1">
    <fb>7.8181117082901402E-2</fb>
    <v>21</v>
  </rv>
  <rv s="1">
    <fb>17.379572611489198</fb>
    <v>26</v>
  </rv>
  <rv s="1">
    <fb>0.95</fb>
    <v>28</v>
  </rv>
  <rv s="1">
    <fb>95503088538.091995</fb>
    <v>27</v>
  </rv>
  <rv s="1">
    <fb>1.0320534000000001</fb>
    <v>21</v>
  </rv>
  <rv s="1">
    <fb>0.1146471</fb>
    <v>21</v>
  </rv>
  <rv s="2">
    <v>32</v>
    <v>19</v>
    <v>234</v>
    <v>7</v>
    <v>0</v>
    <v>Image of Kenya</v>
  </rv>
  <rv s="1">
    <fb>30.6</fb>
    <v>26</v>
  </rv>
  <rv s="0">
    <v>805306368</v>
    <v>William Ruto (President)</v>
    <v>b3c9a399-aea6-7619-5ed8-960e4ae2e69f</v>
    <v>en-US</v>
    <v>Generic</v>
  </rv>
  <rv s="0">
    <v>805306368</v>
    <v>Martha Koome (Chief justice)</v>
    <v>1ce8d031-adcc-e20b-6496-4cf0590a125a</v>
    <v>en-US</v>
    <v>Generic</v>
  </rv>
  <rv s="3">
    <v>119</v>
  </rv>
  <rv s="4">
    <v>https://www.bing.com/search?q=kenya&amp;form=skydnc</v>
    <v>Learn more on Bing</v>
  </rv>
  <rv s="1">
    <fb>66.341999999999999</fb>
    <v>26</v>
  </rv>
  <rv s="1">
    <fb>25061520000</fb>
    <v>27</v>
  </rv>
  <rv s="1">
    <fb>342</fb>
    <v>26</v>
  </rv>
  <rv s="1">
    <fb>0.25</fb>
    <v>28</v>
  </rv>
  <rv s="1">
    <fb>0.33366441450000006</fb>
    <v>21</v>
  </rv>
  <rv s="1">
    <fb>0.1565</fb>
    <v>23</v>
  </rv>
  <rv s="1">
    <fb>55751717</fb>
    <v>22</v>
  </rv>
  <rv s="1">
    <fb>0.215</fb>
    <v>21</v>
  </rv>
  <rv s="1">
    <fb>0.47499999999999998</fb>
    <v>21</v>
  </rv>
  <rv s="1">
    <fb>2.4E-2</fb>
    <v>21</v>
  </rv>
  <rv s="1">
    <fb>6.2E-2</fb>
    <v>21</v>
  </rv>
  <rv s="1">
    <fb>0.14599999999999999</fb>
    <v>21</v>
  </rv>
  <rv s="1">
    <fb>0.74695999145507797</fb>
    <v>21</v>
  </rv>
  <rv s="0">
    <v>536870912</v>
    <v>Western Province</v>
    <v>8c1c2ae8-b1e8-2829-3d4f-0bc9e6eb18d6</v>
    <v>en-US</v>
    <v>Map</v>
  </rv>
  <rv s="3">
    <v>120</v>
  </rv>
  <rv s="1">
    <fb>0.15085141819362599</fb>
    <v>21</v>
  </rv>
  <rv s="3">
    <v>121</v>
  </rv>
  <rv s="1">
    <fb>0.37200000000000005</fb>
    <v>21</v>
  </rv>
  <rv s="1">
    <fb>2.64199995994568E-2</fb>
    <v>29</v>
  </rv>
  <rv s="1">
    <fb>14461523</fb>
    <v>22</v>
  </rv>
  <rv s="13">
    <v>#VALUE!</v>
    <v>en-US</v>
    <v>8ee43333-b344-289c-d8b1-5abf5e6a5995</v>
    <v>536870912</v>
    <v>1</v>
    <v>237</v>
    <v>91</v>
    <v>Kenya</v>
    <v>17</v>
    <v>18</v>
    <v>Map</v>
    <v>19</v>
    <v>238</v>
    <v>KE</v>
    <v>1762</v>
    <v>1763</v>
    <v>1764</v>
    <v>1765</v>
    <v>1766</v>
    <v>1767</v>
    <v>1768</v>
    <v>1769</v>
    <v>1770</v>
    <v>KES</v>
    <v>Kenya, officially the Republic of Kenya, is a country located in East Africa. With an estimated population of more than 53.3 million as of mid-2025, it is the 27th-most populous country in the world and the seventh-most populous in Africa. ...</v>
    <v>1771</v>
    <v>1772</v>
    <v>1773</v>
    <v>1774</v>
    <v>1775</v>
    <v>1776</v>
    <v>1777</v>
    <v>1778</v>
    <v>1779</v>
    <v>1780</v>
    <v>1767</v>
    <v>1783</v>
    <v>1784</v>
    <v>1785</v>
    <v>1786</v>
    <v>1787</v>
    <v>1788</v>
    <v>Kenya</v>
    <v>Ee Mungu Nguvu Yetu</v>
    <v>1513</v>
    <v>Republic of Kenya</v>
    <v>1789</v>
    <v>1790</v>
    <v>1791</v>
    <v>1792</v>
    <v>1130</v>
    <v>1793</v>
    <v>1794</v>
    <v>1795</v>
    <v>701</v>
    <v>1796</v>
    <v>1797</v>
    <v>1799</v>
    <v>1800</v>
    <v>1801</v>
    <v>1802</v>
    <v>1803</v>
    <v>Kenya</v>
    <v>1804</v>
    <v>mdp/vdpid/129</v>
  </rv>
  <rv s="0">
    <v>536870912</v>
    <v>Seychelles</v>
    <v>edbdad3e-b40e-62fd-849a-f3eaffadc75d</v>
    <v>en-US</v>
    <v>Map</v>
  </rv>
  <rv s="1">
    <fb>3.3695651137310399E-2</fb>
    <v>21</v>
  </rv>
  <rv s="1">
    <fb>459</fb>
    <v>22</v>
  </rv>
  <rv s="1">
    <fb>0</fb>
    <v>22</v>
  </rv>
  <rv s="1">
    <fb>17.100000000000001</fb>
    <v>23</v>
  </rv>
  <rv s="1">
    <fb>248</fb>
    <v>24</v>
  </rv>
  <rv s="0">
    <v>536870912</v>
    <v>Victoria, Seychelles</v>
    <v>775ad069-ad7c-7703-43b7-0fd25b36e04a</v>
    <v>en-US</v>
    <v>Map</v>
  </rv>
  <rv s="1">
    <fb>605.05499999999995</fb>
    <v>22</v>
  </rv>
  <rv s="1">
    <fb>129.95819746015201</fb>
    <v>25</v>
  </rv>
  <rv s="1">
    <fb>1.8061115998362701E-2</fb>
    <v>21</v>
  </rv>
  <rv s="1">
    <fb>2.41</fb>
    <v>23</v>
  </rv>
  <rv s="1">
    <fb>0.88413039497707202</fb>
    <v>21</v>
  </rv>
  <rv s="1">
    <fb>1698843062.76141</fb>
    <v>27</v>
  </rv>
  <rv s="1">
    <fb>1.0037948999999999</fb>
    <v>21</v>
  </rv>
  <rv s="1">
    <fb>0.17079849999999999</fb>
    <v>21</v>
  </rv>
  <rv s="2">
    <v>33</v>
    <v>19</v>
    <v>240</v>
    <v>7</v>
    <v>0</v>
    <v>Image of Seychelles</v>
  </rv>
  <rv s="1">
    <fb>12.4</fb>
    <v>26</v>
  </rv>
  <rv s="0">
    <v>805306368</v>
    <v>Patrick Herminie (President)</v>
    <v>15d99ff5-25f1-1d87-1e73-24fd19c98b0a</v>
    <v>en-US</v>
    <v>Generic</v>
  </rv>
  <rv s="0">
    <v>805306368</v>
    <v>Sebastien Pillay (Vice president)</v>
    <v>0c482342-31fd-87a6-7dca-e66e960bae36</v>
    <v>en-US</v>
    <v>Generic</v>
  </rv>
  <rv s="3">
    <v>122</v>
  </rv>
  <rv s="4">
    <v>https://www.bing.com/search?q=seychelles&amp;form=skydnc</v>
    <v>Learn more on Bing</v>
  </rv>
  <rv s="1">
    <fb>72.841463414634106</fb>
    <v>26</v>
  </rv>
  <rv s="1">
    <fb>1136540000</fb>
    <v>27</v>
  </rv>
  <rv s="1">
    <fb>53</fb>
    <v>26</v>
  </rv>
  <rv s="3">
    <v>123</v>
  </rv>
  <rv s="1">
    <fb>2.4844012200000001E-2</fb>
    <v>21</v>
  </rv>
  <rv s="1">
    <fb>0.94579999999999997</fb>
    <v>23</v>
  </rv>
  <rv s="1">
    <fb>98724</fb>
    <v>22</v>
  </rv>
  <rv s="1">
    <fb>0.184</fb>
    <v>21</v>
  </rv>
  <rv s="1">
    <fb>0.39899999999999997</fb>
    <v>21</v>
  </rv>
  <rv s="1">
    <fb>0.53</fb>
    <v>21</v>
  </rv>
  <rv s="1">
    <fb>1.9E-2</fb>
    <v>21</v>
  </rv>
  <rv s="0">
    <v>536870912</v>
    <v>Bel Air, Seychelles</v>
    <v>6028dc63-f5bc-b003-614f-c3423b3283ac</v>
    <v>en-US</v>
    <v>Map</v>
  </rv>
  <rv s="0">
    <v>536870912</v>
    <v>English River, Seychelles</v>
    <v>41563f20-dd24-017f-a035-e38d8191c88d</v>
    <v>en-US</v>
    <v>Map</v>
  </rv>
  <rv s="0">
    <v>536870912</v>
    <v>Les Mamelles</v>
    <v>c1ef852d-383b-ac8a-ad2f-fce594a4e355</v>
    <v>en-US</v>
    <v>Map</v>
  </rv>
  <rv s="0">
    <v>536870912</v>
    <v>Mont Buxton</v>
    <v>faaae7c2-897c-738e-66ca-b43069e8b9e4</v>
    <v>en-US</v>
    <v>Map</v>
  </rv>
  <rv s="0">
    <v>536870912</v>
    <v>Mont Fleuri</v>
    <v>997d5069-a1df-ac64-2fb4-98539abfd098</v>
    <v>en-US</v>
    <v>Map</v>
  </rv>
  <rv s="0">
    <v>536870912</v>
    <v>Plaisance, Seychelles</v>
    <v>0b547d04-47e0-ade2-72c2-53d1e2a2eecc</v>
    <v>en-US</v>
    <v>Map</v>
  </rv>
  <rv s="0">
    <v>536870912</v>
    <v>Roche Caiman</v>
    <v>27e3108d-54be-afb4-144d-2984f7caacd8</v>
    <v>en-US</v>
    <v>Map</v>
  </rv>
  <rv s="0">
    <v>536870912</v>
    <v>Saint Louis, Seychelles</v>
    <v>d0a0dba1-e562-fee5-84d6-2f356eaa0fe3</v>
    <v>en-US</v>
    <v>Map</v>
  </rv>
  <rv s="0">
    <v>536870912</v>
    <v>Anse aux Pins</v>
    <v>a916d846-fbee-0b9c-d9ee-dd4692f23771</v>
    <v>en-US</v>
    <v>Map</v>
  </rv>
  <rv s="0">
    <v>536870912</v>
    <v>Anse Boileau</v>
    <v>5116d6e9-dfe9-3bc8-afd9-3e340b122891</v>
    <v>en-US</v>
    <v>Map</v>
  </rv>
  <rv s="0">
    <v>536870912</v>
    <v>Anse Etoile</v>
    <v>9637b260-1d1a-215b-1a6f-c53c26c2f6a3</v>
    <v>en-US</v>
    <v>Map</v>
  </rv>
  <rv s="0">
    <v>536870912</v>
    <v>Au Cap</v>
    <v>09a4fe1f-6895-97cb-440e-2401a22b8c8c</v>
    <v>en-US</v>
    <v>Map</v>
  </rv>
  <rv s="0">
    <v>536870912</v>
    <v>Anse Royale</v>
    <v>e73216fd-8d69-dd96-beaf-1435086aead1</v>
    <v>en-US</v>
    <v>Map</v>
  </rv>
  <rv s="0">
    <v>536870912</v>
    <v>Baie Lazare</v>
    <v>9541bf03-b038-b270-6118-dc714f32f008</v>
    <v>en-US</v>
    <v>Map</v>
  </rv>
  <rv s="0">
    <v>536870912</v>
    <v>Beau Vallon, Seychelles</v>
    <v>a17a6c77-755a-8725-5022-5cc26b762c89</v>
    <v>en-US</v>
    <v>Map</v>
  </rv>
  <rv s="0">
    <v>536870912</v>
    <v>Bel Ombre, Seychelles</v>
    <v>2c2f4200-45d7-7e9c-bdaf-312fa8f2aea3</v>
    <v>en-US</v>
    <v>Map</v>
  </rv>
  <rv s="0">
    <v>536870912</v>
    <v>Cascade, Seychelles</v>
    <v>09a1d7d4-e49e-71be-d2ae-db520ec3cd0d</v>
    <v>en-US</v>
    <v>Map</v>
  </rv>
  <rv s="0">
    <v>536870912</v>
    <v>Glacis, Seychelles</v>
    <v>c32ae8df-1e45-b167-67dc-cc954cc3fba6</v>
    <v>en-US</v>
    <v>Map</v>
  </rv>
  <rv s="0">
    <v>536870912</v>
    <v>Grand'Anse Mahé</v>
    <v>1174b345-2bed-cf59-0822-8763981c46fb</v>
    <v>en-US</v>
    <v>Map</v>
  </rv>
  <rv s="0">
    <v>536870912</v>
    <v>Pointe La Rue</v>
    <v>a165b555-c1f4-532b-3dfc-0a710fec98aa</v>
    <v>en-US</v>
    <v>Map</v>
  </rv>
  <rv s="0">
    <v>536870912</v>
    <v>Port Glaud</v>
    <v>e48919e6-ccf5-033b-cdc2-6cf948dcbb7e</v>
    <v>en-US</v>
    <v>Map</v>
  </rv>
  <rv s="0">
    <v>536870912</v>
    <v>Takamaka, Seychelles</v>
    <v>6e453608-ae0a-b342-f5ab-ce26f302bcd8</v>
    <v>en-US</v>
    <v>Map</v>
  </rv>
  <rv s="0">
    <v>536870912</v>
    <v>Baie Saint Anne</v>
    <v>ad8766b0-6597-9be8-40b0-d55b2fe77246</v>
    <v>en-US</v>
    <v>Map</v>
  </rv>
  <rv s="0">
    <v>536870912</v>
    <v>Grand'Anse Praslin</v>
    <v>9c29603b-c760-5e2d-3835-19d72d32a41c</v>
    <v>en-US</v>
    <v>Map</v>
  </rv>
  <rv s="3">
    <v>124</v>
  </rv>
  <rv s="1">
    <fb>0.341163212544145</fb>
    <v>21</v>
  </rv>
  <rv s="3">
    <v>125</v>
  </rv>
  <rv s="1">
    <fb>0.30099999999999999</fb>
    <v>21</v>
  </rv>
  <rv s="1">
    <fb>55762</fb>
    <v>22</v>
  </rv>
  <rv s="22">
    <v>#VALUE!</v>
    <v>en-US</v>
    <v>edbdad3e-b40e-62fd-849a-f3eaffadc75d</v>
    <v>536870912</v>
    <v>1</v>
    <v>243</v>
    <v>244</v>
    <v>Seychelles</v>
    <v>17</v>
    <v>18</v>
    <v>Map</v>
    <v>19</v>
    <v>245</v>
    <v>SC</v>
    <v>1807</v>
    <v>1808</v>
    <v>1809</v>
    <v>1810</v>
    <v>1811</v>
    <v>1812</v>
    <v>1813</v>
    <v>1814</v>
    <v>1815</v>
    <v>SCR</v>
    <v>Seychelles, officially the Republic of Seychelles, is an archipelagic country consisting of 115 islands in the Indian Ocean. Its capital and largest city, Victoria, is 1,500 kilometres east of mainland Africa. Nearby island countries and ...</v>
    <v>1816</v>
    <v>1817</v>
    <v>11</v>
    <v>1818</v>
    <v>1819</v>
    <v>1820</v>
    <v>1821</v>
    <v>1822</v>
    <v>1812</v>
    <v>1825</v>
    <v>1826</v>
    <v>1827</v>
    <v>1828</v>
    <v>1829</v>
    <v>334</v>
    <v>Seychelles</v>
    <v>Koste Seselwa</v>
    <v>1830</v>
    <v>Repubblica delle Seychelles</v>
    <v>1831</v>
    <v>1832</v>
    <v>1833</v>
    <v>1834</v>
    <v>1835</v>
    <v>1836</v>
    <v>1837</v>
    <v>506</v>
    <v>1168</v>
    <v>1169</v>
    <v>1862</v>
    <v>1863</v>
    <v>1864</v>
    <v>1865</v>
    <v>Seychelles</v>
    <v>1866</v>
    <v>mdp/vdpid/208</v>
  </rv>
  <rv s="0">
    <v>536870912</v>
    <v>Namibia</v>
    <v>8fa38619-fcde-c9ff-939f-48a96fb1e4a6</v>
    <v>en-US</v>
    <v>Map</v>
  </rv>
  <rv s="1">
    <fb>0.47138918242660499</fb>
    <v>21</v>
  </rv>
  <rv s="1">
    <fb>825615</fb>
    <v>22</v>
  </rv>
  <rv s="1">
    <fb>28.638999999999999</fb>
    <v>23</v>
  </rv>
  <rv s="1">
    <fb>264</fb>
    <v>24</v>
  </rv>
  <rv s="0">
    <v>536870912</v>
    <v>Windhoek</v>
    <v>61966627-3552-ec0f-dc8a-65cecb9ffb6a</v>
    <v>en-US</v>
    <v>Map</v>
  </rv>
  <rv s="1">
    <fb>4228.0510000000004</fb>
    <v>22</v>
  </rv>
  <rv s="1">
    <fb>157.96836796149401</fb>
    <v>25</v>
  </rv>
  <rv s="1">
    <fb>3.7269751162113902E-2</fb>
    <v>21</v>
  </rv>
  <rv s="1">
    <fb>1652.56902565727</fb>
    <v>22</v>
  </rv>
  <rv s="1">
    <fb>3.3959999999999999</fb>
    <v>23</v>
  </rv>
  <rv s="1">
    <fb>8.3139596068062302E-2</fb>
    <v>21</v>
  </rv>
  <rv s="1">
    <fb>66.719090832065604</fb>
    <v>26</v>
  </rv>
  <rv s="1">
    <fb>0.76</fb>
    <v>28</v>
  </rv>
  <rv s="1">
    <fb>12366527719.332199</fb>
    <v>27</v>
  </rv>
  <rv s="1">
    <fb>1.2424839000000001</fb>
    <v>21</v>
  </rv>
  <rv s="1">
    <fb>0.22888159999999999</fb>
    <v>21</v>
  </rv>
  <rv s="2">
    <v>34</v>
    <v>19</v>
    <v>247</v>
    <v>7</v>
    <v>0</v>
    <v>Image of Namibia</v>
  </rv>
  <rv s="1">
    <fb>29</fb>
    <v>26</v>
  </rv>
  <rv s="0">
    <v>805306368</v>
    <v>Netumbo Nandi-Ndaitwah (President)</v>
    <v>f1af9554-b3e8-140c-1b86-c381ced93512</v>
    <v>en-US</v>
    <v>Generic</v>
  </rv>
  <rv s="0">
    <v>805306368</v>
    <v>Lucia Witbooi (Vice president)</v>
    <v>53f66ed1-db92-607e-e206-eb84255d9256</v>
    <v>en-US</v>
    <v>Generic</v>
  </rv>
  <rv s="0">
    <v>805306368</v>
    <v>Elijah Ngurare (Prime minister)</v>
    <v>b256dd4a-5335-14a4-22ef-22b32d0021fa</v>
    <v>en-US</v>
    <v>Generic</v>
  </rv>
  <rv s="0">
    <v>805306368</v>
    <v>Peter Shivute (Chief justice)</v>
    <v>e9ef246f-6cda-b0f8-c6f9-30ca0b3a86ff</v>
    <v>en-US</v>
    <v>Generic</v>
  </rv>
  <rv s="3">
    <v>126</v>
  </rv>
  <rv s="4">
    <v>https://www.bing.com/search?q=namibia&amp;form=skydnc</v>
    <v>Learn more on Bing</v>
  </rv>
  <rv s="1">
    <fb>63.372999999999998</fb>
    <v>26</v>
  </rv>
  <rv s="1">
    <fb>2609010000</fb>
    <v>27</v>
  </rv>
  <rv s="1">
    <fb>195</fb>
    <v>26</v>
  </rv>
  <rv s="3">
    <v>127</v>
  </rv>
  <rv s="1">
    <fb>8.3264359300000007E-2</fb>
    <v>21</v>
  </rv>
  <rv s="1">
    <fb>0.41820000000000002</fb>
    <v>23</v>
  </rv>
  <rv s="1">
    <fb>2852777</fb>
    <v>22</v>
  </rv>
  <rv s="1">
    <fb>0.17899999999999999</fb>
    <v>21</v>
  </rv>
  <rv s="1">
    <fb>0.47299999999999998</fb>
    <v>21</v>
  </rv>
  <rv s="1">
    <fb>0.63700000000000001</fb>
    <v>21</v>
  </rv>
  <rv s="1">
    <fb>5.7999999999999996E-2</fb>
    <v>21</v>
  </rv>
  <rv s="1">
    <fb>0.59534000396728504</fb>
    <v>21</v>
  </rv>
  <rv s="0">
    <v>536870912</v>
    <v>Zambezi Region</v>
    <v>1bf4722e-e938-ad4c-053a-5c5c7f5b14eb</v>
    <v>en-US</v>
    <v>Map</v>
  </rv>
  <rv s="0">
    <v>536870912</v>
    <v>Erongo Region</v>
    <v>7072d0f4-22f8-e275-f0aa-83396628c9f3</v>
    <v>en-US</v>
    <v>Map</v>
  </rv>
  <rv s="0">
    <v>536870912</v>
    <v>Hardap Region</v>
    <v>475a376d-8f09-927c-3e85-1b422c2179b4</v>
    <v>en-US</v>
    <v>Map</v>
  </rv>
  <rv s="0">
    <v>536870912</v>
    <v>ǁKharas Region</v>
    <v>73468a3b-7afd-9db8-82f1-bb96ada49696</v>
    <v>en-US</v>
    <v>Map</v>
  </rv>
  <rv s="0">
    <v>536870912</v>
    <v>Kavango East</v>
    <v>afd19a17-dd6f-4fbf-911a-62084dec9dd8</v>
    <v>en-US</v>
    <v>Map</v>
  </rv>
  <rv s="0">
    <v>536870912</v>
    <v>Khomas Region</v>
    <v>1bcf84dc-ec83-87ee-188b-9bbb34834301</v>
    <v>en-US</v>
    <v>Map</v>
  </rv>
  <rv s="0">
    <v>536870912</v>
    <v>Kunene Region</v>
    <v>727f4106-d962-2f6e-aea5-6208d9a9b21f</v>
    <v>en-US</v>
    <v>Map</v>
  </rv>
  <rv s="0">
    <v>536870912</v>
    <v>Ohangwena Region</v>
    <v>b34e8d41-f19f-dc00-4a44-24d519a4d386</v>
    <v>en-US</v>
    <v>Map</v>
  </rv>
  <rv s="0">
    <v>536870912</v>
    <v>Omaheke Region</v>
    <v>40cbe65c-9c66-4caa-1fb9-957cb23c070a</v>
    <v>en-US</v>
    <v>Map</v>
  </rv>
  <rv s="0">
    <v>536870912</v>
    <v>Omusati Region</v>
    <v>b1abbd50-50bb-d8f9-0fed-7c3e07895a7b</v>
    <v>en-US</v>
    <v>Map</v>
  </rv>
  <rv s="0">
    <v>536870912</v>
    <v>Oshana Region</v>
    <v>2e086734-bbe2-f5af-51ee-1f83de3d43c0</v>
    <v>en-US</v>
    <v>Map</v>
  </rv>
  <rv s="0">
    <v>536870912</v>
    <v>Oshikoto Region</v>
    <v>fa58d0b5-8c90-9050-fb4b-e92fbeef64db</v>
    <v>en-US</v>
    <v>Map</v>
  </rv>
  <rv s="0">
    <v>536870912</v>
    <v>Otjozondjupa Region</v>
    <v>da0a0614-db74-f49b-c81c-18ff9df883d3</v>
    <v>en-US</v>
    <v>Map</v>
  </rv>
  <rv s="0">
    <v>536870912</v>
    <v>Kavango West</v>
    <v>758e8b1a-cc53-4671-7d80-3a49ec51d39f</v>
    <v>en-US</v>
    <v>Map</v>
  </rv>
  <rv s="3">
    <v>128</v>
  </rv>
  <rv s="1">
    <fb>0.271186804983226</fb>
    <v>21</v>
  </rv>
  <rv s="3">
    <v>129</v>
  </rv>
  <rv s="1">
    <fb>0.202730007171631</fb>
    <v>29</v>
  </rv>
  <rv s="1">
    <fb>1273258</fb>
    <v>22</v>
  </rv>
  <rv s="19">
    <v>#VALUE!</v>
    <v>en-US</v>
    <v>8fa38619-fcde-c9ff-939f-48a96fb1e4a6</v>
    <v>536870912</v>
    <v>1</v>
    <v>250</v>
    <v>169</v>
    <v>Namibia</v>
    <v>17</v>
    <v>18</v>
    <v>Map</v>
    <v>19</v>
    <v>251</v>
    <v>NA</v>
    <v>1869</v>
    <v>1870</v>
    <v>1381</v>
    <v>1871</v>
    <v>1872</v>
    <v>1873</v>
    <v>1874</v>
    <v>1875</v>
    <v>1876</v>
    <v>NAD</v>
    <v>Namibia, officially the Republic of Namibia, is a country in Southern Africa. It borders the Atlantic Ocean to the west, Angola and Zambia to the north, Botswana to the east and South Africa to the south; in the northeast, approximating a ...</v>
    <v>1877</v>
    <v>1878</v>
    <v>1879</v>
    <v>1880</v>
    <v>1881</v>
    <v>1882</v>
    <v>1883</v>
    <v>1884</v>
    <v>1885</v>
    <v>1886</v>
    <v>1873</v>
    <v>1891</v>
    <v>1892</v>
    <v>1893</v>
    <v>1894</v>
    <v>1895</v>
    <v>Namibia</v>
    <v>Namibia, Land of the Brave</v>
    <v>1896</v>
    <v>Namibia</v>
    <v>1897</v>
    <v>1898</v>
    <v>1899</v>
    <v>1900</v>
    <v>1901</v>
    <v>1902</v>
    <v>1648</v>
    <v>638</v>
    <v>1903</v>
    <v>1168</v>
    <v>1904</v>
    <v>1919</v>
    <v>1920</v>
    <v>1921</v>
    <v>297</v>
    <v>1922</v>
    <v>Namibia</v>
    <v>1923</v>
    <v>mdp/vdpid/254</v>
  </rv>
  <rv s="0">
    <v>536870912</v>
    <v>Rwanda</v>
    <v>eb5f926e-ec19-3d93-b71c-da7503c96e60</v>
    <v>en-US</v>
    <v>Map</v>
  </rv>
  <rv s="1">
    <fb>0.73437371348677705</fb>
    <v>21</v>
  </rv>
  <rv s="1">
    <fb>26338</fb>
    <v>22</v>
  </rv>
  <rv s="1">
    <fb>31.696000000000002</fb>
    <v>23</v>
  </rv>
  <rv s="1">
    <fb>250</fb>
    <v>24</v>
  </rv>
  <rv s="0">
    <v>536870912</v>
    <v>Kigali</v>
    <v>4312f5fb-d203-6f22-75c2-2e76025511fb</v>
    <v>en-US</v>
    <v>Map</v>
  </rv>
  <rv s="1">
    <fb>1114.768</fb>
    <v>22</v>
  </rv>
  <rv s="1">
    <fb>151.08936856969899</fb>
    <v>25</v>
  </rv>
  <rv s="1">
    <fb>3.3533429931691103E-2</fb>
    <v>21</v>
  </rv>
  <rv s="1">
    <fb>4.0439999999999996</fb>
    <v>23</v>
  </rv>
  <rv s="1">
    <fb>0.197324680905135</fb>
    <v>21</v>
  </rv>
  <rv s="1">
    <fb>1.17</fb>
    <v>28</v>
  </rv>
  <rv s="1">
    <fb>10122472590.172001</fb>
    <v>27</v>
  </rv>
  <rv s="1">
    <fb>1.3304155</fb>
    <v>21</v>
  </rv>
  <rv s="1">
    <fb>6.7257200000000003E-2</fb>
    <v>21</v>
  </rv>
  <rv s="2">
    <v>35</v>
    <v>19</v>
    <v>253</v>
    <v>7</v>
    <v>0</v>
    <v>Image of Rwanda</v>
  </rv>
  <rv s="1">
    <fb>27</fb>
    <v>26</v>
  </rv>
  <rv s="0">
    <v>805306368</v>
    <v>Paul Kagame (President)</v>
    <v>c0781b90-3993-56d6-0563-317d96d61770</v>
    <v>en-US</v>
    <v>Generic</v>
  </rv>
  <rv s="0">
    <v>805306368</v>
    <v>Justin Nsengiyumva (Prime minister)</v>
    <v>2625ff34-5836-6db0-fabc-f954cef3ef69</v>
    <v>en-US</v>
    <v>Generic</v>
  </rv>
  <rv s="3">
    <v>130</v>
  </rv>
  <rv s="4">
    <v>https://www.bing.com/search?q=rwanda&amp;form=skydnc</v>
    <v>Learn more on Bing</v>
  </rv>
  <rv s="1">
    <fb>68.7</fb>
    <v>26</v>
  </rv>
  <rv s="1">
    <fb>3214220000</fb>
    <v>27</v>
  </rv>
  <rv s="1">
    <fb>248</fb>
    <v>26</v>
  </rv>
  <rv s="3">
    <v>131</v>
  </rv>
  <rv s="1">
    <fb>0.25965821559999996</fb>
    <v>21</v>
  </rv>
  <rv s="1">
    <fb>0.13400000000000001</fb>
    <v>23</v>
  </rv>
  <rv s="1">
    <fb>14277558</fb>
    <v>22</v>
  </rv>
  <rv s="1">
    <fb>0.19800000000000001</fb>
    <v>21</v>
  </rv>
  <rv s="1">
    <fb>0.35600000000000004</fb>
    <v>21</v>
  </rv>
  <rv s="1">
    <fb>0.50800000000000001</fb>
    <v>21</v>
  </rv>
  <rv s="1">
    <fb>0.83654998779296907</fb>
    <v>21</v>
  </rv>
  <rv s="0">
    <v>536870912</v>
    <v>Northern Province, Rwanda</v>
    <v>8eb85005-df1a-23e3-832a-250fa2fbc1a4</v>
    <v>en-US</v>
    <v>Map</v>
  </rv>
  <rv s="0">
    <v>536870912</v>
    <v>Eastern Province, Rwanda</v>
    <v>9800f774-8039-2f6f-c5ad-5665e89cb49c</v>
    <v>en-US</v>
    <v>Map</v>
  </rv>
  <rv s="0">
    <v>536870912</v>
    <v>Southern Province, Rwanda</v>
    <v>e0ae656e-e7ce-e8ff-5cb3-b59fd1407c17</v>
    <v>en-US</v>
    <v>Map</v>
  </rv>
  <rv s="0">
    <v>536870912</v>
    <v>Western Province, Rwanda</v>
    <v>42eb4682-c969-8380-27e4-f906bc76abaf</v>
    <v>en-US</v>
    <v>Map</v>
  </rv>
  <rv s="3">
    <v>132</v>
  </rv>
  <rv s="1">
    <fb>0.14263284937979501</fb>
    <v>21</v>
  </rv>
  <rv s="3">
    <v>133</v>
  </rv>
  <rv s="1">
    <fb>1.02999997138977E-2</fb>
    <v>29</v>
  </rv>
  <rv s="1">
    <fb>2186104</fb>
    <v>22</v>
  </rv>
  <rv s="23">
    <v>#VALUE!</v>
    <v>en-US</v>
    <v>eb5f926e-ec19-3d93-b71c-da7503c96e60</v>
    <v>536870912</v>
    <v>1</v>
    <v>256</v>
    <v>257</v>
    <v>Rwanda</v>
    <v>17</v>
    <v>18</v>
    <v>Map</v>
    <v>19</v>
    <v>258</v>
    <v>RW</v>
    <v>1926</v>
    <v>1927</v>
    <v>557</v>
    <v>1928</v>
    <v>1929</v>
    <v>1930</v>
    <v>1931</v>
    <v>1932</v>
    <v>1933</v>
    <v>RWF</v>
    <v>Rwanda, officially the Republic of Rwanda, is a landlocked country in East Africa. Known as the "Land of a Thousand Hills" for its high elevation and rolling terrain, its geography is dominated by mountains in the west and savanna in the ...</v>
    <v>1934</v>
    <v>1935</v>
    <v>1936</v>
    <v>1937</v>
    <v>1938</v>
    <v>1939</v>
    <v>1940</v>
    <v>1941</v>
    <v>1930</v>
    <v>1944</v>
    <v>1945</v>
    <v>1946</v>
    <v>1947</v>
    <v>1948</v>
    <v>Rwanda</v>
    <v>Rwanda Nziza</v>
    <v>1949</v>
    <v>Republic of Rwanda</v>
    <v>1950</v>
    <v>1951</v>
    <v>1952</v>
    <v>1953</v>
    <v>1954</v>
    <v>1955</v>
    <v>1794</v>
    <v>1116</v>
    <v>1168</v>
    <v>1477</v>
    <v>1956</v>
    <v>1961</v>
    <v>1962</v>
    <v>1963</v>
    <v>1069</v>
    <v>1964</v>
    <v>Rwanda</v>
    <v>1965</v>
    <v>mdp/vdpid/204</v>
  </rv>
  <rv s="0">
    <v>536870912</v>
    <v>Angola</v>
    <v>c44de41a-6be7-26a0-e667-1b91b20b039f</v>
    <v>en-US</v>
    <v>Map</v>
  </rv>
  <rv s="1">
    <fb>0.47477340178070099</fb>
    <v>21</v>
  </rv>
  <rv s="1">
    <fb>1246700</fb>
    <v>22</v>
  </rv>
  <rv s="1">
    <fb>117000</fb>
    <v>22</v>
  </rv>
  <rv s="1">
    <fb>40.728999999999999</fb>
    <v>23</v>
  </rv>
  <rv s="1">
    <fb>244</fb>
    <v>24</v>
  </rv>
  <rv s="0">
    <v>536870912</v>
    <v>Luanda</v>
    <v>8a776407-8935-f0e9-c346-94fa1f94d32b</v>
    <v>en-US</v>
    <v>Map</v>
  </rv>
  <rv s="1">
    <fb>34693.487000000001</fb>
    <v>22</v>
  </rv>
  <rv s="1">
    <fb>261.72720165799001</fb>
    <v>25</v>
  </rv>
  <rv s="1">
    <fb>0.17145319942787199</fb>
    <v>21</v>
  </rv>
  <rv s="1">
    <fb>312.228824978484</fb>
    <v>22</v>
  </rv>
  <rv s="1">
    <fb>5.5190000000000001</fb>
    <v>23</v>
  </rv>
  <rv s="1">
    <fb>0.46307210410483696</fb>
    <v>21</v>
  </rv>
  <rv s="1">
    <fb>48.305593009732902</fb>
    <v>26</v>
  </rv>
  <rv s="1">
    <fb>94635415869.985107</fb>
    <v>27</v>
  </rv>
  <rv s="1">
    <fb>1.1347795999999999</fb>
    <v>21</v>
  </rv>
  <rv s="1">
    <fb>9.336259999999999E-2</fb>
    <v>21</v>
  </rv>
  <rv s="2">
    <v>36</v>
    <v>19</v>
    <v>260</v>
    <v>7</v>
    <v>0</v>
    <v>Image of Angola</v>
  </rv>
  <rv s="1">
    <fb>51.6</fb>
    <v>26</v>
  </rv>
  <rv s="0">
    <v>805306368</v>
    <v>João Lourenço (President)</v>
    <v>ed80ec01-2935-4c79-9f19-8a6e4629a905</v>
    <v>en-US</v>
    <v>Generic</v>
  </rv>
  <rv s="0">
    <v>805306368</v>
    <v>Esperança da Costa (Vice president)</v>
    <v>d556a1a1-4870-2baa-2bdb-e5cde6c6c7cf</v>
    <v>en-US</v>
    <v>Generic</v>
  </rv>
  <rv s="0">
    <v>805306368</v>
    <v>Ademilson Loboto (Chief justice)</v>
    <v>274f6fa3-95e7-580a-52bb-20ae7adc26b9</v>
    <v>en-US</v>
    <v>Generic</v>
  </rv>
  <rv s="3">
    <v>134</v>
  </rv>
  <rv s="4">
    <v>https://www.bing.com/search?q=angola&amp;form=skydnc</v>
    <v>Learn more on Bing</v>
  </rv>
  <rv s="1">
    <fb>60.781999999999996</fb>
    <v>26</v>
  </rv>
  <rv s="1">
    <fb>241</fb>
    <v>26</v>
  </rv>
  <rv s="3">
    <v>135</v>
  </rv>
  <rv s="1">
    <fb>0.33387796799999997</fb>
    <v>21</v>
  </rv>
  <rv s="1">
    <fb>0.21460000000000001</fb>
    <v>23</v>
  </rv>
  <rv s="1">
    <fb>38984796</fb>
    <v>22</v>
  </rv>
  <rv s="1">
    <fb>0.39600000000000002</fb>
    <v>21</v>
  </rv>
  <rv s="1">
    <fb>0.55600000000000005</fb>
    <v>21</v>
  </rv>
  <rv s="1">
    <fb>3.7999999999999999E-2</fb>
    <v>21</v>
  </rv>
  <rv s="1">
    <fb>7.6999999999999999E-2</fb>
    <v>21</v>
  </rv>
  <rv s="1">
    <fb>0.126</fb>
    <v>21</v>
  </rv>
  <rv s="1">
    <fb>0.77492996215820298</fb>
    <v>21</v>
  </rv>
  <rv s="0">
    <v>536870912</v>
    <v>Bengo Province</v>
    <v>327e9606-e870-8641-b1fc-3603da70608f</v>
    <v>en-US</v>
    <v>Map</v>
  </rv>
  <rv s="0">
    <v>536870912</v>
    <v>Benguela Province</v>
    <v>1d609f56-97f4-4bd4-3c63-12f32c8e2c99</v>
    <v>en-US</v>
    <v>Map</v>
  </rv>
  <rv s="0">
    <v>536870912</v>
    <v>Bié Province</v>
    <v>1ae476bf-5de5-fbcb-eb8c-d9c924ab73b2</v>
    <v>en-US</v>
    <v>Map</v>
  </rv>
  <rv s="0">
    <v>536870912</v>
    <v>Cabinda Province</v>
    <v>7672281f-a928-c930-b47c-81f5b7876acf</v>
    <v>en-US</v>
    <v>Map</v>
  </rv>
  <rv s="0">
    <v>536870912</v>
    <v>Cuando Cubango Province</v>
    <v>d9441e4b-03d2-6adb-f1c1-8dbfb4d68ac4</v>
    <v>en-US</v>
    <v>Map</v>
  </rv>
  <rv s="0">
    <v>536870912</v>
    <v>Cuanza Norte Province</v>
    <v>b8bbd69b-0659-b2bf-d552-01eba5ae5792</v>
    <v>en-US</v>
    <v>Map</v>
  </rv>
  <rv s="0">
    <v>536870912</v>
    <v>Cuanza Sul Province</v>
    <v>8a98e101-ea44-19fe-1981-331be311010a</v>
    <v>en-US</v>
    <v>Map</v>
  </rv>
  <rv s="0">
    <v>536870912</v>
    <v>Cunene Province</v>
    <v>e0b594d2-cc63-d93d-07f2-cf72875cdd28</v>
    <v>en-US</v>
    <v>Map</v>
  </rv>
  <rv s="0">
    <v>536870912</v>
    <v>Huambo Province</v>
    <v>04981c62-f1c7-4dd8-ddf0-315359e7ce19</v>
    <v>en-US</v>
    <v>Map</v>
  </rv>
  <rv s="0">
    <v>536870912</v>
    <v>Huíla Province</v>
    <v>abf6abfc-f076-1235-dc02-972c822a69c8</v>
    <v>en-US</v>
    <v>Map</v>
  </rv>
  <rv s="0">
    <v>536870912</v>
    <v>Luanda Province</v>
    <v>3fc5bc35-c317-3bea-49c0-8dd6d20e2533</v>
    <v>en-US</v>
    <v>Map</v>
  </rv>
  <rv s="0">
    <v>536870912</v>
    <v>Lunda Norte Province</v>
    <v>2b0900d5-fff2-cf13-a8f4-d20c45f69dde</v>
    <v>en-US</v>
    <v>Map</v>
  </rv>
  <rv s="0">
    <v>536870912</v>
    <v>Lunda Sul Province</v>
    <v>41523132-0a9a-7b5a-cd2f-4f0b9710d443</v>
    <v>en-US</v>
    <v>Map</v>
  </rv>
  <rv s="0">
    <v>536870912</v>
    <v>Malanje Province</v>
    <v>3099b36f-1396-31fe-b591-dd982d3e0128</v>
    <v>en-US</v>
    <v>Map</v>
  </rv>
  <rv s="0">
    <v>536870912</v>
    <v>Namibe Province</v>
    <v>a646f8c8-b948-11ea-ba49-12591ba9542c</v>
    <v>en-US</v>
    <v>Map</v>
  </rv>
  <rv s="0">
    <v>536870912</v>
    <v>Moxico Province</v>
    <v>f682e4b6-b04b-667e-8c02-59063a376b5a</v>
    <v>en-US</v>
    <v>Map</v>
  </rv>
  <rv s="0">
    <v>536870912</v>
    <v>Uíge Province</v>
    <v>6a34ff6c-96f1-ccb1-d2c7-5cf62f9924de</v>
    <v>en-US</v>
    <v>Map</v>
  </rv>
  <rv s="0">
    <v>536870912</v>
    <v>Zaire Province</v>
    <v>3a002640-0183-b075-1951-2692cabc6b71</v>
    <v>en-US</v>
    <v>Map</v>
  </rv>
  <rv s="3">
    <v>136</v>
  </rv>
  <rv s="1">
    <fb>9.2237774537182501E-2</fb>
    <v>21</v>
  </rv>
  <rv s="3">
    <v>137</v>
  </rv>
  <rv s="1">
    <fb>0.49099999999999999</fb>
    <v>21</v>
  </rv>
  <rv s="1">
    <fb>6.8860001564025899E-2</fb>
    <v>29</v>
  </rv>
  <rv s="1">
    <fb>21061025</fb>
    <v>22</v>
  </rv>
  <rv s="7">
    <v>#VALUE!</v>
    <v>en-US</v>
    <v>c44de41a-6be7-26a0-e667-1b91b20b039f</v>
    <v>536870912</v>
    <v>1</v>
    <v>263</v>
    <v>43</v>
    <v>Angola</v>
    <v>17</v>
    <v>18</v>
    <v>Map</v>
    <v>19</v>
    <v>264</v>
    <v>AO</v>
    <v>1968</v>
    <v>1969</v>
    <v>1970</v>
    <v>1971</v>
    <v>1972</v>
    <v>1973</v>
    <v>1974</v>
    <v>1975</v>
    <v>1976</v>
    <v>AOA</v>
    <v>Angola, officially the Republic of Angola, is a country on the western coast of Southern Africa. It is the second-largest Portuguese-speaking country after Brazil in both total area and population and is the seventh-largest country in Africa. It ...</v>
    <v>1977</v>
    <v>1978</v>
    <v>1979</v>
    <v>1980</v>
    <v>281</v>
    <v>1981</v>
    <v>1982</v>
    <v>1983</v>
    <v>1984</v>
    <v>1985</v>
    <v>1973</v>
    <v>1989</v>
    <v>1990</v>
    <v>1991</v>
    <v>1992</v>
    <v>22</v>
    <v>Angola</v>
    <v>Angola Avante</v>
    <v>1993</v>
    <v>República de Angola</v>
    <v>1994</v>
    <v>1995</v>
    <v>1996</v>
    <v>1207</v>
    <v>1997</v>
    <v>1998</v>
    <v>1071</v>
    <v>1999</v>
    <v>2000</v>
    <v>2001</v>
    <v>2002</v>
    <v>2021</v>
    <v>2022</v>
    <v>2023</v>
    <v>2024</v>
    <v>2025</v>
    <v>Angola</v>
    <v>2026</v>
    <v>mdp/vdpid/9</v>
  </rv>
  <rv s="0">
    <v>536870912</v>
    <v>Sierra Leone</v>
    <v>41793478-51d5-adbf-c119-180944ed6ef5</v>
    <v>en-US</v>
    <v>Map</v>
  </rv>
  <rv s="1">
    <fb>0.54710446106954802</fb>
    <v>21</v>
  </rv>
  <rv s="1">
    <fb>71740</fb>
    <v>22</v>
  </rv>
  <rv s="1">
    <fb>33.405999999999999</fb>
    <v>23</v>
  </rv>
  <rv s="1">
    <fb>232</fb>
    <v>24</v>
  </rv>
  <rv s="0">
    <v>536870912</v>
    <v>Freetown</v>
    <v>55165688-4d05-763a-a26e-f7e79cafa0da</v>
    <v>en-US</v>
    <v>Map</v>
  </rv>
  <rv s="1">
    <fb>1092.7660000000001</fb>
    <v>22</v>
  </rv>
  <rv s="1">
    <fb>234.15870949074099</fb>
    <v>25</v>
  </rv>
  <rv s="1">
    <fb>0.148030585681759</fb>
    <v>21</v>
  </rv>
  <rv s="1">
    <fb>4.2629999999999999</fb>
    <v>23</v>
  </rv>
  <rv s="1">
    <fb>0.43053478770521603</fb>
    <v>21</v>
  </rv>
  <rv s="1">
    <fb>1.08</fb>
    <v>28</v>
  </rv>
  <rv s="1">
    <fb>3941474310.7691302</fb>
    <v>27</v>
  </rv>
  <rv s="1">
    <fb>1.1275457</fb>
    <v>21</v>
  </rv>
  <rv s="1">
    <fb>1.9587799999999999E-2</fb>
    <v>21</v>
  </rv>
  <rv s="2">
    <v>37</v>
    <v>19</v>
    <v>266</v>
    <v>7</v>
    <v>0</v>
    <v>Image of Sierra Leone</v>
  </rv>
  <rv s="1">
    <fb>78.5</fb>
    <v>26</v>
  </rv>
  <rv s="0">
    <v>805306368</v>
    <v>Julius Maada Bio (President)</v>
    <v>dba1e7bb-97c5-18a9-378b-8f97f7a20670</v>
    <v>en-US</v>
    <v>Generic</v>
  </rv>
  <rv s="0">
    <v>805306368</v>
    <v>Mohamed Juldeh Jalloh (Vice president)</v>
    <v>c772cd24-8e86-0208-1402-c6235a4729a1</v>
    <v>en-US</v>
    <v>Generic</v>
  </rv>
  <rv s="0">
    <v>805306368</v>
    <v>David Moinina Sengeh (Chief minister)</v>
    <v>e7e20cbf-f65b-4363-64a9-7cd634d44949</v>
    <v>en-US</v>
    <v>Generic</v>
  </rv>
  <rv s="0">
    <v>805306368</v>
    <v>Osman Abdulai Turay (Chief justice)</v>
    <v>0493d54e-01f3-1ac9-5d59-c0ae05ebf775</v>
    <v>en-US</v>
    <v>Generic</v>
  </rv>
  <rv s="3">
    <v>138</v>
  </rv>
  <rv s="4">
    <v>https://www.bing.com/search?q=sierra+leone&amp;form=skydnc</v>
    <v>Learn more on Bing</v>
  </rv>
  <rv s="1">
    <fb>54.308999999999997</fb>
    <v>26</v>
  </rv>
  <rv s="1">
    <fb>1120</fb>
    <v>26</v>
  </rv>
  <rv s="1">
    <fb>0.56999999999999995</fb>
    <v>28</v>
  </rv>
  <rv s="1">
    <fb>0.38238115090000002</fb>
    <v>21</v>
  </rv>
  <rv s="1">
    <fb>2.5000000000000001E-2</fb>
    <v>23</v>
  </rv>
  <rv s="1">
    <fb>9331203</fb>
    <v>22</v>
  </rv>
  <rv s="1">
    <fb>0.21</fb>
    <v>21</v>
  </rv>
  <rv s="1">
    <fb>0.29399999999999998</fb>
    <v>21</v>
  </rv>
  <rv s="1">
    <fb>0.442</fb>
    <v>21</v>
  </rv>
  <rv s="1">
    <fb>3.4000000000000002E-2</fb>
    <v>21</v>
  </rv>
  <rv s="1">
    <fb>7.9000000000000001E-2</fb>
    <v>21</v>
  </rv>
  <rv s="1">
    <fb>0.153</fb>
    <v>21</v>
  </rv>
  <rv s="1">
    <fb>0.57895999908447304</fb>
    <v>21</v>
  </rv>
  <rv s="0">
    <v>536870912</v>
    <v>Northern Province, Sierra Leone</v>
    <v>bd7b6207-d6cb-1c1f-6277-d09bea114dfb</v>
    <v>en-US</v>
    <v>Map</v>
  </rv>
  <rv s="0">
    <v>536870912</v>
    <v>Southern Province, Sierra Leone</v>
    <v>2f3c9dcb-0cd5-6744-49b4-b8117e86218c</v>
    <v>en-US</v>
    <v>Map</v>
  </rv>
  <rv s="0">
    <v>536870912</v>
    <v>Eastern Province, Sierra Leone</v>
    <v>afd79e24-2e3a-f3e5-34e1-a805620bfd76</v>
    <v>en-US</v>
    <v>Map</v>
  </rv>
  <rv s="0">
    <v>536870912</v>
    <v>Western Area</v>
    <v>97c4bd99-40a7-27ce-e2dd-0f1433b76c55</v>
    <v>en-US</v>
    <v>Map</v>
  </rv>
  <rv s="3">
    <v>139</v>
  </rv>
  <rv s="1">
    <fb>8.5952159824142504E-2</fb>
    <v>21</v>
  </rv>
  <rv s="3">
    <v>140</v>
  </rv>
  <rv s="1">
    <fb>0.307</fb>
    <v>21</v>
  </rv>
  <rv s="1">
    <fb>4.4279999732971198E-2</fb>
    <v>29</v>
  </rv>
  <rv s="1">
    <fb>3319366</fb>
    <v>22</v>
  </rv>
  <rv s="12">
    <v>#VALUE!</v>
    <v>en-US</v>
    <v>41793478-51d5-adbf-c119-180944ed6ef5</v>
    <v>536870912</v>
    <v>1</v>
    <v>269</v>
    <v>84</v>
    <v>Sierra Leone</v>
    <v>17</v>
    <v>18</v>
    <v>Map</v>
    <v>19</v>
    <v>270</v>
    <v>SL</v>
    <v>2029</v>
    <v>2030</v>
    <v>417</v>
    <v>2031</v>
    <v>2032</v>
    <v>2033</v>
    <v>2034</v>
    <v>2035</v>
    <v>2036</v>
    <v>SLE</v>
    <v>Sierra Leone, officially the Republic of Sierra Leone, is a country on the west coast of West Africa. It is bordered to the southeast by Liberia and by Guinea to the north. Sierra Leone's land area is 73,252 km². It has a tropical climate and ...</v>
    <v>2037</v>
    <v>2038</v>
    <v>2039</v>
    <v>2040</v>
    <v>2041</v>
    <v>2042</v>
    <v>2043</v>
    <v>2044</v>
    <v>2033</v>
    <v>2049</v>
    <v>2050</v>
    <v>2051</v>
    <v>2052</v>
    <v>2053</v>
    <v>Sierra Leone</v>
    <v>High We Exalt Thee, Realm of the Free</v>
    <v>440</v>
    <v>Repubblica della Sierra Leone</v>
    <v>2054</v>
    <v>2055</v>
    <v>2056</v>
    <v>2057</v>
    <v>2058</v>
    <v>2059</v>
    <v>2060</v>
    <v>2061</v>
    <v>1595</v>
    <v>2062</v>
    <v>2063</v>
    <v>2068</v>
    <v>2069</v>
    <v>2070</v>
    <v>2071</v>
    <v>2072</v>
    <v>Sierra Leone</v>
    <v>2073</v>
    <v>mdp/vdpid/213</v>
  </rv>
  <rv s="0">
    <v>536870912</v>
    <v>Gabon</v>
    <v>699f8937-631d-88ab-7da4-c4d4107ecdde</v>
    <v>en-US</v>
    <v>Map</v>
  </rv>
  <rv s="1">
    <fb>0.20025614157643498</fb>
    <v>21</v>
  </rv>
  <rv s="1">
    <fb>267667</fb>
    <v>22</v>
  </rv>
  <rv s="1">
    <fb>7000</fb>
    <v>22</v>
  </rv>
  <rv s="1">
    <fb>31.611000000000001</fb>
    <v>23</v>
  </rv>
  <rv s="1">
    <fb>241</fb>
    <v>24</v>
  </rv>
  <rv s="0">
    <v>536870912</v>
    <v>Libreville</v>
    <v>8cf1387f-7713-cd7f-c3f9-7f932df1bc10</v>
    <v>en-US</v>
    <v>Map</v>
  </rv>
  <rv s="1">
    <fb>5320.817</fb>
    <v>22</v>
  </rv>
  <rv s="1">
    <fb>122.18684118369301</fb>
    <v>25</v>
  </rv>
  <rv s="1">
    <fb>2.0619978836274502E-2</fb>
    <v>21</v>
  </rv>
  <rv s="1">
    <fb>1167.8522136107899</fb>
    <v>22</v>
  </rv>
  <rv s="1">
    <fb>3.9689999999999999</fb>
    <v>23</v>
  </rv>
  <rv s="1">
    <fb>0.90037645049869997</fb>
    <v>21</v>
  </rv>
  <rv s="1">
    <fb>22.786516313758199</fb>
    <v>26</v>
  </rv>
  <rv s="1">
    <fb>16657960228.089199</fb>
    <v>27</v>
  </rv>
  <rv s="1">
    <fb>1.3993362999999999</fb>
    <v>21</v>
  </rv>
  <rv s="1">
    <fb>8.3058599999999996E-2</fb>
    <v>21</v>
  </rv>
  <rv s="2">
    <v>38</v>
    <v>19</v>
    <v>272</v>
    <v>7</v>
    <v>0</v>
    <v>Image of Gabon</v>
  </rv>
  <rv s="1">
    <fb>32.700000000000003</fb>
    <v>26</v>
  </rv>
  <rv s="0">
    <v>805306368</v>
    <v>Brice Oligui Nguema (President)</v>
    <v>f8c968b5-7825-b875-f8c8-901414da5deb</v>
    <v>en-US</v>
    <v>Generic</v>
  </rv>
  <rv s="0">
    <v>805306368</v>
    <v>Alexandre Barro Chambrier (Vice president)</v>
    <v>914a5509-173b-d654-e0d2-64baea2946a7</v>
    <v>en-US</v>
    <v>Generic</v>
  </rv>
  <rv s="3">
    <v>141</v>
  </rv>
  <rv s="4">
    <v>https://www.bing.com/search?q=gabon&amp;form=skydnc</v>
    <v>Learn more on Bing</v>
  </rv>
  <rv s="1">
    <fb>66.186999999999998</fb>
    <v>26</v>
  </rv>
  <rv s="1">
    <fb>252</fb>
    <v>26</v>
  </rv>
  <rv s="1">
    <fb>1.46</fb>
    <v>28</v>
  </rv>
  <rv s="1">
    <fb>0.25904658609999998</fb>
    <v>21</v>
  </rv>
  <rv s="1">
    <fb>0.68189999999999995</fb>
    <v>23</v>
  </rv>
  <rv s="1">
    <fb>2513738</fb>
    <v>22</v>
  </rv>
  <rv s="1">
    <fb>0.23</fb>
    <v>21</v>
  </rv>
  <rv s="1">
    <fb>0.27699999999999997</fb>
    <v>21</v>
  </rv>
  <rv s="1">
    <fb>0.44400000000000001</fb>
    <v>21</v>
  </rv>
  <rv s="1">
    <fb>0.10800000000000001</fb>
    <v>21</v>
  </rv>
  <rv s="1">
    <fb>0.52895000457763697</fb>
    <v>21</v>
  </rv>
  <rv s="0">
    <v>536870912</v>
    <v>Estuaire Province</v>
    <v>a6dad9ab-b3fa-277f-52a5-96da6142ea76</v>
    <v>en-US</v>
    <v>Map</v>
  </rv>
  <rv s="0">
    <v>536870912</v>
    <v>Haut-Ogooué Province</v>
    <v>eb127ae8-c90a-a2a3-a593-02e2b551956d</v>
    <v>en-US</v>
    <v>Map</v>
  </rv>
  <rv s="0">
    <v>536870912</v>
    <v>Moyen-Ogooué Province</v>
    <v>c2074810-8162-ffca-665c-e57d9f8148bf</v>
    <v>en-US</v>
    <v>Map</v>
  </rv>
  <rv s="0">
    <v>536870912</v>
    <v>Ngounié Province</v>
    <v>4a6d6361-635f-0d30-dfd0-9ed6a5cb63b0</v>
    <v>en-US</v>
    <v>Map</v>
  </rv>
  <rv s="0">
    <v>536870912</v>
    <v>Nyanga Province</v>
    <v>5033ff21-f53f-3e91-69e7-0afd46275833</v>
    <v>en-US</v>
    <v>Map</v>
  </rv>
  <rv s="0">
    <v>536870912</v>
    <v>Ogooué-Ivindo Province</v>
    <v>0c561973-31c3-1fa9-518d-1153f0cc5924</v>
    <v>en-US</v>
    <v>Map</v>
  </rv>
  <rv s="0">
    <v>536870912</v>
    <v>Ogooué-Lolo Province</v>
    <v>89ea1f8b-b578-d994-cfcd-fdf2e1250513</v>
    <v>en-US</v>
    <v>Map</v>
  </rv>
  <rv s="0">
    <v>536870912</v>
    <v>Ogooué-Maritime Province</v>
    <v>87c39d29-9e38-698e-6c3a-de6a5ec810ec</v>
    <v>en-US</v>
    <v>Map</v>
  </rv>
  <rv s="0">
    <v>536870912</v>
    <v>Woleu-Ntem Province</v>
    <v>e3a43d83-75e0-a65d-298f-14f219a370ce</v>
    <v>en-US</v>
    <v>Map</v>
  </rv>
  <rv s="3">
    <v>142</v>
  </rv>
  <rv s="1">
    <fb>0.102183913092029</fb>
    <v>21</v>
  </rv>
  <rv s="3">
    <v>143</v>
  </rv>
  <rv s="1">
    <fb>0.47100000000000003</fb>
    <v>21</v>
  </rv>
  <rv s="1">
    <fb>0.20003999710083001</fb>
    <v>29</v>
  </rv>
  <rv s="1">
    <fb>1949694</fb>
    <v>22</v>
  </rv>
  <rv s="7">
    <v>#VALUE!</v>
    <v>en-US</v>
    <v>699f8937-631d-88ab-7da4-c4d4107ecdde</v>
    <v>536870912</v>
    <v>1</v>
    <v>275</v>
    <v>43</v>
    <v>Gabon</v>
    <v>17</v>
    <v>18</v>
    <v>Map</v>
    <v>19</v>
    <v>276</v>
    <v>GA</v>
    <v>2076</v>
    <v>2077</v>
    <v>2078</v>
    <v>2079</v>
    <v>2080</v>
    <v>2081</v>
    <v>2082</v>
    <v>2083</v>
    <v>2084</v>
    <v>XAF</v>
    <v>Gabon, officially the Gabonese Republic, is a country on the Atlantic coast of Central Africa, on the equator, bordered by Equatorial Guinea to the northwest, Cameroon to the north, the Republic of the Congo to the east and south, and the Gulf ...</v>
    <v>2085</v>
    <v>2086</v>
    <v>2087</v>
    <v>2088</v>
    <v>1392</v>
    <v>2089</v>
    <v>2090</v>
    <v>2091</v>
    <v>2092</v>
    <v>2093</v>
    <v>2081</v>
    <v>2096</v>
    <v>2097</v>
    <v>2098</v>
    <v>2099</v>
    <v>2100</v>
    <v>Gabon</v>
    <v>La Concorde</v>
    <v>293</v>
    <v>Repubblica Gabonese</v>
    <v>2101</v>
    <v>2102</v>
    <v>2103</v>
    <v>2104</v>
    <v>2105</v>
    <v>2106</v>
    <v>1361</v>
    <v>1116</v>
    <v>2107</v>
    <v>868</v>
    <v>2108</v>
    <v>2118</v>
    <v>2119</v>
    <v>2120</v>
    <v>2121</v>
    <v>2122</v>
    <v>Gabon</v>
    <v>2123</v>
    <v>mdp/vdpid/87</v>
  </rv>
  <rv s="0">
    <v>536870912</v>
    <v>Cape Verde</v>
    <v>f5c359d6-b579-f02c-e5ec-07e6cc68c768</v>
    <v>en-US</v>
    <v>Map</v>
  </rv>
  <rv s="1">
    <fb>0.19602977667493801</fb>
    <v>21</v>
  </rv>
  <rv s="1">
    <fb>4033</fb>
    <v>22</v>
  </rv>
  <rv s="1">
    <fb>19.489999999999998</fb>
    <v>23</v>
  </rv>
  <rv s="1">
    <fb>238</fb>
    <v>24</v>
  </rv>
  <rv s="0">
    <v>536870912</v>
    <v>Praia</v>
    <v>78c8a737-4c28-9af0-ee0b-e664b36b5560</v>
    <v>en-US</v>
    <v>Map</v>
  </rv>
  <rv s="1">
    <fb>542.71600000000001</fb>
    <v>22</v>
  </rv>
  <rv s="1">
    <fb>110.50160632139099</fb>
    <v>25</v>
  </rv>
  <rv s="1">
    <fb>1.1066665649414401E-2</fb>
    <v>21</v>
  </rv>
  <rv s="1">
    <fb>2.274</fb>
    <v>23</v>
  </rv>
  <rv s="1">
    <fb>0.22545905858647999</fb>
    <v>21</v>
  </rv>
  <rv s="1">
    <fb>1.02</fb>
    <v>28</v>
  </rv>
  <rv s="1">
    <fb>1981845740.7061501</fb>
    <v>27</v>
  </rv>
  <rv s="1">
    <fb>1.0402796999999999</fb>
    <v>21</v>
  </rv>
  <rv s="1">
    <fb>0.23616510000000002</fb>
    <v>21</v>
  </rv>
  <rv s="2">
    <v>39</v>
    <v>19</v>
    <v>278</v>
    <v>7</v>
    <v>0</v>
    <v>Image of Cape Verde</v>
  </rv>
  <rv s="1">
    <fb>16.7</fb>
    <v>26</v>
  </rv>
  <rv s="0">
    <v>805306368</v>
    <v>José Maria Neves (President)</v>
    <v>47b5deba-3ca5-87b6-3f01-cbe50d3fedb6</v>
    <v>en-US</v>
    <v>Generic</v>
  </rv>
  <rv s="0">
    <v>805306368</v>
    <v>Ulisses Correia e Silva (Prime minister)</v>
    <v>2b16dc4b-324c-04ed-3cea-8a9b2a37fc7a</v>
    <v>en-US</v>
    <v>Generic</v>
  </rv>
  <rv s="3">
    <v>144</v>
  </rv>
  <rv s="4">
    <v>https://www.bing.com/search?q=cape+verde&amp;form=skydnc</v>
    <v>Learn more on Bing</v>
  </rv>
  <rv s="1">
    <fb>72.781999999999996</fb>
    <v>26</v>
  </rv>
  <rv s="1">
    <fb>58</fb>
    <v>26</v>
  </rv>
  <rv s="1">
    <fb>0.68</fb>
    <v>28</v>
  </rv>
  <rv s="3">
    <v>145</v>
  </rv>
  <rv s="1">
    <fb>0.23170751710000001</fb>
    <v>21</v>
  </rv>
  <rv s="1">
    <fb>0.76939999999999997</fb>
    <v>23</v>
  </rv>
  <rv s="1">
    <fb>618014</fb>
    <v>22</v>
  </rv>
  <rv s="1">
    <fb>0.32299999999999995</fb>
    <v>21</v>
  </rv>
  <rv s="1">
    <fb>0.48700000000000004</fb>
    <v>21</v>
  </rv>
  <rv s="1">
    <fb>0.14300000000000002</fb>
    <v>21</v>
  </rv>
  <rv s="1">
    <fb>0.604550018310547</fb>
    <v>21</v>
  </rv>
  <rv s="0">
    <v>536870912</v>
    <v>São Lourenço dos Órgãos, Cape Verde</v>
    <v>f183e7ec-3c03-6fea-e842-5c6b653b9959</v>
    <v>en-US</v>
    <v>Map</v>
  </rv>
  <rv s="0">
    <v>536870912</v>
    <v>São Miguel, Cape Verde</v>
    <v>82f9df29-c086-33fc-9ef5-eaf04e219943</v>
    <v>en-US</v>
    <v>Map</v>
  </rv>
  <rv s="0">
    <v>536870912</v>
    <v>São Salvador do Mundo, Cape Verde</v>
    <v>a1f95461-5e9c-4f01-ff23-232168ef5307</v>
    <v>en-US</v>
    <v>Map</v>
  </rv>
  <rv s="0">
    <v>536870912</v>
    <v>Ribeira Grande, Cape Verde</v>
    <v>6742a278-e6b9-888f-1f14-8dbc62c20e6d</v>
    <v>en-US</v>
    <v>Map</v>
  </rv>
  <rv s="0">
    <v>536870912</v>
    <v>Paul, Cape Verde</v>
    <v>458c0002-934a-ea9d-6a82-5ec5dca5f40d</v>
    <v>en-US</v>
    <v>Map</v>
  </rv>
  <rv s="0">
    <v>536870912</v>
    <v>Porto Novo, Cape Verde</v>
    <v>decabdcc-76c3-86ab-8123-ebc3e0865185</v>
    <v>en-US</v>
    <v>Map</v>
  </rv>
  <rv s="0">
    <v>536870912</v>
    <v>Ribeira Brava, Cape Verde</v>
    <v>32abb67d-a103-da7d-50c0-f3d23d7081b1</v>
    <v>en-US</v>
    <v>Map</v>
  </rv>
  <rv s="0">
    <v>536870912</v>
    <v>Tarrafal de São Nicolau</v>
    <v>55b2c9c6-739e-2a17-ad43-ebff2a632d02</v>
    <v>en-US</v>
    <v>Map</v>
  </rv>
  <rv s="0">
    <v>536870912</v>
    <v>Mosteiros, Cape Verde</v>
    <v>60049836-a2c8-c0f3-f519-5de3b7eec761</v>
    <v>en-US</v>
    <v>Map</v>
  </rv>
  <rv s="0">
    <v>536870912</v>
    <v>Praia, Cape Verde</v>
    <v>fa2bf56b-a438-0d36-51eb-728e4d9b7ca5</v>
    <v>en-US</v>
    <v>Map</v>
  </rv>
  <rv s="0">
    <v>536870912</v>
    <v>Ribeira Grande de Santiago, Cape Verde</v>
    <v>75d0a256-1710-dd23-9ba5-7d66001e0139</v>
    <v>en-US</v>
    <v>Map</v>
  </rv>
  <rv s="0">
    <v>536870912</v>
    <v>Santa Catarina, Cape Verde</v>
    <v>5960d726-cea9-c4b1-7864-27c3ae7120df</v>
    <v>en-US</v>
    <v>Map</v>
  </rv>
  <rv s="0">
    <v>536870912</v>
    <v>Santa Catarina do Fogo, Cape Verde</v>
    <v>62b4e152-ad9d-b1d9-221e-745396f00621</v>
    <v>en-US</v>
    <v>Map</v>
  </rv>
  <rv s="0">
    <v>536870912</v>
    <v>Santa Cruz, Cape Verde</v>
    <v>f6f15e30-f512-139a-1350-14afe8483679</v>
    <v>en-US</v>
    <v>Map</v>
  </rv>
  <rv s="0">
    <v>536870912</v>
    <v>São Domingos, Cape Verde</v>
    <v>1fe33247-d53c-6627-79ac-ab28ecc3af85</v>
    <v>en-US</v>
    <v>Map</v>
  </rv>
  <rv s="0">
    <v>536870912</v>
    <v>São Filipe, Cape Verde</v>
    <v>4c226f7f-2d80-ab38-f532-61d277eb98ab</v>
    <v>en-US</v>
    <v>Map</v>
  </rv>
  <rv s="0">
    <v>536870912</v>
    <v>Tarrafal, Cape Verde</v>
    <v>24b4fb16-bfdc-2a3c-195b-a2d8e1443a5d</v>
    <v>en-US</v>
    <v>Map</v>
  </rv>
  <rv s="3">
    <v>146</v>
  </rv>
  <rv s="1">
    <fb>0.20086752683725401</fb>
    <v>21</v>
  </rv>
  <rv s="3">
    <v>147</v>
  </rv>
  <rv s="1">
    <fb>0.375</fb>
    <v>21</v>
  </rv>
  <rv s="1">
    <fb>0.122489995956421</fb>
    <v>29</v>
  </rv>
  <rv s="1">
    <fb>364029</fb>
    <v>22</v>
  </rv>
  <rv s="17">
    <v>#VALUE!</v>
    <v>en-US</v>
    <v>f5c359d6-b579-f02c-e5ec-07e6cc68c768</v>
    <v>536870912</v>
    <v>1</v>
    <v>281</v>
    <v>137</v>
    <v>Cape Verde</v>
    <v>17</v>
    <v>18</v>
    <v>Map</v>
    <v>19</v>
    <v>282</v>
    <v>CV</v>
    <v>2126</v>
    <v>2127</v>
    <v>225</v>
    <v>2128</v>
    <v>2129</v>
    <v>2130</v>
    <v>2131</v>
    <v>2132</v>
    <v>2133</v>
    <v>CVE</v>
    <v>Cape Verde or Cabo Verde, officially the Republic of Cabo Verde, is an archipelagic country in the central Atlantic Ocean off the coast of West Africa. It consists of ten volcanic islands with a combined land area of about 4,033 square ...</v>
    <v>2134</v>
    <v>2135</v>
    <v>11</v>
    <v>2136</v>
    <v>2137</v>
    <v>2138</v>
    <v>2139</v>
    <v>2140</v>
    <v>2141</v>
    <v>2130</v>
    <v>2144</v>
    <v>2145</v>
    <v>2146</v>
    <v>2147</v>
    <v>2148</v>
    <v>Cape Verde</v>
    <v>Cântico da Liberdade</v>
    <v>2149</v>
    <v>República de Cabo Verde</v>
    <v>2150</v>
    <v>2151</v>
    <v>2152</v>
    <v>149</v>
    <v>2153</v>
    <v>2154</v>
    <v>1361</v>
    <v>1362</v>
    <v>507</v>
    <v>2155</v>
    <v>2156</v>
    <v>2174</v>
    <v>2175</v>
    <v>2176</v>
    <v>2177</v>
    <v>2178</v>
    <v>Cape Verde</v>
    <v>2179</v>
    <v>mdp/vdpid/57</v>
  </rv>
  <rv s="0">
    <v>536870912</v>
    <v>South Africa</v>
    <v>38a9fd4a-4f7c-6d91-d6dd-4eed3131672d</v>
    <v>en-US</v>
    <v>Map</v>
  </rv>
  <rv s="1">
    <fb>0.79830020855830996</fb>
    <v>21</v>
  </rv>
  <rv s="1">
    <fb>1221037</fb>
    <v>22</v>
  </rv>
  <rv s="1">
    <fb>80000</fb>
    <v>22</v>
  </rv>
  <rv s="1">
    <fb>20.51</fb>
    <v>23</v>
  </rv>
  <rv s="1">
    <fb>27</fb>
    <v>24</v>
  </rv>
  <rv s="0">
    <v>536870912</v>
    <v>Pretoria</v>
    <v>3fa43cca-3409-4d81-f4f9-2df74e37e177</v>
    <v>en-US</v>
    <v>Map</v>
  </rv>
  <rv s="1">
    <fb>476643.99400000001</fb>
    <v>22</v>
  </rv>
  <rv s="1">
    <fb>158.92793752218699</fb>
    <v>25</v>
  </rv>
  <rv s="1">
    <fb>4.1243507248623905E-2</fb>
    <v>21</v>
  </rv>
  <rv s="1">
    <fb>4197.9070469175304</fb>
    <v>22</v>
  </rv>
  <rv s="1">
    <fb>2.4049999999999998</fb>
    <v>23</v>
  </rv>
  <rv s="1">
    <fb>7.6177365240831296E-2</fb>
    <v>21</v>
  </rv>
  <rv s="1">
    <fb>86.791431691401598</fb>
    <v>26</v>
  </rv>
  <rv s="1">
    <fb>351431649241.43903</fb>
    <v>27</v>
  </rv>
  <rv s="1">
    <fb>1.0086473</fb>
    <v>21</v>
  </rv>
  <rv s="1">
    <fb>0.22366029999999998</fb>
    <v>21</v>
  </rv>
  <rv s="2">
    <v>40</v>
    <v>19</v>
    <v>284</v>
    <v>7</v>
    <v>0</v>
    <v>Image of South Africa</v>
  </rv>
  <rv s="1">
    <fb>28.5</fb>
    <v>26</v>
  </rv>
  <rv s="0">
    <v>536870912</v>
    <v>Johannesburg</v>
    <v>fdf01f15-cb04-8b6c-43e6-a8b2138c0312</v>
    <v>en-US</v>
    <v>Map</v>
  </rv>
  <rv s="0">
    <v>805306368</v>
    <v>Cyril Ramaphosa (President)</v>
    <v>c3bf14fa-ef5e-696f-af28-746c7d0b22a9</v>
    <v>en-US</v>
    <v>Generic</v>
  </rv>
  <rv s="0">
    <v>805306368</v>
    <v>Mandisa Maya (Chief justice)</v>
    <v>d7f4df4e-1431-de9c-d625-ad5005dd70e1</v>
    <v>en-US</v>
    <v>Generic</v>
  </rv>
  <rv s="3">
    <v>148</v>
  </rv>
  <rv s="4">
    <v>https://www.bing.com/search?q=south+africa&amp;form=skydnc</v>
    <v>Learn more on Bing</v>
  </rv>
  <rv s="1">
    <fb>63.856999999999999</fb>
    <v>26</v>
  </rv>
  <rv s="1">
    <fb>1056341440000</fb>
    <v>27</v>
  </rv>
  <rv s="1">
    <fb>119</fb>
    <v>26</v>
  </rv>
  <rv s="3">
    <v>149</v>
  </rv>
  <rv s="1">
    <fb>7.6985469299999998E-2</fb>
    <v>21</v>
  </rv>
  <rv s="1">
    <fb>0.90539999999999998</fb>
    <v>23</v>
  </rv>
  <rv s="1">
    <fb>61089926</fb>
    <v>22</v>
  </rv>
  <rv s="1">
    <fb>0.16500000000000001</fb>
    <v>21</v>
  </rv>
  <rv s="1">
    <fb>0.505</fb>
    <v>21</v>
  </rv>
  <rv s="1">
    <fb>0.68200000000000005</fb>
    <v>21</v>
  </rv>
  <rv s="1">
    <fb>9.0000000000000011E-3</fb>
    <v>21</v>
  </rv>
  <rv s="1">
    <fb>4.8000000000000001E-2</fb>
    <v>21</v>
  </rv>
  <rv s="1">
    <fb>0.56016998291015596</fb>
    <v>21</v>
  </rv>
  <rv s="0">
    <v>536870912</v>
    <v>Eastern Cape</v>
    <v>52d32047-22e4-2498-c546-1854275462d0</v>
    <v>en-US</v>
    <v>Map</v>
  </rv>
  <rv s="0">
    <v>536870912</v>
    <v>Free State</v>
    <v>a80d303a-f84e-1047-ecc5-821b167d82e2</v>
    <v>en-US</v>
    <v>Map</v>
  </rv>
  <rv s="0">
    <v>536870912</v>
    <v>Gauteng</v>
    <v>adc304a6-9c62-702f-7ed7-29afec5c41a8</v>
    <v>en-US</v>
    <v>Map</v>
  </rv>
  <rv s="0">
    <v>536870912</v>
    <v>KwaZulu-Natal</v>
    <v>b18f871a-4296-ec9f-bd43-fc7b0e94f309</v>
    <v>en-US</v>
    <v>Map</v>
  </rv>
  <rv s="0">
    <v>536870912</v>
    <v>Limpopo</v>
    <v>1145af3c-da05-7eb5-c05e-8dbdf794ccd4</v>
    <v>en-US</v>
    <v>Map</v>
  </rv>
  <rv s="0">
    <v>536870912</v>
    <v>Mpumalanga</v>
    <v>fe8e43ff-3125-ea79-5306-db1bee5c12d8</v>
    <v>en-US</v>
    <v>Map</v>
  </rv>
  <rv s="0">
    <v>536870912</v>
    <v>North West</v>
    <v>a9ca554b-55e2-f0d1-dbe6-796b1fc29dff</v>
    <v>en-US</v>
    <v>Map</v>
  </rv>
  <rv s="0">
    <v>536870912</v>
    <v>Northern Cape</v>
    <v>c7811f0b-afea-afb9-4c2d-695826b9ca98</v>
    <v>en-US</v>
    <v>Map</v>
  </rv>
  <rv s="0">
    <v>536870912</v>
    <v>Western Cape</v>
    <v>c7b124b8-e75d-0b9b-5245-dda6bbb13800</v>
    <v>en-US</v>
    <v>Map</v>
  </rv>
  <rv s="3">
    <v>150</v>
  </rv>
  <rv s="1">
    <fb>0.27465217966612804</fb>
    <v>21</v>
  </rv>
  <rv s="3">
    <v>151</v>
  </rv>
  <rv s="1">
    <fb>0.29199999999999998</fb>
    <v>21</v>
  </rv>
  <rv s="1">
    <fb>0.28180999755859398</fb>
    <v>29</v>
  </rv>
  <rv s="1">
    <fb>39149717</fb>
    <v>22</v>
  </rv>
  <rv s="19">
    <v>#VALUE!</v>
    <v>en-US</v>
    <v>38a9fd4a-4f7c-6d91-d6dd-4eed3131672d</v>
    <v>536870912</v>
    <v>1</v>
    <v>287</v>
    <v>169</v>
    <v>South Africa</v>
    <v>17</v>
    <v>18</v>
    <v>Map</v>
    <v>19</v>
    <v>288</v>
    <v>ZA</v>
    <v>2182</v>
    <v>2183</v>
    <v>2184</v>
    <v>2185</v>
    <v>2186</v>
    <v>2187</v>
    <v>2188</v>
    <v>2189</v>
    <v>2190</v>
    <v>ZAR</v>
    <v>South Africa, officially the Republic of South Africa, is the southernmost country in Africa. Its nine provinces are bounded to the south by 2,798 kilometres of coastline that stretches along the South Atlantic and Indian Ocean; to the north by ...</v>
    <v>2191</v>
    <v>2192</v>
    <v>2193</v>
    <v>2194</v>
    <v>1392</v>
    <v>2195</v>
    <v>2196</v>
    <v>2197</v>
    <v>2198</v>
    <v>2199</v>
    <v>2200</v>
    <v>2203</v>
    <v>2204</v>
    <v>2205</v>
    <v>2206</v>
    <v>2207</v>
    <v>South Africa</v>
    <v>National anthem of South Africa</v>
    <v>2208</v>
    <v>Republic of South Africa</v>
    <v>2209</v>
    <v>2210</v>
    <v>2211</v>
    <v>2212</v>
    <v>2213</v>
    <v>2214</v>
    <v>2215</v>
    <v>1794</v>
    <v>2216</v>
    <v>301</v>
    <v>2217</v>
    <v>2227</v>
    <v>2228</v>
    <v>2229</v>
    <v>2230</v>
    <v>2231</v>
    <v>South Africa</v>
    <v>2232</v>
    <v>mdp/vdpid/209</v>
  </rv>
  <rv s="0">
    <v>536870912</v>
    <v>Zambia</v>
    <v>b8b30682-32da-bc4a-79df-7634e7a4a031</v>
    <v>en-US</v>
    <v>Map</v>
  </rv>
  <rv s="1">
    <fb>0.32063923378038406</fb>
    <v>21</v>
  </rv>
  <rv s="1">
    <fb>752618</fb>
    <v>22</v>
  </rv>
  <rv s="1">
    <fb>36.192</fb>
    <v>23</v>
  </rv>
  <rv s="1">
    <fb>260</fb>
    <v>24</v>
  </rv>
  <rv s="0">
    <v>536870912</v>
    <v>Lusaka</v>
    <v>7de4c181-8645-0103-ad1c-c0461c192a4d</v>
    <v>en-US</v>
    <v>Map</v>
  </rv>
  <rv s="1">
    <fb>5141.134</fb>
    <v>22</v>
  </rv>
  <rv s="1">
    <fb>212.308758955396</fb>
    <v>25</v>
  </rv>
  <rv s="1">
    <fb>9.150316443162991E-2</fb>
    <v>21</v>
  </rv>
  <rv s="1">
    <fb>717.349167873017</fb>
    <v>22</v>
  </rv>
  <rv s="1">
    <fb>4.633</fb>
    <v>23</v>
  </rv>
  <rv s="1">
    <fb>0.65199153119493103</fb>
    <v>21</v>
  </rv>
  <rv s="1">
    <fb>10.563324103313899</fb>
    <v>26</v>
  </rv>
  <rv s="1">
    <fb>1.4</fb>
    <v>28</v>
  </rv>
  <rv s="1">
    <fb>23064722446.351299</fb>
    <v>27</v>
  </rv>
  <rv s="1">
    <fb>0.98715520000000001</fb>
    <v>21</v>
  </rv>
  <rv s="1">
    <fb>4.1160300000000004E-2</fb>
    <v>21</v>
  </rv>
  <rv s="2">
    <v>41</v>
    <v>19</v>
    <v>290</v>
    <v>7</v>
    <v>0</v>
    <v>Image of Zambia</v>
  </rv>
  <rv s="1">
    <fb>40.4</fb>
    <v>26</v>
  </rv>
  <rv s="0">
    <v>805306368</v>
    <v>Hakainde Hichilema (President)</v>
    <v>ea9a4668-10b5-9389-3f1d-c7669c7eea8c</v>
    <v>en-US</v>
    <v>Generic</v>
  </rv>
  <rv s="0">
    <v>805306368</v>
    <v>Mutale Nalumango (Vice president)</v>
    <v>11442c5a-5529-5046-ffd6-2b9d141b02b2</v>
    <v>en-US</v>
    <v>Generic</v>
  </rv>
  <rv s="0">
    <v>805306368</v>
    <v>Nelly Mutti (Speaker)</v>
    <v>5ebd3b70-4964-1714-d23f-b53dd75d9098</v>
    <v>en-US</v>
    <v>Generic</v>
  </rv>
  <rv s="0">
    <v>805306368</v>
    <v>Mumba Malila (Chief justice)</v>
    <v>84ab6a04-5c1a-3679-6911-9cdf423b493d</v>
    <v>en-US</v>
    <v>Generic</v>
  </rv>
  <rv s="3">
    <v>152</v>
  </rv>
  <rv s="4">
    <v>https://www.bing.com/search?q=zambia&amp;form=skydnc</v>
    <v>Learn more on Bing</v>
  </rv>
  <rv s="1">
    <fb>63.51</fb>
    <v>26</v>
  </rv>
  <rv s="1">
    <fb>3184470000</fb>
    <v>27</v>
  </rv>
  <rv s="1">
    <fb>213</fb>
    <v>26</v>
  </rv>
  <rv s="1">
    <fb>0.24</fb>
    <v>28</v>
  </rv>
  <rv s="1">
    <fb>0.27528931629999998</fb>
    <v>21</v>
  </rv>
  <rv s="1">
    <fb>1.1867000000000001</fb>
    <v>23</v>
  </rv>
  <rv s="1">
    <fb>22021971</fb>
    <v>22</v>
  </rv>
  <rv s="1">
    <fb>0.193</fb>
    <v>21</v>
  </rv>
  <rv s="1">
    <fb>0.61299999999999999</fb>
    <v>21</v>
  </rv>
  <rv s="1">
    <fb>0.106</fb>
    <v>21</v>
  </rv>
  <rv s="1">
    <fb>0.74614997863769505</fb>
    <v>21</v>
  </rv>
  <rv s="0">
    <v>536870912</v>
    <v>Central Province, Zambia</v>
    <v>da53850c-e534-4e9b-e487-e1fc9ffa39cf</v>
    <v>en-US</v>
    <v>Map</v>
  </rv>
  <rv s="0">
    <v>536870912</v>
    <v>Copperbelt Province</v>
    <v>a3727fec-c04e-cd55-ad3f-0406a87a1def</v>
    <v>en-US</v>
    <v>Map</v>
  </rv>
  <rv s="0">
    <v>536870912</v>
    <v>Eastern Province, Zambia</v>
    <v>f5236972-3279-8032-2615-0730ff6c315b</v>
    <v>en-US</v>
    <v>Map</v>
  </rv>
  <rv s="0">
    <v>536870912</v>
    <v>Luapula Province</v>
    <v>7ddedf6e-7ab2-3b8f-f8f2-ce78a7b3ee35</v>
    <v>en-US</v>
    <v>Map</v>
  </rv>
  <rv s="0">
    <v>536870912</v>
    <v>Lusaka Province</v>
    <v>f5a2130c-e3e9-8ce4-6c96-d6378a92eff0</v>
    <v>en-US</v>
    <v>Map</v>
  </rv>
  <rv s="0">
    <v>536870912</v>
    <v>Northern Province, Zambia</v>
    <v>f86c9678-ce07-60ea-efcd-9bf324135874</v>
    <v>en-US</v>
    <v>Map</v>
  </rv>
  <rv s="0">
    <v>536870912</v>
    <v>North-Western Province, Zambia</v>
    <v>5461b6f9-4965-a338-a8f9-06cfbab6c899</v>
    <v>en-US</v>
    <v>Map</v>
  </rv>
  <rv s="0">
    <v>536870912</v>
    <v>Southern Province, Zambia</v>
    <v>1455596d-0374-ae22-e948-fd5db0b0c3f6</v>
    <v>en-US</v>
    <v>Map</v>
  </rv>
  <rv s="0">
    <v>536870912</v>
    <v>Western Province, Zambia</v>
    <v>3dc41777-31fd-7d58-db85-8e2010136880</v>
    <v>en-US</v>
    <v>Map</v>
  </rv>
  <rv s="0">
    <v>536870912</v>
    <v>Muchinga Province</v>
    <v>64cf481c-435e-04e7-d1ba-a054a7dd88a4</v>
    <v>en-US</v>
    <v>Map</v>
  </rv>
  <rv s="3">
    <v>153</v>
  </rv>
  <rv s="1">
    <fb>0.161613240647138</fb>
    <v>21</v>
  </rv>
  <rv s="3">
    <v>154</v>
  </rv>
  <rv s="1">
    <fb>0.156</fb>
    <v>21</v>
  </rv>
  <rv s="1">
    <fb>0.11425000190734901</fb>
    <v>29</v>
  </rv>
  <rv s="1">
    <fb>7871713</fb>
    <v>22</v>
  </rv>
  <rv s="13">
    <v>#VALUE!</v>
    <v>en-US</v>
    <v>b8b30682-32da-bc4a-79df-7634e7a4a031</v>
    <v>536870912</v>
    <v>1</v>
    <v>293</v>
    <v>91</v>
    <v>Zambia</v>
    <v>17</v>
    <v>18</v>
    <v>Map</v>
    <v>19</v>
    <v>294</v>
    <v>ZM</v>
    <v>2235</v>
    <v>2236</v>
    <v>1381</v>
    <v>2237</v>
    <v>2238</v>
    <v>2239</v>
    <v>2240</v>
    <v>2241</v>
    <v>2242</v>
    <v>ZMW</v>
    <v>Zambia, officially the Republic of Zambia, is a landlocked country in Southern Africa. It is bordered to the north by the Democratic Republic of the Congo, Tanzania to the northeast, Malawi to the east, Mozambique to the southeast, Zimbabwe and ...</v>
    <v>2243</v>
    <v>2244</v>
    <v>2245</v>
    <v>2246</v>
    <v>2247</v>
    <v>2248</v>
    <v>2249</v>
    <v>2250</v>
    <v>2251</v>
    <v>2252</v>
    <v>2239</v>
    <v>2257</v>
    <v>2258</v>
    <v>2259</v>
    <v>2260</v>
    <v>2261</v>
    <v>2262</v>
    <v>Zambia</v>
    <v>Stand and Sing of Zambia, Proud and Free</v>
    <v>440</v>
    <v>Zambia</v>
    <v>2263</v>
    <v>2264</v>
    <v>2265</v>
    <v>2266</v>
    <v>2106</v>
    <v>2267</v>
    <v>1648</v>
    <v>813</v>
    <v>1116</v>
    <v>2268</v>
    <v>2269</v>
    <v>2280</v>
    <v>2281</v>
    <v>2282</v>
    <v>2283</v>
    <v>2284</v>
    <v>Zambia</v>
    <v>2285</v>
    <v>mdp/vdpid/263</v>
  </rv>
  <rv s="0">
    <v>536870912</v>
    <v>Ivory Coast</v>
    <v>9beaacca-5861-af12-0c41-daf208b175a9</v>
    <v>en-US</v>
    <v>Map</v>
  </rv>
  <rv s="1">
    <fb>0.64779874213836497</fb>
    <v>21</v>
  </rv>
  <rv s="1">
    <fb>322463</fb>
    <v>22</v>
  </rv>
  <rv s="1">
    <fb>27000</fb>
    <v>22</v>
  </rv>
  <rv s="1">
    <fb>35.74</fb>
    <v>23</v>
  </rv>
  <rv s="1">
    <fb>225</fb>
    <v>24</v>
  </rv>
  <rv s="0">
    <v>536870912</v>
    <v>Yamoussoukro</v>
    <v>02c823fb-5756-be31-294a-008c4953446f</v>
    <v>en-US</v>
    <v>Map</v>
  </rv>
  <rv s="1">
    <fb>9673.5460000000003</fb>
    <v>22</v>
  </rv>
  <rv s="1">
    <fb>111.606977877028</fb>
    <v>25</v>
  </rv>
  <rv s="1">
    <fb>-8.8393011042388302E-3</fb>
    <v>21</v>
  </rv>
  <rv s="1">
    <fb>274.73009049093503</fb>
    <v>22</v>
  </rv>
  <rv s="1">
    <fb>4.649</fb>
    <v>23</v>
  </rv>
  <rv s="1">
    <fb>0.32706288079795598</fb>
    <v>21</v>
  </rv>
  <rv s="1">
    <fb>26.492330023755201</fb>
    <v>26</v>
  </rv>
  <rv s="1">
    <fb>0.93</fb>
    <v>28</v>
  </rv>
  <rv s="1">
    <fb>58792205642.153801</fb>
    <v>27</v>
  </rv>
  <rv s="1">
    <fb>0.99799749999999998</fb>
    <v>21</v>
  </rv>
  <rv s="1">
    <fb>9.3413699999999988E-2</fb>
    <v>21</v>
  </rv>
  <rv s="2">
    <v>42</v>
    <v>19</v>
    <v>296</v>
    <v>7</v>
    <v>0</v>
    <v>Image of Ivory Coast</v>
  </rv>
  <rv s="1">
    <fb>59.4</fb>
    <v>26</v>
  </rv>
  <rv s="0">
    <v>536870912</v>
    <v>Abidjan</v>
    <v>fa433474-0308-38c4-de72-2309d36ebf52</v>
    <v>en-US</v>
    <v>Map</v>
  </rv>
  <rv s="0">
    <v>805306368</v>
    <v>Alassane Ouattara (President)</v>
    <v>47641b2c-d4e8-8f4f-7217-795d56fa472c</v>
    <v>en-US</v>
    <v>Generic</v>
  </rv>
  <rv s="0">
    <v>805306368</v>
    <v>Tiémoko Meyliet Koné (Vice president)</v>
    <v>d8a7e235-663c-4062-8441-f4c3feed4c5b</v>
    <v>en-US</v>
    <v>Generic</v>
  </rv>
  <rv s="0">
    <v>805306368</v>
    <v>Robert Beugré Mambé (Prime minister)</v>
    <v>7d8593e7-020a-871c-03ee-d236bf8b3a8a</v>
    <v>en-US</v>
    <v>Generic</v>
  </rv>
  <rv s="3">
    <v>155</v>
  </rv>
  <rv s="4">
    <v>https://www.bing.com/search?q=ivory+coast&amp;form=skydnc</v>
    <v>Learn more on Bing</v>
  </rv>
  <rv s="1">
    <fb>57.421999999999997</fb>
    <v>26</v>
  </rv>
  <rv s="1">
    <fb>617</fb>
    <v>26</v>
  </rv>
  <rv s="1">
    <fb>0.36</fb>
    <v>28</v>
  </rv>
  <rv s="3">
    <v>156</v>
  </rv>
  <rv s="1">
    <fb>0.36018680349999999</fb>
    <v>21</v>
  </rv>
  <rv s="1">
    <fb>0.23139999999999999</fb>
    <v>23</v>
  </rv>
  <rv s="1">
    <fb>31855971</fb>
    <v>22</v>
  </rv>
  <rv s="1">
    <fb>0.31900000000000001</fb>
    <v>21</v>
  </rv>
  <rv s="1">
    <fb>0.47799999999999998</fb>
    <v>21</v>
  </rv>
  <rv s="1">
    <fb>0.10199999999999999</fb>
    <v>21</v>
  </rv>
  <rv s="1">
    <fb>0.56952999114990199</fb>
    <v>21</v>
  </rv>
  <rv s="1">
    <fb>0.11827213979258699</fb>
    <v>21</v>
  </rv>
  <rv s="3">
    <v>157</v>
  </rv>
  <rv s="1">
    <fb>0.501</fb>
    <v>21</v>
  </rv>
  <rv s="1">
    <fb>3.3169999122619601E-2</fb>
    <v>29</v>
  </rv>
  <rv s="1">
    <fb>13176900</fb>
    <v>22</v>
  </rv>
  <rv s="24">
    <v>#VALUE!</v>
    <v>en-US</v>
    <v>9beaacca-5861-af12-0c41-daf208b175a9</v>
    <v>536870912</v>
    <v>1</v>
    <v>299</v>
    <v>300</v>
    <v>Ivory Coast</v>
    <v>17</v>
    <v>18</v>
    <v>Map</v>
    <v>19</v>
    <v>301</v>
    <v>CI</v>
    <v>2288</v>
    <v>2289</v>
    <v>2290</v>
    <v>2291</v>
    <v>2292</v>
    <v>2293</v>
    <v>2294</v>
    <v>2295</v>
    <v>2296</v>
    <v>XOF</v>
    <v>Ivory Coast, also known as Côte d'Ivoire and officially as the Republic of Côte d'Ivoire, is a country on the southern coast of West Africa. Its capital city of Yamoussoukro is located in the centre of the country, while its largest city and ...</v>
    <v>2297</v>
    <v>2298</v>
    <v>2299</v>
    <v>2300</v>
    <v>2301</v>
    <v>2302</v>
    <v>2303</v>
    <v>2304</v>
    <v>2305</v>
    <v>2306</v>
    <v>2307</v>
    <v>2311</v>
    <v>2312</v>
    <v>2313</v>
    <v>2314</v>
    <v>2315</v>
    <v>Ivory Coast</v>
    <v>L'Abidjanaise</v>
    <v>2316</v>
    <v>Repubblica della Costa d'Avorio</v>
    <v>2317</v>
    <v>2318</v>
    <v>2319</v>
    <v>149</v>
    <v>2320</v>
    <v>2321</v>
    <v>970</v>
    <v>1362</v>
    <v>2322</v>
    <v>1796</v>
    <v>2323</v>
    <v>2324</v>
    <v>2325</v>
    <v>2326</v>
    <v>2327</v>
    <v>Ivory Coast</v>
    <v>2328</v>
    <v>mdp/vdpid/119</v>
  </rv>
  <rv s="0">
    <v>536870912</v>
    <v>Togo</v>
    <v>4b57b145-0846-48a3-d055-cd393d2b9d1d</v>
    <v>en-US</v>
    <v>Map</v>
  </rv>
  <rv s="1">
    <fb>0.70233498804927397</fb>
    <v>21</v>
  </rv>
  <rv s="1">
    <fb>56785</fb>
    <v>22</v>
  </rv>
  <rv s="1">
    <fb>33.113</fb>
    <v>23</v>
  </rv>
  <rv s="1">
    <fb>228</fb>
    <v>24</v>
  </rv>
  <rv s="0">
    <v>536870912</v>
    <v>Lomé</v>
    <v>26666ccd-d6ab-05f9-2335-0f2d1cc7e573</v>
    <v>en-US</v>
    <v>Map</v>
  </rv>
  <rv s="1">
    <fb>2999.6060000000002</fb>
    <v>22</v>
  </rv>
  <rv s="1">
    <fb>113.296929295441</fb>
    <v>25</v>
  </rv>
  <rv s="1">
    <fb>6.7465277007744094E-3</fb>
    <v>21</v>
  </rv>
  <rv s="1">
    <fb>154.665237320778</fb>
    <v>22</v>
  </rv>
  <rv s="1">
    <fb>4.32</fb>
    <v>23</v>
  </rv>
  <rv s="1">
    <fb>3.0924801792285697E-2</fb>
    <v>21</v>
  </rv>
  <rv s="1">
    <fb>17.8006330312163</fb>
    <v>26</v>
  </rv>
  <rv s="1">
    <fb>5459979416.6690798</fb>
    <v>27</v>
  </rv>
  <rv s="1">
    <fb>1.2376463</fb>
    <v>21</v>
  </rv>
  <rv s="1">
    <fb>0.14523929999999999</fb>
    <v>21</v>
  </rv>
  <rv s="2">
    <v>43</v>
    <v>19</v>
    <v>303</v>
    <v>7</v>
    <v>0</v>
    <v>Image of Togo</v>
  </rv>
  <rv s="1">
    <fb>47.4</fb>
    <v>26</v>
  </rv>
  <rv s="0">
    <v>805306368</v>
    <v>Jean-Lucien Savi de Tové (President)</v>
    <v>c78ef059-83e3-87e1-1925-be1d9a97d56d</v>
    <v>en-US</v>
    <v>Generic</v>
  </rv>
  <rv s="0">
    <v>805306368</v>
    <v>Faure Gnassingbé (Prime minister)</v>
    <v>2c5b7703-8c00-8fe7-a48c-8768061e69e1</v>
    <v>en-US</v>
    <v>Generic</v>
  </rv>
  <rv s="3">
    <v>158</v>
  </rv>
  <rv s="4">
    <v>https://www.bing.com/search?q=togo+africa&amp;form=skydnc</v>
    <v>Learn more on Bing</v>
  </rv>
  <rv s="1">
    <fb>60.76</fb>
    <v>26</v>
  </rv>
  <rv s="1">
    <fb>396</fb>
    <v>26</v>
  </rv>
  <rv s="1">
    <fb>0.50964181450000001</fb>
    <v>21</v>
  </rv>
  <rv s="1">
    <fb>7.7399999999999997E-2</fb>
    <v>23</v>
  </rv>
  <rv s="1">
    <fb>9143439</fb>
    <v>22</v>
  </rv>
  <rv s="1">
    <fb>0.05</fb>
    <v>21</v>
  </rv>
  <rv s="1">
    <fb>9.5000000000000001E-2</fb>
    <v>21</v>
  </rv>
  <rv s="1">
    <fb>0.77592002868652299</fb>
    <v>21</v>
  </rv>
  <rv s="0">
    <v>536870912</v>
    <v>Savanes Region, Togo</v>
    <v>2102e12c-a7f7-9075-078b-0b943244fbfd</v>
    <v>en-US</v>
    <v>Map</v>
  </rv>
  <rv s="0">
    <v>536870912</v>
    <v>Kara Region</v>
    <v>36915d15-20f0-ca0e-ae6e-f7c26ba8c9ee</v>
    <v>en-US</v>
    <v>Map</v>
  </rv>
  <rv s="0">
    <v>536870912</v>
    <v>Centrale Region, Togo</v>
    <v>2401957f-a5ee-c190-a97e-18e2d9993603</v>
    <v>en-US</v>
    <v>Map</v>
  </rv>
  <rv s="0">
    <v>536870912</v>
    <v>Maritime Region, Togo</v>
    <v>6ffb70ad-e9c4-43ee-52d4-6bea8d5acae2</v>
    <v>en-US</v>
    <v>Map</v>
  </rv>
  <rv s="0">
    <v>536870912</v>
    <v>Plateaux Region, Togo</v>
    <v>543752fa-bb49-3038-8b31-1f58f988707f</v>
    <v>en-US</v>
    <v>Map</v>
  </rv>
  <rv s="3">
    <v>159</v>
  </rv>
  <rv s="1">
    <fb>0.16875840866195699</fb>
    <v>21</v>
  </rv>
  <rv s="3">
    <v>160</v>
  </rv>
  <rv s="1">
    <fb>0.48200000000000004</fb>
    <v>21</v>
  </rv>
  <rv s="1">
    <fb>2.0380001068115199E-2</fb>
    <v>29</v>
  </rv>
  <rv s="1">
    <fb>3414638</fb>
    <v>22</v>
  </rv>
  <rv s="7">
    <v>#VALUE!</v>
    <v>en-US</v>
    <v>4b57b145-0846-48a3-d055-cd393d2b9d1d</v>
    <v>536870912</v>
    <v>1</v>
    <v>306</v>
    <v>43</v>
    <v>Togo</v>
    <v>17</v>
    <v>18</v>
    <v>Map</v>
    <v>19</v>
    <v>307</v>
    <v>TG</v>
    <v>2331</v>
    <v>2332</v>
    <v>68</v>
    <v>2333</v>
    <v>2334</v>
    <v>2335</v>
    <v>2336</v>
    <v>2337</v>
    <v>2338</v>
    <v>XOF</v>
    <v>Togo, officially the Togolese Republic, is a country in West Africa. It is bordered by Ghana to the west, Benin to the east and Burkina Faso to the north. It is one of the least developed countries in the world. It extends north from the Gulf of ...</v>
    <v>2339</v>
    <v>2340</v>
    <v>2341</v>
    <v>2342</v>
    <v>22</v>
    <v>2343</v>
    <v>2344</v>
    <v>2345</v>
    <v>2346</v>
    <v>2347</v>
    <v>2335</v>
    <v>2350</v>
    <v>2351</v>
    <v>2352</v>
    <v>2353</v>
    <v>1587</v>
    <v>Togo</v>
    <v>Salut à toi, pays de nos aïeux</v>
    <v>293</v>
    <v>Togo</v>
    <v>2354</v>
    <v>2355</v>
    <v>2356</v>
    <v>1031</v>
    <v>1130</v>
    <v>1411</v>
    <v>1837</v>
    <v>2357</v>
    <v>2358</v>
    <v>508</v>
    <v>2359</v>
    <v>2365</v>
    <v>2366</v>
    <v>2367</v>
    <v>2368</v>
    <v>2369</v>
    <v>Togo</v>
    <v>2370</v>
    <v>mdp/vdpid/232</v>
  </rv>
  <rv s="0">
    <v>536870912</v>
    <v>Mauritius</v>
    <v>f9cbeda3-6339-827e-bcf1-2e940cb5e45e</v>
    <v>en-US</v>
    <v>Map</v>
  </rv>
  <rv s="1">
    <fb>0.42364532019704398</fb>
    <v>21</v>
  </rv>
  <rv s="1">
    <fb>2040</fb>
    <v>22</v>
  </rv>
  <rv s="1">
    <fb>3000</fb>
    <v>22</v>
  </rv>
  <rv s="1">
    <fb>10.199999999999999</fb>
    <v>23</v>
  </rv>
  <rv s="1">
    <fb>230</fb>
    <v>24</v>
  </rv>
  <rv s="0">
    <v>536870912</v>
    <v>Port Louis</v>
    <v>1f88d0f8-1a57-9810-3550-deb8c9a847d8</v>
    <v>en-US</v>
    <v>Map</v>
  </rv>
  <rv s="1">
    <fb>4349.0619999999999</fb>
    <v>22</v>
  </rv>
  <rv s="1">
    <fb>129.91403493449801</fb>
    <v>25</v>
  </rv>
  <rv s="1">
    <fb>4.0565519030951102E-3</fb>
    <v>21</v>
  </rv>
  <rv s="1">
    <fb>2182.5091559114098</fb>
    <v>22</v>
  </rv>
  <rv s="1">
    <fb>1.41</fb>
    <v>23</v>
  </rv>
  <rv s="1">
    <fb>0.19034482457954902</fb>
    <v>21</v>
  </rv>
  <rv s="1">
    <fb>84.542360303404394</fb>
    <v>26</v>
  </rv>
  <rv s="1">
    <fb>14180444557.2047</fb>
    <v>27</v>
  </rv>
  <rv s="1">
    <fb>1.0110760000000001</fb>
    <v>21</v>
  </rv>
  <rv s="1">
    <fb>0.4059604</fb>
    <v>21</v>
  </rv>
  <rv s="2">
    <v>44</v>
    <v>19</v>
    <v>309</v>
    <v>7</v>
    <v>0</v>
    <v>Image of Mauritius</v>
  </rv>
  <rv s="1">
    <fb>13.6</fb>
    <v>26</v>
  </rv>
  <rv s="0">
    <v>805306368</v>
    <v>Dharam Gokhool (President)</v>
    <v>dac0a2c7-4dc8-8087-d6cc-71bb6c61e6d7</v>
    <v>en-US</v>
    <v>Generic</v>
  </rv>
  <rv s="0">
    <v>805306368</v>
    <v>Robert Hungley (Vice president)</v>
    <v>f975fb45-92aa-075d-b336-5fa00b29c42f</v>
    <v>en-US</v>
    <v>Generic</v>
  </rv>
  <rv s="0">
    <v>805306368</v>
    <v>Navin Ramgoolam (Prime minister)</v>
    <v>9f337d72-40d4-bb5b-fc64-d40c5e250807</v>
    <v>en-US</v>
    <v>Generic</v>
  </rv>
  <rv s="0">
    <v>805306368</v>
    <v>Arianne Navarre-Marie (Deputy prime minister)</v>
    <v>11c48d4f-ac0a-1d01-8b24-006f174f3929</v>
    <v>en-US</v>
    <v>Generic</v>
  </rv>
  <rv s="3">
    <v>161</v>
  </rv>
  <rv s="4">
    <v>https://www.bing.com/search?q=mauritius&amp;form=skydnc</v>
    <v>Learn more on Bing</v>
  </rv>
  <rv s="1">
    <fb>74.416341463414597</fb>
    <v>26</v>
  </rv>
  <rv s="1">
    <fb>8615770000</fb>
    <v>27</v>
  </rv>
  <rv s="1">
    <fb>61</fb>
    <v>26</v>
  </rv>
  <rv s="1">
    <fb>0.38</fb>
    <v>28</v>
  </rv>
  <rv s="3">
    <v>162</v>
  </rv>
  <rv s="1">
    <fb>0.50667020360000004</fb>
    <v>21</v>
  </rv>
  <rv s="1">
    <fb>2.5331000000000001</fb>
    <v>23</v>
  </rv>
  <rv s="1">
    <fb>1311375</fb>
    <v>22</v>
  </rv>
  <rv s="1">
    <fb>0.21100000000000002</fb>
    <v>21</v>
  </rv>
  <rv s="1">
    <fb>0.29899999999999999</fb>
    <v>21</v>
  </rv>
  <rv s="1">
    <fb>0.44600000000000001</fb>
    <v>21</v>
  </rv>
  <rv s="1">
    <fb>0.155</fb>
    <v>21</v>
  </rv>
  <rv s="1">
    <fb>0.58312999725341796</fb>
    <v>21</v>
  </rv>
  <rv s="0">
    <v>536870912</v>
    <v>Rivière Noire District</v>
    <v>43960efa-cdf4-05b0-7f6a-ade80eb7b2ed</v>
    <v>en-US</v>
    <v>Map</v>
  </rv>
  <rv s="0">
    <v>536870912</v>
    <v>Flacq District</v>
    <v>f6802203-fee5-ab9e-bd66-54e92ba75fd7</v>
    <v>en-US</v>
    <v>Map</v>
  </rv>
  <rv s="0">
    <v>536870912</v>
    <v>Grand Port District</v>
    <v>170c3315-ad31-7197-f357-0133f1949132</v>
    <v>en-US</v>
    <v>Map</v>
  </rv>
  <rv s="0">
    <v>536870912</v>
    <v>Moka District</v>
    <v>ba7a6636-e1ff-4a38-b1c8-3886078dde32</v>
    <v>en-US</v>
    <v>Map</v>
  </rv>
  <rv s="0">
    <v>536870912</v>
    <v>Pamplemousses District</v>
    <v>ae7a0938-d28e-1af4-c525-4d133acea6a2</v>
    <v>en-US</v>
    <v>Map</v>
  </rv>
  <rv s="0">
    <v>536870912</v>
    <v>Plaines Wilhems District</v>
    <v>d6f61cd5-affc-f553-1d54-4e65b787b250</v>
    <v>en-US</v>
    <v>Map</v>
  </rv>
  <rv s="0">
    <v>536870912</v>
    <v>Port Louis District</v>
    <v>1c9ae027-beba-5460-ae7f-66d0a4367fea</v>
    <v>en-US</v>
    <v>Map</v>
  </rv>
  <rv s="0">
    <v>536870912</v>
    <v>Rivière du Rempart District</v>
    <v>21c3a727-199e-4dff-c26c-eefb2d9d1da1</v>
    <v>en-US</v>
    <v>Map</v>
  </rv>
  <rv s="0">
    <v>536870912</v>
    <v>Savanne District</v>
    <v>ceddfba8-fea9-e6df-c942-749c56c7d753</v>
    <v>en-US</v>
    <v>Map</v>
  </rv>
  <rv s="3">
    <v>163</v>
  </rv>
  <rv s="1">
    <fb>0.19073085653774999</fb>
    <v>21</v>
  </rv>
  <rv s="3">
    <v>164</v>
  </rv>
  <rv s="1">
    <fb>6.6739997863769496E-2</fb>
    <v>29</v>
  </rv>
  <rv s="1">
    <fb>515980</fb>
    <v>22</v>
  </rv>
  <rv s="13">
    <v>#VALUE!</v>
    <v>en-US</v>
    <v>f9cbeda3-6339-827e-bcf1-2e940cb5e45e</v>
    <v>536870912</v>
    <v>1</v>
    <v>312</v>
    <v>91</v>
    <v>Mauritius</v>
    <v>17</v>
    <v>18</v>
    <v>Map</v>
    <v>19</v>
    <v>313</v>
    <v>MU</v>
    <v>2373</v>
    <v>2374</v>
    <v>2375</v>
    <v>2376</v>
    <v>2377</v>
    <v>2378</v>
    <v>2379</v>
    <v>2380</v>
    <v>2381</v>
    <v>MUR</v>
    <v>Mauritius, officially the Republic of Mauritius, is an island country in the Indian Ocean, located about 1,100 nautical miles off the southeastern coast of East Africa, east of Madagascar. It includes the main island, as well as Rodrigues, ...</v>
    <v>2382</v>
    <v>2383</v>
    <v>2384</v>
    <v>2385</v>
    <v>374</v>
    <v>2386</v>
    <v>2387</v>
    <v>2388</v>
    <v>2389</v>
    <v>2390</v>
    <v>2378</v>
    <v>2395</v>
    <v>2396</v>
    <v>2397</v>
    <v>2398</v>
    <v>2399</v>
    <v>2400</v>
    <v>Mauritius</v>
    <v>Motherland</v>
    <v>2401</v>
    <v>Mauritius</v>
    <v>2402</v>
    <v>2403</v>
    <v>2404</v>
    <v>2405</v>
    <v>2406</v>
    <v>2407</v>
    <v>813</v>
    <v>916</v>
    <v>867</v>
    <v>2408</v>
    <v>2409</v>
    <v>2419</v>
    <v>2420</v>
    <v>2421</v>
    <v>27</v>
    <v>2422</v>
    <v>Mauritius</v>
    <v>2423</v>
    <v>mdp/vdpid/160</v>
  </rv>
</rvData>
</file>

<file path=xl/richData/rdrichvaluestructure.xml><?xml version="1.0" encoding="utf-8"?>
<rvStructures xmlns="http://schemas.microsoft.com/office/spreadsheetml/2017/richdata" count="25">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Name" t="s"/>
    <k n="National anthem" t="s"/>
    <k n="Official language" t="r"/>
    <k n="Official name" t="s"/>
    <k n="Out of pocket health expenditure (%)" t="r"/>
    <k n="Population" t="r"/>
    <k n="Subdivisions" t="r"/>
    <k n="Tax revenu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Armed forces size" t="r"/>
    <k n="Birth rate" t="r"/>
    <k n="Calling code" t="r"/>
    <k n="Capital/Major City" t="r"/>
    <k n="Carbon dioxide emissions" t="r"/>
    <k n="CPI" t="r"/>
    <k n="CPI Change (%)" t="r"/>
    <k n="Currency code" t="s"/>
    <k n="Description" t="s"/>
    <k n="Electric power consumption" t="r"/>
    <k n="Fertility rate" t="r"/>
    <k n="Fossil fuel energy consumption" t="r"/>
    <k n="Gasoline price" t="r"/>
    <k n="GDP" t="r"/>
    <k n="Gross prim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20">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33">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Tax revenue (%)</v>
      <v t="s">Out of pocket health expenditure (%)</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Out of pocket health expenditure (%)</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Minimum wage</v>
      <v t="s">Tax revenue (%)</v>
      <v t="s">Total tax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314">
    <spb s="0">
      <v xml:space="preserve">data.worldbank.org	</v>
      <v xml:space="preserve">	</v>
      <v xml:space="preserve">http://data.worldbank.org/indicator/FP.CPI.TOTL	</v>
      <v xml:space="preserve">	</v>
    </spb>
    <spb s="0">
      <v xml:space="preserve">Wikipedia	Cia	travel.state.gov	</v>
      <v xml:space="preserve">CC-BY-SA			</v>
      <v xml:space="preserve">http://en.wikipedia.org/wiki/Comoros	https://www.cia.gov/library/publications/the-world-factbook/geos/cn.html?Transportation	https://travel.state.gov/content/travel/en/international-travel/International-Travel-Country-Information-Pages/Comoros.html	</v>
      <v xml:space="preserve">http://creativecommons.org/licenses/by-sa/3.0/			</v>
    </spb>
    <spb s="0">
      <v xml:space="preserve">Wikipedia	</v>
      <v xml:space="preserve">CC BY-SA 3.0	</v>
      <v xml:space="preserve">https://en.wikipedia.org/wiki/Comoros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http://en.wikipedia.org/wiki/Comoros	</v>
      <v xml:space="preserve">http://creativecommons.org/licenses/by-sa/3.0/	</v>
    </spb>
    <spb s="0">
      <v xml:space="preserve">Cia	</v>
      <v xml:space="preserve">	</v>
      <v xml:space="preserve">https://www.cia.gov/library/publications/the-world-factbook/geos/cn.html?Transportation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http://data.worldbank.org/indicator/SL.TLF.CACT.ZS	</v>
      <v xml:space="preserve">	</v>
    </spb>
    <spb s="1">
      <v>0</v>
      <v>1</v>
      <v>2</v>
      <v>2</v>
      <v>3</v>
      <v>2</v>
      <v>2</v>
      <v>2</v>
      <v>4</v>
      <v>2</v>
      <v>2</v>
      <v>4</v>
      <v>2</v>
      <v>2</v>
      <v>5</v>
      <v>6</v>
      <v>5</v>
      <v>7</v>
      <v>2</v>
      <v>8</v>
      <v>9</v>
      <v>5</v>
      <v>5</v>
      <v>2</v>
      <v>5</v>
      <v>10</v>
      <v>11</v>
      <v>12</v>
      <v>5</v>
      <v>5</v>
      <v>5</v>
      <v>5</v>
      <v>5</v>
      <v>5</v>
      <v>5</v>
      <v>5</v>
      <v>5</v>
      <v>5</v>
      <v>5</v>
      <v>13</v>
    </spb>
    <spb s="2">
      <v>0</v>
      <v>Name</v>
      <v>LearnMoreOnLink</v>
    </spb>
    <spb s="3">
      <v>0</v>
      <v>0</v>
      <v>0</v>
    </spb>
    <spb s="4">
      <v>16</v>
      <v>16</v>
      <v>16</v>
    </spb>
    <spb s="5">
      <v>1</v>
      <v>2</v>
    </spb>
    <spb s="6">
      <v>https://www.bing.com</v>
      <v>https://www.bing.com/th?id=Ga%5Cbing_yt.png&amp;w=100&amp;h=40&amp;c=0&amp;pid=0.1</v>
      <v>Powered by Bing</v>
    </spb>
    <spb s="7">
      <v>2013</v>
      <v>2019</v>
      <v>square km</v>
      <v>per thousand (2018)</v>
      <v>2025</v>
      <v>2013</v>
      <v>2018</v>
      <v>2019</v>
      <v>years (2018)</v>
      <v>per thousand (2018)</v>
      <v>2019</v>
      <v>2016</v>
      <v>2019</v>
      <v>2016</v>
      <v>2016</v>
      <v>kilotons per year (2016)</v>
      <v>deaths per 100,000 (2017)</v>
      <v>2007</v>
      <v>2014</v>
      <v>2014</v>
      <v>2014</v>
      <v>2014</v>
      <v>2014</v>
      <v>2015</v>
      <v>2014</v>
      <v>2014</v>
      <v>2018</v>
      <v>2014</v>
      <v>2019</v>
    </spb>
    <spb s="8">
      <v>3</v>
    </spb>
    <spb s="8">
      <v>4</v>
    </spb>
    <spb s="8">
      <v>5</v>
    </spb>
    <spb s="8">
      <v>6</v>
    </spb>
    <spb s="8">
      <v>7</v>
    </spb>
    <spb s="8">
      <v>8</v>
    </spb>
    <spb s="8">
      <v>9</v>
    </spb>
    <spb s="8">
      <v>10</v>
    </spb>
    <spb s="8">
      <v>11</v>
    </spb>
    <spb s="0">
      <v xml:space="preserve">Wikipedia	Wikipedia	travel.state.gov	</v>
      <v xml:space="preserve">CC-BY-SA	CC-BY-SA		</v>
      <v xml:space="preserve">http://en.wikipedia.org/wiki/Eswatini	http://en.wikipedia.org/wiki/Swaziland	https://travel.state.gov/content/travel/en/international-travel/International-Travel-Country-Information-Pages/Eswatini.html	</v>
      <v xml:space="preserve">http://creativecommons.org/licenses/by-sa/3.0/	http://creativecommons.org/licenses/by-sa/3.0/		</v>
    </spb>
    <spb s="0">
      <v xml:space="preserve">Wikipedia	</v>
      <v xml:space="preserve">CC BY-SA 3.0	</v>
      <v xml:space="preserve">https://en.wikipedia.org/wiki/Eswatini	</v>
      <v xml:space="preserve">https://creativecommons.org/licenses/by-sa/3.0	</v>
    </spb>
    <spb s="0">
      <v xml:space="preserve">Cia	</v>
      <v xml:space="preserve">	</v>
      <v xml:space="preserve">https://www.cia.gov/library/publications/the-world-factbook/geos/wz.html?Transportation	</v>
      <v xml:space="preserve">	</v>
    </spb>
    <spb s="9">
      <v>30</v>
      <v>31</v>
      <v>31</v>
      <v>31</v>
      <v>31</v>
      <v>31</v>
      <v>31</v>
      <v>31</v>
      <v>31</v>
      <v>31</v>
      <v>31</v>
      <v>32</v>
      <v>31</v>
      <v>32</v>
    </spb>
    <spb s="2">
      <v>1</v>
      <v>Name</v>
      <v>LearnMoreOnLink</v>
    </spb>
    <spb s="10">
      <v>2013</v>
      <v>square km</v>
      <v>2025</v>
      <v>2012</v>
      <v>2015</v>
    </spb>
    <spb s="0">
      <v xml:space="preserve">Wikipedia	Cia	travel.state.gov	</v>
      <v xml:space="preserve">CC-BY-SA			</v>
      <v xml:space="preserve">http://en.wikipedia.org/wiki/Niger	https://www.cia.gov/library/publications/the-world-factbook/geos/ng.html?Transportation	https://travel.state.gov/content/travel/en/international-travel/International-Travel-Country-Information-Pages/Niger.html	</v>
      <v xml:space="preserve">http://creativecommons.org/licenses/by-sa/3.0/			</v>
    </spb>
    <spb s="0">
      <v xml:space="preserve">Wikipedia	</v>
      <v xml:space="preserve">CC BY-SA 3.0	</v>
      <v xml:space="preserve">https://en.wikipedia.org/wiki/Niger	</v>
      <v xml:space="preserve">https://creativecommons.org/licenses/by-sa/3.0	</v>
    </spb>
    <spb s="0">
      <v xml:space="preserve">Wikipedia	</v>
      <v xml:space="preserve">CC-BY-SA	</v>
      <v xml:space="preserve">http://en.wikipedia.org/wiki/Niger	</v>
      <v xml:space="preserve">http://creativecommons.org/licenses/by-sa/3.0/	</v>
    </spb>
    <spb s="0">
      <v xml:space="preserve">Cia	</v>
      <v xml:space="preserve">	</v>
      <v xml:space="preserve">https://www.cia.gov/library/publications/the-world-factbook/geos/ng.html?Transportation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http://data.worldbank.org/indicator/EG.USE.ELEC.KH.PC	</v>
      <v xml:space="preserve">	</v>
    </spb>
    <spb s="11">
      <v>0</v>
      <v>36</v>
      <v>37</v>
      <v>37</v>
      <v>3</v>
      <v>37</v>
      <v>37</v>
      <v>37</v>
      <v>38</v>
      <v>37</v>
      <v>37</v>
      <v>38</v>
      <v>37</v>
      <v>37</v>
      <v>39</v>
      <v>6</v>
      <v>36</v>
      <v>39</v>
      <v>7</v>
      <v>37</v>
      <v>39</v>
      <v>8</v>
      <v>9</v>
      <v>40</v>
      <v>39</v>
      <v>39</v>
      <v>37</v>
      <v>39</v>
      <v>10</v>
      <v>11</v>
      <v>12</v>
      <v>41</v>
      <v>39</v>
      <v>39</v>
      <v>39</v>
      <v>39</v>
      <v>39</v>
      <v>39</v>
      <v>39</v>
      <v>39</v>
      <v>39</v>
      <v>39</v>
      <v>39</v>
      <v>13</v>
    </spb>
    <spb s="2">
      <v>2</v>
      <v>Name</v>
      <v>LearnMoreOnLink</v>
    </spb>
    <spb s="12">
      <v>2019</v>
      <v>2019</v>
      <v>square km</v>
      <v>per thousand (2018)</v>
      <v>2025</v>
      <v>2019</v>
      <v>2018</v>
      <v>per liter (2016)</v>
      <v>2019</v>
      <v>years (2018)</v>
      <v>1980</v>
      <v>per thousand (2018)</v>
      <v>2019</v>
      <v>2017</v>
      <v>2016</v>
      <v>2019</v>
      <v>2016</v>
      <v>2016</v>
      <v>kilotons per year (2016)</v>
      <v>deaths per 100,000 (2017)</v>
      <v>kWh (2014)</v>
      <v>2014</v>
      <v>2014</v>
      <v>2014</v>
      <v>2014</v>
      <v>2014</v>
      <v>2014</v>
      <v>2015</v>
      <v>2014</v>
      <v>2014</v>
      <v>2017</v>
      <v>2018</v>
      <v>2019</v>
    </spb>
    <spb s="0">
      <v xml:space="preserve">Wikipedia	Cia	travel.state.gov	</v>
      <v xml:space="preserve">CC-BY-SA			</v>
      <v xml:space="preserve">http://en.wikipedia.org/wiki/Cameroon	https://www.cia.gov/library/publications/the-world-factbook/geos/cm.html?Transportation	https://travel.state.gov/content/travel/en/international-travel/International-Travel-Country-Information-Pages/Cameroon.html	</v>
      <v xml:space="preserve">http://creativecommons.org/licenses/by-sa/3.0/			</v>
    </spb>
    <spb s="0">
      <v xml:space="preserve">Wikipedia	</v>
      <v xml:space="preserve">CC BY-SA 3.0	</v>
      <v xml:space="preserve">https://en.wikipedia.org/wiki/Cameroon	</v>
      <v xml:space="preserve">https://creativecommons.org/licenses/by-sa/3.0	</v>
    </spb>
    <spb s="0">
      <v xml:space="preserve">Wikipedia	</v>
      <v xml:space="preserve">CC-BY-SA	</v>
      <v xml:space="preserve">http://en.wikipedia.org/wiki/Cameroon	</v>
      <v xml:space="preserve">http://creativecommons.org/licenses/by-sa/3.0/	</v>
    </spb>
    <spb s="0">
      <v xml:space="preserve">Cia	</v>
      <v xml:space="preserve">	</v>
      <v xml:space="preserve">https://www.cia.gov/library/publications/the-world-factbook/geos/cm.html?Transportation	</v>
      <v xml:space="preserve">	</v>
    </spb>
    <spb s="11">
      <v>0</v>
      <v>45</v>
      <v>46</v>
      <v>46</v>
      <v>3</v>
      <v>46</v>
      <v>46</v>
      <v>46</v>
      <v>47</v>
      <v>46</v>
      <v>46</v>
      <v>47</v>
      <v>46</v>
      <v>46</v>
      <v>48</v>
      <v>6</v>
      <v>45</v>
      <v>48</v>
      <v>7</v>
      <v>46</v>
      <v>48</v>
      <v>8</v>
      <v>9</v>
      <v>40</v>
      <v>48</v>
      <v>48</v>
      <v>46</v>
      <v>48</v>
      <v>10</v>
      <v>11</v>
      <v>12</v>
      <v>41</v>
      <v>48</v>
      <v>48</v>
      <v>48</v>
      <v>48</v>
      <v>48</v>
      <v>48</v>
      <v>48</v>
      <v>48</v>
      <v>48</v>
      <v>48</v>
      <v>48</v>
      <v>13</v>
    </spb>
    <spb s="12">
      <v>2019</v>
      <v>2019</v>
      <v>square km</v>
      <v>per thousand (2018)</v>
      <v>2025</v>
      <v>2019</v>
      <v>2018</v>
      <v>per liter (2016)</v>
      <v>2019</v>
      <v>years (2018)</v>
      <v>2018</v>
      <v>per thousand (2018)</v>
      <v>2019</v>
      <v>2017</v>
      <v>2016</v>
      <v>2019</v>
      <v>2016</v>
      <v>2011</v>
      <v>kilotons per year (2016)</v>
      <v>deaths per 100,000 (2017)</v>
      <v>kWh (2014)</v>
      <v>2014</v>
      <v>2014</v>
      <v>2014</v>
      <v>2014</v>
      <v>2014</v>
      <v>2014</v>
      <v>2015</v>
      <v>2014</v>
      <v>2014</v>
      <v>2018</v>
      <v>2017</v>
      <v>2019</v>
    </spb>
    <spb s="0">
      <v xml:space="preserve">Wikipedia	Cia	travel.state.gov	</v>
      <v xml:space="preserve">CC-BY-SA			</v>
      <v xml:space="preserve">http://en.wikipedia.org/wiki/Guinea-Bissau	https://www.cia.gov/library/publications/the-world-factbook/geos/pu.html?Transportation	https://travel.state.gov/content/travel/en/international-travel/International-Travel-Country-Information-Pages/Guinea-Bissau.html	</v>
      <v xml:space="preserve">http://creativecommons.org/licenses/by-sa/3.0/			</v>
    </spb>
    <spb s="0">
      <v xml:space="preserve">Wikipedia	</v>
      <v xml:space="preserve">CC BY-SA 3.0	</v>
      <v xml:space="preserve">https://en.wikipedia.org/wiki/Guinea-Bissau	</v>
      <v xml:space="preserve">https://creativecommons.org/licenses/by-sa/3.0	</v>
    </spb>
    <spb s="0">
      <v xml:space="preserve">Wikipedia	</v>
      <v xml:space="preserve">CC-BY-SA	</v>
      <v xml:space="preserve">http://en.wikipedia.org/wiki/Guinea-Bissau	</v>
      <v xml:space="preserve">http://creativecommons.org/licenses/by-sa/3.0/	</v>
    </spb>
    <spb s="0">
      <v xml:space="preserve">Cia	</v>
      <v xml:space="preserve">	</v>
      <v xml:space="preserve">https://www.cia.gov/library/publications/the-world-factbook/geos/pu.html?Transportation	</v>
      <v xml:space="preserve">	</v>
    </spb>
    <spb s="13">
      <v>0</v>
      <v>51</v>
      <v>52</v>
      <v>52</v>
      <v>3</v>
      <v>52</v>
      <v>52</v>
      <v>52</v>
      <v>53</v>
      <v>52</v>
      <v>52</v>
      <v>53</v>
      <v>52</v>
      <v>52</v>
      <v>54</v>
      <v>6</v>
      <v>54</v>
      <v>7</v>
      <v>52</v>
      <v>54</v>
      <v>8</v>
      <v>9</v>
      <v>40</v>
      <v>54</v>
      <v>54</v>
      <v>52</v>
      <v>54</v>
      <v>10</v>
      <v>11</v>
      <v>12</v>
      <v>54</v>
      <v>54</v>
      <v>54</v>
      <v>54</v>
      <v>54</v>
      <v>54</v>
      <v>54</v>
      <v>54</v>
      <v>54</v>
      <v>54</v>
      <v>54</v>
      <v>13</v>
    </spb>
    <spb s="2">
      <v>3</v>
      <v>Name</v>
      <v>LearnMoreOnLink</v>
    </spb>
    <spb s="14">
      <v>2017</v>
      <v>2019</v>
      <v>square km</v>
      <v>per thousand (2018)</v>
      <v>2025</v>
      <v>2017</v>
      <v>2018</v>
      <v>2019</v>
      <v>years (2018)</v>
      <v>2017</v>
      <v>per thousand (2018)</v>
      <v>2019</v>
      <v>2017</v>
      <v>2016</v>
      <v>2019</v>
      <v>2016</v>
      <v>2016</v>
      <v>kilotons per year (2016)</v>
      <v>deaths per 100,000 (2017)</v>
      <v>2007</v>
      <v>2010</v>
      <v>2010</v>
      <v>2010</v>
      <v>2010</v>
      <v>2010</v>
      <v>2015</v>
      <v>2010</v>
      <v>2010</v>
      <v>2010</v>
      <v>2006</v>
      <v>2019</v>
    </spb>
    <spb s="0">
      <v xml:space="preserve">Wikipedia	Cia	travel.state.gov	</v>
      <v xml:space="preserve">CC-BY-SA			</v>
      <v xml:space="preserve">http://en.wikipedia.org/wiki/Equatorial_Guinea	https://www.cia.gov/library/publications/the-world-factbook/geos/ek.html?Transportation	https://travel.state.gov/content/travel/en/international-travel/International-Travel-Country-Information-Pages/EquatorialGuinea.html	</v>
      <v xml:space="preserve">http://creativecommons.org/licenses/by-sa/3.0/			</v>
    </spb>
    <spb s="0">
      <v xml:space="preserve">Wikipedia	</v>
      <v xml:space="preserve">CC BY-SA 3.0	</v>
      <v xml:space="preserve">https://en.wikipedia.org/wiki/Equatorial_Guinea	</v>
      <v xml:space="preserve">https://creativecommons.org/licenses/by-sa/3.0	</v>
    </spb>
    <spb s="0">
      <v xml:space="preserve">Wikipedia	</v>
      <v xml:space="preserve">CC-BY-SA	</v>
      <v xml:space="preserve">http://en.wikipedia.org/wiki/Equatorial_Guinea	</v>
      <v xml:space="preserve">http://creativecommons.org/licenses/by-sa/3.0/	</v>
    </spb>
    <spb s="0">
      <v xml:space="preserve">Cia	</v>
      <v xml:space="preserve">	</v>
      <v xml:space="preserve">https://www.cia.gov/library/publications/the-world-factbook/geos/ek.html?Transportation	</v>
      <v xml:space="preserve">	</v>
    </spb>
    <spb s="15">
      <v>0</v>
      <v>58</v>
      <v>59</v>
      <v>59</v>
      <v>3</v>
      <v>59</v>
      <v>59</v>
      <v>59</v>
      <v>60</v>
      <v>59</v>
      <v>59</v>
      <v>60</v>
      <v>59</v>
      <v>59</v>
      <v>61</v>
      <v>6</v>
      <v>61</v>
      <v>7</v>
      <v>59</v>
      <v>61</v>
      <v>8</v>
      <v>9</v>
      <v>40</v>
      <v>61</v>
      <v>61</v>
      <v>59</v>
      <v>61</v>
      <v>10</v>
      <v>11</v>
      <v>12</v>
      <v>61</v>
      <v>61</v>
      <v>61</v>
      <v>61</v>
      <v>13</v>
    </spb>
    <spb s="2">
      <v>4</v>
      <v>Name</v>
      <v>LearnMoreOnLink</v>
    </spb>
    <spb s="16">
      <v>2019</v>
      <v>2019</v>
      <v>square km</v>
      <v>per thousand (2018)</v>
      <v>2025</v>
      <v>2019</v>
      <v>2018</v>
      <v>2019</v>
      <v>years (2018)</v>
      <v>2018</v>
      <v>per thousand (2018)</v>
      <v>2019</v>
      <v>2017</v>
      <v>2016</v>
      <v>2019</v>
      <v>2016</v>
      <v>2017</v>
      <v>kilotons per year (2016)</v>
      <v>deaths per 100,000 (2017)</v>
      <v>2007</v>
      <v>2015</v>
      <v>2015</v>
      <v>2000</v>
      <v>2019</v>
    </spb>
    <spb s="0">
      <v xml:space="preserve">Wikipedia	Cia	travel.state.gov	</v>
      <v xml:space="preserve">CC-BY-SA			</v>
      <v xml:space="preserve">http://en.wikipedia.org/wiki/Republic_of_the_Congo	https://www.cia.gov/library/publications/the-world-factbook/geos/cf.html?Transportation	https://travel.state.gov/content/travel/en/international-travel/International-Travel-Country-Information-Pages/RepublicoftheCongo.html	</v>
      <v xml:space="preserve">http://creativecommons.org/licenses/by-sa/3.0/			</v>
    </spb>
    <spb s="0">
      <v xml:space="preserve">Wikipedia	</v>
      <v xml:space="preserve">CC BY-SA 3.0	</v>
      <v xml:space="preserve">https://en.wikipedia.org/wiki/Republic_of_the_Congo	</v>
      <v xml:space="preserve">https://creativecommons.org/licenses/by-sa/3.0	</v>
    </spb>
    <spb s="0">
      <v xml:space="preserve">Wikipedia	</v>
      <v xml:space="preserve">CC-BY-SA	</v>
      <v xml:space="preserve">http://en.wikipedia.org/wiki/Republic_of_the_Congo	</v>
      <v xml:space="preserve">http://creativecommons.org/licenses/by-sa/3.0/	</v>
    </spb>
    <spb s="0">
      <v xml:space="preserve">Cia	</v>
      <v xml:space="preserve">	</v>
      <v xml:space="preserve">https://www.cia.gov/library/publications/the-world-factbook/geos/cf.html?Transportation	</v>
      <v xml:space="preserve">	</v>
    </spb>
    <spb s="17">
      <v>0</v>
      <v>65</v>
      <v>66</v>
      <v>66</v>
      <v>3</v>
      <v>66</v>
      <v>66</v>
      <v>66</v>
      <v>66</v>
      <v>66</v>
      <v>67</v>
      <v>66</v>
      <v>66</v>
      <v>68</v>
      <v>6</v>
      <v>65</v>
      <v>68</v>
      <v>7</v>
      <v>66</v>
      <v>68</v>
      <v>8</v>
      <v>9</v>
      <v>40</v>
      <v>68</v>
      <v>68</v>
      <v>66</v>
      <v>68</v>
      <v>10</v>
      <v>11</v>
      <v>12</v>
      <v>41</v>
      <v>68</v>
      <v>68</v>
      <v>68</v>
      <v>68</v>
      <v>68</v>
      <v>68</v>
      <v>68</v>
      <v>68</v>
      <v>68</v>
      <v>68</v>
      <v>68</v>
      <v>13</v>
    </spb>
    <spb s="2">
      <v>5</v>
      <v>Name</v>
      <v>LearnMoreOnLink</v>
    </spb>
    <spb s="12">
      <v>2019</v>
      <v>2019</v>
      <v>square km</v>
      <v>per thousand (2018)</v>
      <v>2025</v>
      <v>2019</v>
      <v>2018</v>
      <v>per liter (2016)</v>
      <v>2019</v>
      <v>years (2018)</v>
      <v>2018</v>
      <v>per thousand (2018)</v>
      <v>2019</v>
      <v>2017</v>
      <v>2016</v>
      <v>2019</v>
      <v>2016</v>
      <v>2011</v>
      <v>kilotons per year (2016)</v>
      <v>deaths per 100,000 (2017)</v>
      <v>kWh (2014)</v>
      <v>2014</v>
      <v>2011</v>
      <v>2011</v>
      <v>2011</v>
      <v>2011</v>
      <v>2011</v>
      <v>2015</v>
      <v>2011</v>
      <v>2011</v>
      <v>2012</v>
      <v>2017</v>
      <v>2019</v>
    </spb>
    <spb s="0">
      <v xml:space="preserve">Wikipedia	Cia	travel.state.gov	</v>
      <v xml:space="preserve">CC-BY-SA			</v>
      <v xml:space="preserve">http://en.wikipedia.org/wiki/Eritrea	https://www.cia.gov/library/publications/the-world-factbook/geos/er.html?Transportation	https://travel.state.gov/content/travel/en/international-travel/International-Travel-Country-Information-Pages/Eritrea.html	</v>
      <v xml:space="preserve">http://creativecommons.org/licenses/by-sa/3.0/			</v>
    </spb>
    <spb s="0">
      <v xml:space="preserve">Wikipedia	</v>
      <v xml:space="preserve">CC BY-SA 3.0	</v>
      <v xml:space="preserve">https://en.wikipedia.org/wiki/Eritrea	</v>
      <v xml:space="preserve">https://creativecommons.org/licenses/by-sa/3.0	</v>
    </spb>
    <spb s="0">
      <v xml:space="preserve">Wikipedia	</v>
      <v xml:space="preserve">CC-BY-SA	</v>
      <v xml:space="preserve">http://en.wikipedia.org/wiki/Eritrea	</v>
      <v xml:space="preserve">http://creativecommons.org/licenses/by-sa/3.0/	</v>
    </spb>
    <spb s="0">
      <v xml:space="preserve">Cia	</v>
      <v xml:space="preserve">	</v>
      <v xml:space="preserve">https://www.cia.gov/library/publications/the-world-factbook/geos/er.html?Transportation	</v>
      <v xml:space="preserve">	</v>
    </spb>
    <spb s="18">
      <v>72</v>
      <v>73</v>
      <v>73</v>
      <v>3</v>
      <v>73</v>
      <v>73</v>
      <v>73</v>
      <v>74</v>
      <v>73</v>
      <v>73</v>
      <v>73</v>
      <v>73</v>
      <v>6</v>
      <v>72</v>
      <v>75</v>
      <v>7</v>
      <v>73</v>
      <v>8</v>
      <v>9</v>
      <v>40</v>
      <v>75</v>
      <v>75</v>
      <v>73</v>
      <v>75</v>
      <v>10</v>
      <v>11</v>
      <v>12</v>
      <v>41</v>
      <v>75</v>
      <v>75</v>
      <v>75</v>
      <v>75</v>
      <v>13</v>
    </spb>
    <spb s="2">
      <v>6</v>
      <v>Name</v>
      <v>LearnMoreOnLink</v>
    </spb>
    <spb s="19">
      <v>2011</v>
      <v>square km</v>
      <v>per thousand (2018)</v>
      <v>2025</v>
      <v>2018</v>
      <v>per liter (2016)</v>
      <v>2019</v>
      <v>years (2018)</v>
      <v>per thousand (2018)</v>
      <v>2011</v>
      <v>2017</v>
      <v>2016</v>
      <v>2019</v>
      <v>2016</v>
      <v>2016</v>
      <v>kilotons per year (2016)</v>
      <v>deaths per 100,000 (2017)</v>
      <v>kWh (2011)</v>
      <v>2014</v>
      <v>2015</v>
      <v>2018</v>
      <v>2016</v>
      <v>2019</v>
    </spb>
    <spb s="0">
      <v xml:space="preserve">Wikipedia	Cia	travel.state.gov	</v>
      <v xml:space="preserve">CC-BY-SA			</v>
      <v xml:space="preserve">http://en.wikipedia.org/wiki/Mali	https://www.cia.gov/library/publications/the-world-factbook/geos/ml.html?Transportation	https://travel.state.gov/content/travel/en/international-travel/International-Travel-Country-Information-Pages/Mali.html	</v>
      <v xml:space="preserve">http://creativecommons.org/licenses/by-sa/3.0/			</v>
    </spb>
    <spb s="0">
      <v xml:space="preserve">Wikipedia	</v>
      <v xml:space="preserve">CC BY-SA 3.0	</v>
      <v xml:space="preserve">https://en.wikipedia.org/wiki/Mali	</v>
      <v xml:space="preserve">https://creativecommons.org/licenses/by-sa/3.0	</v>
    </spb>
    <spb s="0">
      <v xml:space="preserve">Wikipedia	</v>
      <v xml:space="preserve">CC-BY-SA	</v>
      <v xml:space="preserve">http://en.wikipedia.org/wiki/Mali	</v>
      <v xml:space="preserve">http://creativecommons.org/licenses/by-sa/3.0/	</v>
    </spb>
    <spb s="0">
      <v xml:space="preserve">Cia	</v>
      <v xml:space="preserve">	</v>
      <v xml:space="preserve">https://www.cia.gov/library/publications/the-world-factbook/geos/ml.html?Transportation	</v>
      <v xml:space="preserve">	</v>
    </spb>
    <spb s="20">
      <v>0</v>
      <v>79</v>
      <v>80</v>
      <v>80</v>
      <v>3</v>
      <v>80</v>
      <v>80</v>
      <v>80</v>
      <v>81</v>
      <v>80</v>
      <v>80</v>
      <v>81</v>
      <v>80</v>
      <v>80</v>
      <v>82</v>
      <v>6</v>
      <v>79</v>
      <v>82</v>
      <v>7</v>
      <v>80</v>
      <v>82</v>
      <v>8</v>
      <v>9</v>
      <v>40</v>
      <v>82</v>
      <v>82</v>
      <v>80</v>
      <v>82</v>
      <v>10</v>
      <v>11</v>
      <v>12</v>
      <v>82</v>
      <v>82</v>
      <v>82</v>
      <v>82</v>
      <v>82</v>
      <v>82</v>
      <v>82</v>
      <v>82</v>
      <v>82</v>
      <v>82</v>
      <v>13</v>
    </spb>
    <spb s="2">
      <v>7</v>
      <v>Name</v>
      <v>LearnMoreOnLink</v>
    </spb>
    <spb s="21">
      <v>2019</v>
      <v>2019</v>
      <v>square km</v>
      <v>per thousand (2018)</v>
      <v>2025</v>
      <v>2019</v>
      <v>2018</v>
      <v>per liter (2016)</v>
      <v>2019</v>
      <v>years (2018)</v>
      <v>2018</v>
      <v>per thousand (2018)</v>
      <v>2019</v>
      <v>2017</v>
      <v>2016</v>
      <v>2019</v>
      <v>2016</v>
      <v>2018</v>
      <v>kilotons per year (2016)</v>
      <v>deaths per 100,000 (2017)</v>
      <v>2009</v>
      <v>2009</v>
      <v>2009</v>
      <v>2009</v>
      <v>2009</v>
      <v>2015</v>
      <v>2009</v>
      <v>2009</v>
      <v>2018</v>
      <v>2017</v>
      <v>2019</v>
    </spb>
    <spb s="0">
      <v xml:space="preserve">Wikipedia	Cia	travel.state.gov	</v>
      <v xml:space="preserve">CC-BY-SA			</v>
      <v xml:space="preserve">http://en.wikipedia.org/wiki/Botswana	https://www.cia.gov/library/publications/the-world-factbook/geos/bc.html?Transportation	https://travel.state.gov/content/travel/en/international-travel/International-Travel-Country-Information-Pages/Botswana.html	</v>
      <v xml:space="preserve">http://creativecommons.org/licenses/by-sa/3.0/			</v>
    </spb>
    <spb s="0">
      <v xml:space="preserve">Wikipedia	</v>
      <v xml:space="preserve">CC BY-SA 3.0	</v>
      <v xml:space="preserve">https://en.wikipedia.org/wiki/Botswana	</v>
      <v xml:space="preserve">https://creativecommons.org/licenses/by-sa/3.0	</v>
    </spb>
    <spb s="0">
      <v xml:space="preserve">Wikipedia	</v>
      <v xml:space="preserve">CC-BY-SA	</v>
      <v xml:space="preserve">http://en.wikipedia.org/wiki/Botswana	</v>
      <v xml:space="preserve">http://creativecommons.org/licenses/by-sa/3.0/	</v>
    </spb>
    <spb s="0">
      <v xml:space="preserve">Cia	</v>
      <v xml:space="preserve">	</v>
      <v xml:space="preserve">https://www.cia.gov/library/publications/the-world-factbook/geos/bc.html?Transportation	</v>
      <v xml:space="preserve">	</v>
    </spb>
    <spb s="22">
      <v>0</v>
      <v>86</v>
      <v>87</v>
      <v>87</v>
      <v>3</v>
      <v>87</v>
      <v>87</v>
      <v>87</v>
      <v>88</v>
      <v>87</v>
      <v>87</v>
      <v>88</v>
      <v>87</v>
      <v>87</v>
      <v>89</v>
      <v>6</v>
      <v>86</v>
      <v>89</v>
      <v>7</v>
      <v>87</v>
      <v>89</v>
      <v>8</v>
      <v>9</v>
      <v>40</v>
      <v>89</v>
      <v>89</v>
      <v>87</v>
      <v>89</v>
      <v>10</v>
      <v>11</v>
      <v>12</v>
      <v>41</v>
      <v>89</v>
      <v>86</v>
      <v>89</v>
      <v>89</v>
      <v>89</v>
      <v>89</v>
      <v>89</v>
      <v>89</v>
      <v>89</v>
      <v>89</v>
      <v>89</v>
      <v>89</v>
      <v>13</v>
    </spb>
    <spb s="2">
      <v>8</v>
      <v>Name</v>
      <v>LearnMoreOnLink</v>
    </spb>
    <spb s="23">
      <v>2019</v>
      <v>2019</v>
      <v>square km</v>
      <v>per thousand (2018)</v>
      <v>2025</v>
      <v>2019</v>
      <v>2018</v>
      <v>per liter (2016)</v>
      <v>2019</v>
      <v>years (2018)</v>
      <v>2018</v>
      <v>per thousand (2018)</v>
      <v>2019</v>
      <v>2017</v>
      <v>2016</v>
      <v>2019</v>
      <v>2016</v>
      <v>2016</v>
      <v>kilotons per year (2016)</v>
      <v>deaths per 100,000 (2017)</v>
      <v>kWh (2014)</v>
      <v>2014</v>
      <v>2000</v>
      <v>2015</v>
      <v>2015</v>
      <v>2015</v>
      <v>2015</v>
      <v>2015</v>
      <v>2015</v>
      <v>2015</v>
      <v>2015</v>
      <v>2015</v>
      <v>2017</v>
      <v>2019</v>
    </spb>
    <spb s="0">
      <v xml:space="preserve">Wikipedia	Cia	travel.state.gov	</v>
      <v xml:space="preserve">CC-BY-SA			</v>
      <v xml:space="preserve">http://en.wikipedia.org/wiki/Nigeria	https://www.cia.gov/library/publications/the-world-factbook/geos/ni.html?Transportation	https://travel.state.gov/content/travel/en/international-travel/International-Travel-Country-Information-Pages/Nigeria.html	</v>
      <v xml:space="preserve">http://creativecommons.org/licenses/by-sa/3.0/			</v>
    </spb>
    <spb s="0">
      <v xml:space="preserve">Wikipedia	</v>
      <v xml:space="preserve">CC BY-SA 3.0	</v>
      <v xml:space="preserve">https://en.wikipedia.org/wiki/Nigeria	</v>
      <v xml:space="preserve">https://creativecommons.org/licenses/by-sa/3.0	</v>
    </spb>
    <spb s="0">
      <v xml:space="preserve">Wikipedia	</v>
      <v xml:space="preserve">CC-BY-SA	</v>
      <v xml:space="preserve">http://en.wikipedia.org/wiki/Nigeria	</v>
      <v xml:space="preserve">http://creativecommons.org/licenses/by-sa/3.0/	</v>
    </spb>
    <spb s="0">
      <v xml:space="preserve">Cia	</v>
      <v xml:space="preserve">	</v>
      <v xml:space="preserve">https://www.cia.gov/library/publications/the-world-factbook/geos/ni.html?Transportation	</v>
      <v xml:space="preserve">	</v>
    </spb>
    <spb s="22">
      <v>0</v>
      <v>93</v>
      <v>94</v>
      <v>94</v>
      <v>3</v>
      <v>94</v>
      <v>94</v>
      <v>94</v>
      <v>95</v>
      <v>94</v>
      <v>94</v>
      <v>95</v>
      <v>94</v>
      <v>94</v>
      <v>96</v>
      <v>6</v>
      <v>93</v>
      <v>96</v>
      <v>7</v>
      <v>94</v>
      <v>96</v>
      <v>8</v>
      <v>9</v>
      <v>40</v>
      <v>96</v>
      <v>96</v>
      <v>94</v>
      <v>96</v>
      <v>10</v>
      <v>11</v>
      <v>12</v>
      <v>41</v>
      <v>96</v>
      <v>93</v>
      <v>96</v>
      <v>96</v>
      <v>96</v>
      <v>96</v>
      <v>96</v>
      <v>96</v>
      <v>96</v>
      <v>96</v>
      <v>96</v>
      <v>96</v>
      <v>13</v>
    </spb>
    <spb s="23">
      <v>2019</v>
      <v>2019</v>
      <v>square km</v>
      <v>per thousand (2018)</v>
      <v>2025</v>
      <v>2019</v>
      <v>2018</v>
      <v>per liter (2016)</v>
      <v>2019</v>
      <v>years (2018)</v>
      <v>2013</v>
      <v>per thousand (2018)</v>
      <v>2019</v>
      <v>2017</v>
      <v>2016</v>
      <v>2019</v>
      <v>2016</v>
      <v>2018</v>
      <v>kilotons per year (2016)</v>
      <v>deaths per 100,000 (2017)</v>
      <v>kWh (2014)</v>
      <v>2014</v>
      <v>2019</v>
      <v>2009</v>
      <v>2009</v>
      <v>2009</v>
      <v>2009</v>
      <v>2009</v>
      <v>2015</v>
      <v>2009</v>
      <v>2009</v>
      <v>2016</v>
      <v>2011</v>
      <v>2019</v>
    </spb>
    <spb s="0">
      <v xml:space="preserve">Wikipedia	Cia	travel.state.gov	</v>
      <v xml:space="preserve">CC-BY-SA			</v>
      <v xml:space="preserve">http://en.wikipedia.org/wiki/Chad	https://www.cia.gov/library/publications/the-world-factbook/geos/cd.html?Transportation	https://travel.state.gov/content/travel/en/international-travel/International-Travel-Country-Information-Pages/Chad.html	</v>
      <v xml:space="preserve">http://creativecommons.org/licenses/by-sa/3.0/			</v>
    </spb>
    <spb s="0">
      <v xml:space="preserve">Wikipedia	</v>
      <v xml:space="preserve">CC BY-SA 3.0	</v>
      <v xml:space="preserve">https://en.wikipedia.org/wiki/Chad	</v>
      <v xml:space="preserve">https://creativecommons.org/licenses/by-sa/3.0	</v>
    </spb>
    <spb s="0">
      <v xml:space="preserve">Wikipedia	</v>
      <v xml:space="preserve">CC-BY-SA	</v>
      <v xml:space="preserve">http://en.wikipedia.org/wiki/Chad	</v>
      <v xml:space="preserve">http://creativecommons.org/licenses/by-sa/3.0/	</v>
    </spb>
    <spb s="0">
      <v xml:space="preserve">Cia	</v>
      <v xml:space="preserve">	</v>
      <v xml:space="preserve">https://www.cia.gov/library/publications/the-world-factbook/geos/cd.html?Transportation	</v>
      <v xml:space="preserve">	</v>
    </spb>
    <spb s="24">
      <v>0</v>
      <v>99</v>
      <v>100</v>
      <v>100</v>
      <v>3</v>
      <v>100</v>
      <v>100</v>
      <v>100</v>
      <v>101</v>
      <v>100</v>
      <v>100</v>
      <v>101</v>
      <v>100</v>
      <v>100</v>
      <v>102</v>
      <v>6</v>
      <v>99</v>
      <v>102</v>
      <v>7</v>
      <v>100</v>
      <v>8</v>
      <v>9</v>
      <v>40</v>
      <v>102</v>
      <v>102</v>
      <v>100</v>
      <v>102</v>
      <v>10</v>
      <v>11</v>
      <v>12</v>
      <v>102</v>
      <v>102</v>
      <v>102</v>
      <v>102</v>
      <v>102</v>
      <v>102</v>
      <v>102</v>
      <v>102</v>
      <v>102</v>
      <v>102</v>
      <v>13</v>
    </spb>
    <spb s="2">
      <v>9</v>
      <v>Name</v>
      <v>LearnMoreOnLink</v>
    </spb>
    <spb s="25">
      <v>2019</v>
      <v>2019</v>
      <v>square km</v>
      <v>per thousand (2018)</v>
      <v>2025</v>
      <v>2019</v>
      <v>2018</v>
      <v>per liter (2016)</v>
      <v>2019</v>
      <v>years (2018)</v>
      <v>per thousand (2018)</v>
      <v>2019</v>
      <v>2017</v>
      <v>2016</v>
      <v>2019</v>
      <v>2016</v>
      <v>2017</v>
      <v>kilotons per year (2016)</v>
      <v>deaths per 100,000 (2017)</v>
      <v>2011</v>
      <v>2011</v>
      <v>2011</v>
      <v>2011</v>
      <v>2011</v>
      <v>2015</v>
      <v>2011</v>
      <v>2011</v>
      <v>2016</v>
      <v>2015</v>
      <v>2019</v>
    </spb>
    <spb s="0">
      <v xml:space="preserve">Wikipedia	Cia	travel.state.gov	</v>
      <v xml:space="preserve">CC-BY-SA			</v>
      <v xml:space="preserve">http://en.wikipedia.org/wiki/Burundi	https://www.cia.gov/library/publications/the-world-factbook/geos/by.html?Transportation	https://travel.state.gov/content/travel/en/international-travel/International-Travel-Country-Information-Pages/Burundi.html	</v>
      <v xml:space="preserve">http://creativecommons.org/licenses/by-sa/3.0/			</v>
    </spb>
    <spb s="0">
      <v xml:space="preserve">Wikipedia	</v>
      <v xml:space="preserve">CC BY-SA 3.0	</v>
      <v xml:space="preserve">https://en.wikipedia.org/wiki/Burundi	</v>
      <v xml:space="preserve">https://creativecommons.org/licenses/by-sa/3.0	</v>
    </spb>
    <spb s="0">
      <v xml:space="preserve">Wikipedia	</v>
      <v xml:space="preserve">CC-BY-SA	</v>
      <v xml:space="preserve">http://en.wikipedia.org/wiki/Burundi	</v>
      <v xml:space="preserve">http://creativecommons.org/licenses/by-sa/3.0/	</v>
    </spb>
    <spb s="0">
      <v xml:space="preserve">Cia	</v>
      <v xml:space="preserve">	</v>
      <v xml:space="preserve">https://www.cia.gov/library/publications/the-world-factbook/geos/by.html?Transportation	</v>
      <v xml:space="preserve">	</v>
    </spb>
    <spb s="26">
      <v>0</v>
      <v>106</v>
      <v>107</v>
      <v>107</v>
      <v>3</v>
      <v>107</v>
      <v>107</v>
      <v>107</v>
      <v>108</v>
      <v>107</v>
      <v>107</v>
      <v>107</v>
      <v>107</v>
      <v>109</v>
      <v>6</v>
      <v>106</v>
      <v>109</v>
      <v>7</v>
      <v>107</v>
      <v>109</v>
      <v>8</v>
      <v>9</v>
      <v>40</v>
      <v>109</v>
      <v>109</v>
      <v>107</v>
      <v>109</v>
      <v>10</v>
      <v>11</v>
      <v>12</v>
      <v>109</v>
      <v>109</v>
      <v>109</v>
      <v>109</v>
      <v>109</v>
      <v>109</v>
      <v>109</v>
      <v>109</v>
      <v>109</v>
      <v>109</v>
      <v>13</v>
    </spb>
    <spb s="2">
      <v>10</v>
      <v>Name</v>
      <v>LearnMoreOnLink</v>
    </spb>
    <spb s="21">
      <v>2019</v>
      <v>2019</v>
      <v>square km</v>
      <v>per thousand (2018)</v>
      <v>2025</v>
      <v>2019</v>
      <v>2018</v>
      <v>per liter (2016)</v>
      <v>2019</v>
      <v>years (2018)</v>
      <v>1999</v>
      <v>per thousand (2018)</v>
      <v>2019</v>
      <v>2017</v>
      <v>2016</v>
      <v>2019</v>
      <v>2016</v>
      <v>2017</v>
      <v>kilotons per year (2016)</v>
      <v>deaths per 100,000 (2017)</v>
      <v>2013</v>
      <v>2013</v>
      <v>2013</v>
      <v>2013</v>
      <v>2013</v>
      <v>2015</v>
      <v>2013</v>
      <v>2013</v>
      <v>2018</v>
      <v>2017</v>
      <v>2019</v>
    </spb>
    <spb s="0">
      <v xml:space="preserve">Wikipedia	Cia	travel.state.gov	</v>
      <v xml:space="preserve">CC-BY-SA			</v>
      <v xml:space="preserve">http://en.wikipedia.org/wiki/Senegal	https://www.cia.gov/library/publications/the-world-factbook/geos/sg.html?Transportation	https://travel.state.gov/content/travel/en/international-travel/International-Travel-Country-Information-Pages/Senegal.html	</v>
      <v xml:space="preserve">http://creativecommons.org/licenses/by-sa/3.0/			</v>
    </spb>
    <spb s="0">
      <v xml:space="preserve">Wikipedia	</v>
      <v xml:space="preserve">CC BY-SA 3.0	</v>
      <v xml:space="preserve">https://en.wikipedia.org/wiki/Senegal	</v>
      <v xml:space="preserve">https://creativecommons.org/licenses/by-sa/3.0	</v>
    </spb>
    <spb s="0">
      <v xml:space="preserve">Wikipedia	</v>
      <v xml:space="preserve">CC-BY-SA	</v>
      <v xml:space="preserve">http://en.wikipedia.org/wiki/Senegal	</v>
      <v xml:space="preserve">http://creativecommons.org/licenses/by-sa/3.0/	</v>
    </spb>
    <spb s="0">
      <v xml:space="preserve">Cia	</v>
      <v xml:space="preserve">	</v>
      <v xml:space="preserve">https://www.cia.gov/library/publications/the-world-factbook/geos/sg.html?Transportation	</v>
      <v xml:space="preserve">	</v>
    </spb>
    <spb s="11">
      <v>0</v>
      <v>113</v>
      <v>114</v>
      <v>114</v>
      <v>3</v>
      <v>114</v>
      <v>114</v>
      <v>114</v>
      <v>115</v>
      <v>114</v>
      <v>114</v>
      <v>115</v>
      <v>114</v>
      <v>114</v>
      <v>116</v>
      <v>6</v>
      <v>113</v>
      <v>116</v>
      <v>7</v>
      <v>114</v>
      <v>116</v>
      <v>8</v>
      <v>9</v>
      <v>40</v>
      <v>116</v>
      <v>116</v>
      <v>114</v>
      <v>116</v>
      <v>10</v>
      <v>11</v>
      <v>12</v>
      <v>41</v>
      <v>116</v>
      <v>116</v>
      <v>116</v>
      <v>116</v>
      <v>116</v>
      <v>116</v>
      <v>116</v>
      <v>116</v>
      <v>116</v>
      <v>116</v>
      <v>116</v>
      <v>13</v>
    </spb>
    <spb s="12">
      <v>2019</v>
      <v>2019</v>
      <v>square km</v>
      <v>per thousand (2018)</v>
      <v>2025</v>
      <v>2019</v>
      <v>2018</v>
      <v>per liter (2016)</v>
      <v>2019</v>
      <v>years (2018)</v>
      <v>2018</v>
      <v>per thousand (2018)</v>
      <v>2019</v>
      <v>2017</v>
      <v>2016</v>
      <v>2019</v>
      <v>2016</v>
      <v>2017</v>
      <v>kilotons per year (2016)</v>
      <v>deaths per 100,000 (2017)</v>
      <v>kWh (2014)</v>
      <v>2014</v>
      <v>2011</v>
      <v>2011</v>
      <v>2011</v>
      <v>2011</v>
      <v>2011</v>
      <v>2015</v>
      <v>2011</v>
      <v>2011</v>
      <v>2018</v>
      <v>2018</v>
      <v>2019</v>
    </spb>
    <spb s="0">
      <v xml:space="preserve">Wikipedia	Cia	travel.state.gov	</v>
      <v xml:space="preserve">CC-BY-SA			</v>
      <v xml:space="preserve">http://en.wikipedia.org/wiki/Central_African_Republic	https://www.cia.gov/library/publications/the-world-factbook/geos/ct.html?Transportation	https://travel.state.gov/content/travel/en/international-travel/International-Travel-Country-Information-Pages/CentralAfricanRepublic.html	</v>
      <v xml:space="preserve">http://creativecommons.org/licenses/by-sa/3.0/			</v>
    </spb>
    <spb s="0">
      <v xml:space="preserve">Wikipedia	</v>
      <v xml:space="preserve">CC BY-SA 3.0	</v>
      <v xml:space="preserve">https://en.wikipedia.org/wiki/Central_African_Republic	</v>
      <v xml:space="preserve">https://creativecommons.org/licenses/by-sa/3.0	</v>
    </spb>
    <spb s="0">
      <v xml:space="preserve">Wikipedia	</v>
      <v xml:space="preserve">CC-BY-SA	</v>
      <v xml:space="preserve">http://en.wikipedia.org/wiki/Central_African_Republic	</v>
      <v xml:space="preserve">http://creativecommons.org/licenses/by-sa/3.0/	</v>
    </spb>
    <spb s="0">
      <v xml:space="preserve">Cia	</v>
      <v xml:space="preserve">	</v>
      <v xml:space="preserve">https://www.cia.gov/library/publications/the-world-factbook/geos/ct.html?Transportation	</v>
      <v xml:space="preserve">	</v>
    </spb>
    <spb s="20">
      <v>0</v>
      <v>119</v>
      <v>120</v>
      <v>120</v>
      <v>3</v>
      <v>120</v>
      <v>120</v>
      <v>120</v>
      <v>121</v>
      <v>120</v>
      <v>120</v>
      <v>121</v>
      <v>120</v>
      <v>120</v>
      <v>122</v>
      <v>6</v>
      <v>119</v>
      <v>122</v>
      <v>7</v>
      <v>120</v>
      <v>122</v>
      <v>8</v>
      <v>9</v>
      <v>40</v>
      <v>122</v>
      <v>122</v>
      <v>120</v>
      <v>122</v>
      <v>10</v>
      <v>11</v>
      <v>12</v>
      <v>122</v>
      <v>122</v>
      <v>122</v>
      <v>122</v>
      <v>122</v>
      <v>122</v>
      <v>122</v>
      <v>122</v>
      <v>122</v>
      <v>122</v>
      <v>13</v>
    </spb>
    <spb s="21">
      <v>2015</v>
      <v>2019</v>
      <v>square km</v>
      <v>per thousand (2018)</v>
      <v>2025</v>
      <v>2015</v>
      <v>2018</v>
      <v>per liter (2016)</v>
      <v>2019</v>
      <v>years (2018)</v>
      <v>2018</v>
      <v>per thousand (2018)</v>
      <v>2019</v>
      <v>2017</v>
      <v>2016</v>
      <v>2019</v>
      <v>2016</v>
      <v>2015</v>
      <v>kilotons per year (2016)</v>
      <v>deaths per 100,000 (2017)</v>
      <v>2008</v>
      <v>2008</v>
      <v>2008</v>
      <v>2008</v>
      <v>2008</v>
      <v>2015</v>
      <v>2008</v>
      <v>2008</v>
      <v>2016</v>
      <v>2012</v>
      <v>2019</v>
    </spb>
    <spb s="0">
      <v xml:space="preserve">Wikipedia	Cia	travel.state.gov	</v>
      <v xml:space="preserve">CC-BY-SA			</v>
      <v xml:space="preserve">http://en.wikipedia.org/wiki/Ethiopia	https://www.cia.gov/library/publications/the-world-factbook/geos/et.html?Transportation	https://travel.state.gov/content/travel/en/international-travel/International-Travel-Country-Information-Pages/Ethiopia.html	</v>
      <v xml:space="preserve">http://creativecommons.org/licenses/by-sa/3.0/			</v>
    </spb>
    <spb s="0">
      <v xml:space="preserve">Wikipedia	</v>
      <v xml:space="preserve">CC BY-SA 3.0	</v>
      <v xml:space="preserve">https://en.wikipedia.org/wiki/Ethiopia	</v>
      <v xml:space="preserve">https://creativecommons.org/licenses/by-sa/3.0	</v>
    </spb>
    <spb s="0">
      <v xml:space="preserve">Wikipedia	</v>
      <v xml:space="preserve">CC-BY-SA	</v>
      <v xml:space="preserve">http://en.wikipedia.org/wiki/Ethiopia	</v>
      <v xml:space="preserve">http://creativecommons.org/licenses/by-sa/3.0/	</v>
    </spb>
    <spb s="0">
      <v xml:space="preserve">Cia	</v>
      <v xml:space="preserve">	</v>
      <v xml:space="preserve">https://www.cia.gov/library/publications/the-world-factbook/geos/et.html?Transportation	</v>
      <v xml:space="preserve">	</v>
    </spb>
    <spb s="27">
      <v>0</v>
      <v>125</v>
      <v>126</v>
      <v>126</v>
      <v>3</v>
      <v>126</v>
      <v>126</v>
      <v>126</v>
      <v>127</v>
      <v>126</v>
      <v>126</v>
      <v>126</v>
      <v>126</v>
      <v>128</v>
      <v>6</v>
      <v>125</v>
      <v>128</v>
      <v>7</v>
      <v>126</v>
      <v>128</v>
      <v>8</v>
      <v>9</v>
      <v>40</v>
      <v>128</v>
      <v>128</v>
      <v>126</v>
      <v>128</v>
      <v>10</v>
      <v>11</v>
      <v>12</v>
      <v>41</v>
      <v>128</v>
      <v>128</v>
      <v>128</v>
      <v>128</v>
      <v>128</v>
      <v>128</v>
      <v>128</v>
      <v>128</v>
      <v>128</v>
      <v>128</v>
      <v>128</v>
      <v>13</v>
    </spb>
    <spb s="2">
      <v>11</v>
      <v>Name</v>
      <v>LearnMoreOnLink</v>
    </spb>
    <spb s="12">
      <v>2019</v>
      <v>2019</v>
      <v>square km</v>
      <v>per thousand (2018)</v>
      <v>2025</v>
      <v>2019</v>
      <v>2018</v>
      <v>per liter (2016)</v>
      <v>2019</v>
      <v>years (2018)</v>
      <v>2018</v>
      <v>per thousand (2018)</v>
      <v>2019</v>
      <v>2017</v>
      <v>2016</v>
      <v>2019</v>
      <v>2016</v>
      <v>2018</v>
      <v>kilotons per year (2016)</v>
      <v>deaths per 100,000 (2017)</v>
      <v>kWh (2014)</v>
      <v>2014</v>
      <v>2015</v>
      <v>2015</v>
      <v>2015</v>
      <v>2015</v>
      <v>2015</v>
      <v>2015</v>
      <v>2015</v>
      <v>2015</v>
      <v>2015</v>
      <v>2014</v>
      <v>2019</v>
    </spb>
    <spb s="0">
      <v xml:space="preserve">Wikipedia	Cia	travel.state.gov	</v>
      <v xml:space="preserve">CC-BY-SA			</v>
      <v xml:space="preserve">http://en.wikipedia.org/wiki/The_Gambia	https://www.cia.gov/library/publications/the-world-factbook/geos/ga.html?Transportation	https://travel.state.gov/content/travel/en/international-travel/International-Travel-Country-Information-Pages/TheGambia.html	</v>
      <v xml:space="preserve">http://creativecommons.org/licenses/by-sa/3.0/			</v>
    </spb>
    <spb s="0">
      <v xml:space="preserve">Wikipedia	</v>
      <v xml:space="preserve">CC BY-SA 3.0	</v>
      <v xml:space="preserve">https://en.wikipedia.org/wiki/The_Gambia	</v>
      <v xml:space="preserve">https://creativecommons.org/licenses/by-sa/3.0	</v>
    </spb>
    <spb s="0">
      <v xml:space="preserve">Wikipedia	</v>
      <v xml:space="preserve">CC-BY-SA	</v>
      <v xml:space="preserve">http://en.wikipedia.org/wiki/The_Gambia	</v>
      <v xml:space="preserve">http://creativecommons.org/licenses/by-sa/3.0/	</v>
    </spb>
    <spb s="0">
      <v xml:space="preserve">Cia	</v>
      <v xml:space="preserve">	</v>
      <v xml:space="preserve">https://www.cia.gov/library/publications/the-world-factbook/geos/ga.html?Transportation	</v>
      <v xml:space="preserve">	</v>
    </spb>
    <spb s="28">
      <v>0</v>
      <v>132</v>
      <v>133</v>
      <v>133</v>
      <v>3</v>
      <v>133</v>
      <v>133</v>
      <v>133</v>
      <v>134</v>
      <v>133</v>
      <v>134</v>
      <v>133</v>
      <v>133</v>
      <v>135</v>
      <v>6</v>
      <v>132</v>
      <v>135</v>
      <v>7</v>
      <v>133</v>
      <v>135</v>
      <v>8</v>
      <v>9</v>
      <v>40</v>
      <v>135</v>
      <v>135</v>
      <v>133</v>
      <v>135</v>
      <v>10</v>
      <v>11</v>
      <v>12</v>
      <v>135</v>
      <v>135</v>
      <v>135</v>
      <v>135</v>
      <v>135</v>
      <v>135</v>
      <v>135</v>
      <v>135</v>
      <v>135</v>
      <v>135</v>
      <v>135</v>
      <v>13</v>
    </spb>
    <spb s="2">
      <v>12</v>
      <v>Name</v>
      <v>LearnMoreOnLink</v>
    </spb>
    <spb s="29">
      <v>2019</v>
      <v>2019</v>
      <v>square km</v>
      <v>per thousand (2018)</v>
      <v>2025</v>
      <v>2019</v>
      <v>2018</v>
      <v>per liter (2016)</v>
      <v>2019</v>
      <v>years (2018)</v>
      <v>2009</v>
      <v>per thousand (2018)</v>
      <v>2019</v>
      <v>2017</v>
      <v>2016</v>
      <v>2019</v>
      <v>2016</v>
      <v>2015</v>
      <v>kilotons per year (2016)</v>
      <v>deaths per 100,000 (2017)</v>
      <v>2007</v>
      <v>2015</v>
      <v>2015</v>
      <v>2015</v>
      <v>2015</v>
      <v>2015</v>
      <v>2015</v>
      <v>2015</v>
      <v>2015</v>
      <v>2018</v>
      <v>2012</v>
      <v>2019</v>
    </spb>
    <spb s="0">
      <v xml:space="preserve">Wikipedia	Cia	travel.state.gov	</v>
      <v xml:space="preserve">CC-BY-SA			</v>
      <v xml:space="preserve">http://en.wikipedia.org/wiki/Liberia	https://www.cia.gov/library/publications/the-world-factbook/geos/li.html?Transportation	https://travel.state.gov/content/travel/en/international-travel/International-Travel-Country-Information-Pages/Liberia.html	</v>
      <v xml:space="preserve">http://creativecommons.org/licenses/by-sa/3.0/			</v>
    </spb>
    <spb s="0">
      <v xml:space="preserve">Wikipedia	</v>
      <v xml:space="preserve">CC BY-SA 3.0	</v>
      <v xml:space="preserve">https://en.wikipedia.org/wiki/Liberia	</v>
      <v xml:space="preserve">https://creativecommons.org/licenses/by-sa/3.0	</v>
    </spb>
    <spb s="0">
      <v xml:space="preserve">Wikipedia	</v>
      <v xml:space="preserve">CC-BY-SA	</v>
      <v xml:space="preserve">http://en.wikipedia.org/wiki/Liberia	</v>
      <v xml:space="preserve">http://creativecommons.org/licenses/by-sa/3.0/	</v>
    </spb>
    <spb s="0">
      <v xml:space="preserve">Cia	</v>
      <v xml:space="preserve">	</v>
      <v xml:space="preserve">https://www.cia.gov/library/publications/the-world-factbook/geos/li.html?Transportation	</v>
      <v xml:space="preserve">	</v>
    </spb>
    <spb s="20">
      <v>0</v>
      <v>139</v>
      <v>140</v>
      <v>140</v>
      <v>3</v>
      <v>140</v>
      <v>140</v>
      <v>140</v>
      <v>141</v>
      <v>140</v>
      <v>140</v>
      <v>141</v>
      <v>140</v>
      <v>140</v>
      <v>142</v>
      <v>6</v>
      <v>139</v>
      <v>142</v>
      <v>7</v>
      <v>140</v>
      <v>142</v>
      <v>8</v>
      <v>9</v>
      <v>40</v>
      <v>142</v>
      <v>142</v>
      <v>140</v>
      <v>142</v>
      <v>10</v>
      <v>11</v>
      <v>12</v>
      <v>142</v>
      <v>142</v>
      <v>142</v>
      <v>142</v>
      <v>142</v>
      <v>142</v>
      <v>142</v>
      <v>142</v>
      <v>142</v>
      <v>142</v>
      <v>13</v>
    </spb>
    <spb s="21">
      <v>2018</v>
      <v>2019</v>
      <v>square km</v>
      <v>per thousand (2018)</v>
      <v>2025</v>
      <v>2018</v>
      <v>2018</v>
      <v>per liter (2016)</v>
      <v>2019</v>
      <v>years (2018)</v>
      <v>2013</v>
      <v>per thousand (2018)</v>
      <v>2019</v>
      <v>2017</v>
      <v>2016</v>
      <v>2019</v>
      <v>2016</v>
      <v>2015</v>
      <v>kilotons per year (2016)</v>
      <v>deaths per 100,000 (2017)</v>
      <v>2016</v>
      <v>2016</v>
      <v>2016</v>
      <v>2016</v>
      <v>2016</v>
      <v>2015</v>
      <v>2016</v>
      <v>2016</v>
      <v>2017</v>
      <v>2012</v>
      <v>2019</v>
    </spb>
    <spb s="0">
      <v xml:space="preserve">Wikipedia	Cia	travel.state.gov	</v>
      <v xml:space="preserve">CC-BY-SA			</v>
      <v xml:space="preserve">http://en.wikipedia.org/wiki/Democratic_Republic_of_the_Congo	https://www.cia.gov/library/publications/the-world-factbook/geos/cg.html?Transportation	https://travel.state.gov/content/travel/en/international-travel/International-Travel-Country-Information-Pages/DemocraticRepublicoftheCongoDRC.html	</v>
      <v xml:space="preserve">http://creativecommons.org/licenses/by-sa/3.0/			</v>
    </spb>
    <spb s="0">
      <v xml:space="preserve">Wikipedia	</v>
      <v xml:space="preserve">CC BY-SA 3.0	</v>
      <v xml:space="preserve">https://en.wikipedia.org/wiki/Democratic_Republic_of_the_Congo	</v>
      <v xml:space="preserve">https://creativecommons.org/licenses/by-sa/3.0	</v>
    </spb>
    <spb s="0">
      <v xml:space="preserve">Wikipedia	</v>
      <v xml:space="preserve">CC-BY-SA	</v>
      <v xml:space="preserve">http://en.wikipedia.org/wiki/Democratic_Republic_of_the_Congo	</v>
      <v xml:space="preserve">http://creativecommons.org/licenses/by-sa/3.0/	</v>
    </spb>
    <spb s="0">
      <v xml:space="preserve">Cia	</v>
      <v xml:space="preserve">	</v>
      <v xml:space="preserve">https://www.cia.gov/library/publications/the-world-factbook/geos/cg.html?Transportation	</v>
      <v xml:space="preserve">	</v>
    </spb>
    <spb s="11">
      <v>0</v>
      <v>145</v>
      <v>146</v>
      <v>146</v>
      <v>3</v>
      <v>146</v>
      <v>146</v>
      <v>146</v>
      <v>147</v>
      <v>146</v>
      <v>146</v>
      <v>147</v>
      <v>146</v>
      <v>146</v>
      <v>148</v>
      <v>6</v>
      <v>145</v>
      <v>148</v>
      <v>7</v>
      <v>146</v>
      <v>148</v>
      <v>8</v>
      <v>9</v>
      <v>40</v>
      <v>148</v>
      <v>148</v>
      <v>146</v>
      <v>148</v>
      <v>10</v>
      <v>11</v>
      <v>12</v>
      <v>41</v>
      <v>148</v>
      <v>148</v>
      <v>148</v>
      <v>148</v>
      <v>148</v>
      <v>148</v>
      <v>148</v>
      <v>148</v>
      <v>148</v>
      <v>148</v>
      <v>148</v>
      <v>13</v>
    </spb>
    <spb s="12">
      <v>2016</v>
      <v>2019</v>
      <v>square km</v>
      <v>per thousand (2018)</v>
      <v>2025</v>
      <v>2016</v>
      <v>2018</v>
      <v>per liter (2016)</v>
      <v>2019</v>
      <v>years (2018)</v>
      <v>1989</v>
      <v>per thousand (2018)</v>
      <v>2019</v>
      <v>2017</v>
      <v>2016</v>
      <v>2019</v>
      <v>2016</v>
      <v>2016</v>
      <v>kilotons per year (2016)</v>
      <v>deaths per 100,000 (2017)</v>
      <v>kWh (2014)</v>
      <v>2014</v>
      <v>2012</v>
      <v>2012</v>
      <v>2012</v>
      <v>2012</v>
      <v>2012</v>
      <v>2015</v>
      <v>2012</v>
      <v>2012</v>
      <v>2015</v>
      <v>2016</v>
      <v>2019</v>
    </spb>
    <spb s="0">
      <v xml:space="preserve">Wikipedia	Cia	travel.state.gov	</v>
      <v xml:space="preserve">CC-BY-SA			</v>
      <v xml:space="preserve">http://en.wikipedia.org/wiki/Guinea	https://www.cia.gov/library/publications/the-world-factbook/geos/gv.html?Transportation	https://travel.state.gov/content/travel/en/international-travel/International-Travel-Country-Information-Pages/Guinea.html	</v>
      <v xml:space="preserve">http://creativecommons.org/licenses/by-sa/3.0/			</v>
    </spb>
    <spb s="0">
      <v xml:space="preserve">Wikipedia	</v>
      <v xml:space="preserve">CC BY-SA 3.0	</v>
      <v xml:space="preserve">https://en.wikipedia.org/wiki/Guinea	</v>
      <v xml:space="preserve">https://creativecommons.org/licenses/by-sa/3.0	</v>
    </spb>
    <spb s="0">
      <v xml:space="preserve">Wikipedia	</v>
      <v xml:space="preserve">CC-BY-SA	</v>
      <v xml:space="preserve">http://en.wikipedia.org/wiki/Guinea	</v>
      <v xml:space="preserve">http://creativecommons.org/licenses/by-sa/3.0/	</v>
    </spb>
    <spb s="0">
      <v xml:space="preserve">Cia	</v>
      <v xml:space="preserve">	</v>
      <v xml:space="preserve">https://www.cia.gov/library/publications/the-world-factbook/geos/gv.html?Transportation	</v>
      <v xml:space="preserve">	</v>
    </spb>
    <spb s="26">
      <v>0</v>
      <v>151</v>
      <v>152</v>
      <v>152</v>
      <v>3</v>
      <v>152</v>
      <v>152</v>
      <v>152</v>
      <v>153</v>
      <v>152</v>
      <v>152</v>
      <v>152</v>
      <v>152</v>
      <v>154</v>
      <v>6</v>
      <v>151</v>
      <v>154</v>
      <v>7</v>
      <v>152</v>
      <v>154</v>
      <v>8</v>
      <v>9</v>
      <v>40</v>
      <v>154</v>
      <v>154</v>
      <v>152</v>
      <v>154</v>
      <v>10</v>
      <v>11</v>
      <v>12</v>
      <v>154</v>
      <v>154</v>
      <v>154</v>
      <v>154</v>
      <v>154</v>
      <v>154</v>
      <v>154</v>
      <v>154</v>
      <v>154</v>
      <v>154</v>
      <v>13</v>
    </spb>
    <spb s="21">
      <v>2019</v>
      <v>2019</v>
      <v>square km</v>
      <v>per thousand (2018)</v>
      <v>2025</v>
      <v>2019</v>
      <v>2018</v>
      <v>per liter (2016)</v>
      <v>2019</v>
      <v>years (2018)</v>
      <v>1992</v>
      <v>per thousand (2018)</v>
      <v>2019</v>
      <v>2017</v>
      <v>2016</v>
      <v>2019</v>
      <v>2016</v>
      <v>2016</v>
      <v>kilotons per year (2016)</v>
      <v>deaths per 100,000 (2017)</v>
      <v>2012</v>
      <v>2012</v>
      <v>2012</v>
      <v>2012</v>
      <v>2012</v>
      <v>2015</v>
      <v>2012</v>
      <v>2012</v>
      <v>2016</v>
      <v>2014</v>
      <v>2019</v>
    </spb>
    <spb s="0">
      <v xml:space="preserve">Wikipedia	Cia	travel.state.gov	</v>
      <v xml:space="preserve">CC-BY-SA			</v>
      <v xml:space="preserve">http://en.wikipedia.org/wiki/South_Sudan	https://www.cia.gov/library/publications/the-world-factbook/geos/od.html?Transportation	https://travel.state.gov/content/travel/en/international-travel/International-Travel-Country-Information-Pages/SouthSudan.html	</v>
      <v xml:space="preserve">http://creativecommons.org/licenses/by-sa/3.0/			</v>
    </spb>
    <spb s="0">
      <v xml:space="preserve">Wikipedia	</v>
      <v xml:space="preserve">CC BY-SA 3.0	</v>
      <v xml:space="preserve">https://en.wikipedia.org/wiki/South_Sudan	</v>
      <v xml:space="preserve">https://creativecommons.org/licenses/by-sa/3.0	</v>
    </spb>
    <spb s="0">
      <v xml:space="preserve">Wikipedia	</v>
      <v xml:space="preserve">CC-BY-SA	</v>
      <v xml:space="preserve">http://en.wikipedia.org/wiki/South_Sudan	</v>
      <v xml:space="preserve">http://creativecommons.org/licenses/by-sa/3.0/	</v>
    </spb>
    <spb s="0">
      <v xml:space="preserve">Cia	</v>
      <v xml:space="preserve">	</v>
      <v xml:space="preserve">https://www.cia.gov/library/publications/the-world-factbook/geos/od.html?Transportation	</v>
      <v xml:space="preserve">	</v>
    </spb>
    <spb s="30">
      <v>0</v>
      <v>157</v>
      <v>158</v>
      <v>158</v>
      <v>3</v>
      <v>158</v>
      <v>158</v>
      <v>158</v>
      <v>159</v>
      <v>158</v>
      <v>158</v>
      <v>158</v>
      <v>158</v>
      <v>160</v>
      <v>6</v>
      <v>157</v>
      <v>160</v>
      <v>7</v>
      <v>158</v>
      <v>8</v>
      <v>9</v>
      <v>40</v>
      <v>160</v>
      <v>158</v>
      <v>11</v>
      <v>12</v>
      <v>41</v>
      <v>160</v>
      <v>160</v>
      <v>160</v>
      <v>160</v>
      <v>160</v>
      <v>160</v>
      <v>160</v>
      <v>160</v>
      <v>160</v>
      <v>160</v>
      <v>13</v>
    </spb>
    <spb s="2">
      <v>13</v>
      <v>Name</v>
      <v>LearnMoreOnLink</v>
    </spb>
    <spb s="31">
      <v>2017</v>
      <v>2015</v>
      <v>square km</v>
      <v>per thousand (2018)</v>
      <v>2025</v>
      <v>2017</v>
      <v>2018</v>
      <v>per liter (2016)</v>
      <v>2019</v>
      <v>years (2018)</v>
      <v>per thousand (2018)</v>
      <v>2019</v>
      <v>2017</v>
      <v>2019</v>
      <v>kilotons per year (2016)</v>
      <v>deaths per 100,000 (2017)</v>
      <v>kWh (2014)</v>
      <v>2014</v>
      <v>2009</v>
      <v>2009</v>
      <v>2009</v>
      <v>2009</v>
      <v>2009</v>
      <v>2015</v>
      <v>2009</v>
      <v>2009</v>
      <v>2015</v>
      <v>2019</v>
    </spb>
    <spb s="0">
      <v xml:space="preserve">Wikipedia	Cia	travel.state.gov	</v>
      <v xml:space="preserve">CC-BY-SA			</v>
      <v xml:space="preserve">http://en.wikipedia.org/wiki/Zimbabwe	https://www.cia.gov/library/publications/the-world-factbook/geos/zi.html?Transportation	https://travel.state.gov/content/travel/en/international-travel/International-Travel-Country-Information-Pages/Zimbabwe.html	</v>
      <v xml:space="preserve">http://creativecommons.org/licenses/by-sa/3.0/			</v>
    </spb>
    <spb s="0">
      <v xml:space="preserve">Wikipedia	</v>
      <v xml:space="preserve">CC BY-SA 3.0	</v>
      <v xml:space="preserve">https://en.wikipedia.org/wiki/Zimbabwe	</v>
      <v xml:space="preserve">https://creativecommons.org/licenses/by-sa/3.0	</v>
    </spb>
    <spb s="0">
      <v xml:space="preserve">Wikipedia	</v>
      <v xml:space="preserve">CC-BY-SA	</v>
      <v xml:space="preserve">http://en.wikipedia.org/wiki/Zimbabwe	</v>
      <v xml:space="preserve">http://creativecommons.org/licenses/by-sa/3.0/	</v>
    </spb>
    <spb s="0">
      <v xml:space="preserve">Cia	</v>
      <v xml:space="preserve">	</v>
      <v xml:space="preserve">https://www.cia.gov/library/publications/the-world-factbook/geos/zi.html?Transportation	</v>
      <v xml:space="preserve">	</v>
    </spb>
    <spb s="32">
      <v>0</v>
      <v>164</v>
      <v>165</v>
      <v>165</v>
      <v>3</v>
      <v>165</v>
      <v>165</v>
      <v>165</v>
      <v>166</v>
      <v>165</v>
      <v>165</v>
      <v>165</v>
      <v>165</v>
      <v>167</v>
      <v>6</v>
      <v>164</v>
      <v>167</v>
      <v>7</v>
      <v>165</v>
      <v>167</v>
      <v>8</v>
      <v>9</v>
      <v>40</v>
      <v>167</v>
      <v>167</v>
      <v>165</v>
      <v>167</v>
      <v>10</v>
      <v>11</v>
      <v>12</v>
      <v>41</v>
      <v>167</v>
      <v>164</v>
      <v>167</v>
      <v>167</v>
      <v>167</v>
      <v>167</v>
      <v>167</v>
      <v>167</v>
      <v>167</v>
      <v>167</v>
      <v>167</v>
      <v>167</v>
      <v>13</v>
    </spb>
    <spb s="2">
      <v>14</v>
      <v>Name</v>
      <v>LearnMoreOnLink</v>
    </spb>
    <spb s="23">
      <v>2017</v>
      <v>2019</v>
      <v>square km</v>
      <v>per thousand (2018)</v>
      <v>2025</v>
      <v>2017</v>
      <v>2018</v>
      <v>per liter (2016)</v>
      <v>2019</v>
      <v>years (2018)</v>
      <v>2018</v>
      <v>per thousand (2018)</v>
      <v>2019</v>
      <v>2017</v>
      <v>2016</v>
      <v>2019</v>
      <v>2016</v>
      <v>2018</v>
      <v>kilotons per year (2016)</v>
      <v>deaths per 100,000 (2017)</v>
      <v>kWh (2014)</v>
      <v>2013</v>
      <v>1999</v>
      <v>2017</v>
      <v>2017</v>
      <v>2017</v>
      <v>2017</v>
      <v>2017</v>
      <v>2015</v>
      <v>2017</v>
      <v>2017</v>
      <v>2013</v>
      <v>2015</v>
      <v>2019</v>
    </spb>
    <spb s="0">
      <v xml:space="preserve">Wikipedia	Cia	travel.state.gov	</v>
      <v xml:space="preserve">CC-BY-SA			</v>
      <v xml:space="preserve">http://en.wikipedia.org/wiki/Malawi	https://www.cia.gov/library/publications/the-world-factbook/geos/mi.html?Transportation	https://travel.state.gov/content/travel/en/international-travel/International-Travel-Country-Information-Pages/Malawi.html	</v>
      <v xml:space="preserve">http://creativecommons.org/licenses/by-sa/3.0/			</v>
    </spb>
    <spb s="0">
      <v xml:space="preserve">Wikipedia	</v>
      <v xml:space="preserve">CC BY-SA 3.0	</v>
      <v xml:space="preserve">https://en.wikipedia.org/wiki/Malawi	</v>
      <v xml:space="preserve">https://creativecommons.org/licenses/by-sa/3.0	</v>
    </spb>
    <spb s="0">
      <v xml:space="preserve">Wikipedia	</v>
      <v xml:space="preserve">CC-BY-SA	</v>
      <v xml:space="preserve">http://en.wikipedia.org/wiki/Malawi	</v>
      <v xml:space="preserve">http://creativecommons.org/licenses/by-sa/3.0/	</v>
    </spb>
    <spb s="0">
      <v xml:space="preserve">Cia	</v>
      <v xml:space="preserve">	</v>
      <v xml:space="preserve">https://www.cia.gov/library/publications/the-world-factbook/geos/mi.html?Transportation	</v>
      <v xml:space="preserve">	</v>
    </spb>
    <spb s="20">
      <v>0</v>
      <v>171</v>
      <v>172</v>
      <v>172</v>
      <v>3</v>
      <v>172</v>
      <v>172</v>
      <v>172</v>
      <v>173</v>
      <v>172</v>
      <v>172</v>
      <v>173</v>
      <v>172</v>
      <v>172</v>
      <v>174</v>
      <v>6</v>
      <v>171</v>
      <v>174</v>
      <v>7</v>
      <v>172</v>
      <v>174</v>
      <v>8</v>
      <v>9</v>
      <v>40</v>
      <v>174</v>
      <v>174</v>
      <v>172</v>
      <v>174</v>
      <v>10</v>
      <v>11</v>
      <v>12</v>
      <v>174</v>
      <v>174</v>
      <v>174</v>
      <v>174</v>
      <v>174</v>
      <v>174</v>
      <v>174</v>
      <v>174</v>
      <v>174</v>
      <v>174</v>
      <v>13</v>
    </spb>
    <spb s="2">
      <v>15</v>
      <v>Name</v>
      <v>LearnMoreOnLink</v>
    </spb>
    <spb s="21">
      <v>2019</v>
      <v>2019</v>
      <v>square km</v>
      <v>per thousand (2018)</v>
      <v>2025</v>
      <v>2019</v>
      <v>2018</v>
      <v>per liter (2016)</v>
      <v>2019</v>
      <v>years (2018)</v>
      <v>2019</v>
      <v>per thousand (2018)</v>
      <v>2019</v>
      <v>2017</v>
      <v>2016</v>
      <v>2019</v>
      <v>2016</v>
      <v>2018</v>
      <v>kilotons per year (2016)</v>
      <v>deaths per 100,000 (2017)</v>
      <v>2016</v>
      <v>2016</v>
      <v>2016</v>
      <v>2016</v>
      <v>2016</v>
      <v>2015</v>
      <v>2016</v>
      <v>2016</v>
      <v>2018</v>
      <v>2011</v>
      <v>2019</v>
    </spb>
    <spb s="0">
      <v xml:space="preserve">Wikipedia	Cia	travel.state.gov	</v>
      <v xml:space="preserve">CC-BY-SA			</v>
      <v xml:space="preserve">http://en.wikipedia.org/wiki/Uganda	https://www.cia.gov/library/publications/the-world-factbook/geos/ug.html?Transportation	https://travel.state.gov/content/travel/en/international-travel/International-Travel-Country-Information-Pages/Uganda.html	</v>
      <v xml:space="preserve">http://creativecommons.org/licenses/by-sa/3.0/			</v>
    </spb>
    <spb s="0">
      <v xml:space="preserve">Wikipedia	</v>
      <v xml:space="preserve">CC BY-SA 3.0	</v>
      <v xml:space="preserve">https://en.wikipedia.org/wiki/Uganda	</v>
      <v xml:space="preserve">https://creativecommons.org/licenses/by-sa/3.0	</v>
    </spb>
    <spb s="0">
      <v xml:space="preserve">Wikipedia	</v>
      <v xml:space="preserve">CC-BY-SA	</v>
      <v xml:space="preserve">http://en.wikipedia.org/wiki/Uganda	</v>
      <v xml:space="preserve">http://creativecommons.org/licenses/by-sa/3.0/	</v>
    </spb>
    <spb s="0">
      <v xml:space="preserve">Cia	</v>
      <v xml:space="preserve">	</v>
      <v xml:space="preserve">https://www.cia.gov/library/publications/the-world-factbook/geos/ug.html?Transportation	</v>
      <v xml:space="preserve">	</v>
    </spb>
    <spb s="20">
      <v>0</v>
      <v>178</v>
      <v>179</v>
      <v>179</v>
      <v>3</v>
      <v>179</v>
      <v>179</v>
      <v>179</v>
      <v>180</v>
      <v>179</v>
      <v>179</v>
      <v>180</v>
      <v>179</v>
      <v>179</v>
      <v>181</v>
      <v>6</v>
      <v>178</v>
      <v>181</v>
      <v>7</v>
      <v>179</v>
      <v>181</v>
      <v>8</v>
      <v>9</v>
      <v>40</v>
      <v>181</v>
      <v>181</v>
      <v>179</v>
      <v>181</v>
      <v>10</v>
      <v>11</v>
      <v>12</v>
      <v>181</v>
      <v>181</v>
      <v>181</v>
      <v>181</v>
      <v>181</v>
      <v>181</v>
      <v>181</v>
      <v>181</v>
      <v>181</v>
      <v>181</v>
      <v>13</v>
    </spb>
    <spb s="21">
      <v>2019</v>
      <v>2019</v>
      <v>square km</v>
      <v>per thousand (2018)</v>
      <v>2025</v>
      <v>2019</v>
      <v>2018</v>
      <v>per liter (2016)</v>
      <v>2019</v>
      <v>years (2018)</v>
      <v>2018</v>
      <v>per thousand (2018)</v>
      <v>2019</v>
      <v>2017</v>
      <v>2016</v>
      <v>2019</v>
      <v>2016</v>
      <v>2017</v>
      <v>kilotons per year (2016)</v>
      <v>deaths per 100,000 (2017)</v>
      <v>2016</v>
      <v>2016</v>
      <v>2016</v>
      <v>2016</v>
      <v>2016</v>
      <v>2015</v>
      <v>2016</v>
      <v>2016</v>
      <v>2017</v>
      <v>2014</v>
      <v>2019</v>
    </spb>
    <spb s="0">
      <v xml:space="preserve">Wikipedia	Cia	travel.state.gov	</v>
      <v xml:space="preserve">CC-BY-SA			</v>
      <v xml:space="preserve">http://en.wikipedia.org/wiki/Madagascar	https://www.cia.gov/library/publications/the-world-factbook/geos/ma.html?Transportation	https://travel.state.gov/content/travel/en/international-travel/International-Travel-Country-Information-Pages/Madagascar.html	</v>
      <v xml:space="preserve">http://creativecommons.org/licenses/by-sa/3.0/			</v>
    </spb>
    <spb s="0">
      <v xml:space="preserve">Wikipedia	</v>
      <v xml:space="preserve">CC BY-SA 3.0	</v>
      <v xml:space="preserve">https://en.wikipedia.org/wiki/Madagascar	</v>
      <v xml:space="preserve">https://creativecommons.org/licenses/by-sa/3.0	</v>
    </spb>
    <spb s="0">
      <v xml:space="preserve">Wikipedia	</v>
      <v xml:space="preserve">CC-BY-SA	</v>
      <v xml:space="preserve">http://en.wikipedia.org/wiki/Madagascar	</v>
      <v xml:space="preserve">http://creativecommons.org/licenses/by-sa/3.0/	</v>
    </spb>
    <spb s="0">
      <v xml:space="preserve">Cia	</v>
      <v xml:space="preserve">	</v>
      <v xml:space="preserve">https://www.cia.gov/library/publications/the-world-factbook/geos/ma.html?Transportation	</v>
      <v xml:space="preserve">	</v>
    </spb>
    <spb s="20">
      <v>0</v>
      <v>184</v>
      <v>185</v>
      <v>185</v>
      <v>3</v>
      <v>185</v>
      <v>185</v>
      <v>185</v>
      <v>186</v>
      <v>185</v>
      <v>185</v>
      <v>186</v>
      <v>185</v>
      <v>185</v>
      <v>187</v>
      <v>6</v>
      <v>184</v>
      <v>187</v>
      <v>7</v>
      <v>185</v>
      <v>187</v>
      <v>8</v>
      <v>9</v>
      <v>40</v>
      <v>187</v>
      <v>187</v>
      <v>185</v>
      <v>187</v>
      <v>10</v>
      <v>11</v>
      <v>12</v>
      <v>187</v>
      <v>187</v>
      <v>187</v>
      <v>187</v>
      <v>187</v>
      <v>187</v>
      <v>187</v>
      <v>187</v>
      <v>187</v>
      <v>187</v>
      <v>13</v>
    </spb>
    <spb s="21">
      <v>2019</v>
      <v>2019</v>
      <v>square km</v>
      <v>per thousand (2018)</v>
      <v>2025</v>
      <v>2019</v>
      <v>2018</v>
      <v>per liter (2016)</v>
      <v>2019</v>
      <v>years (2018)</v>
      <v>2018</v>
      <v>per thousand (2018)</v>
      <v>2019</v>
      <v>2017</v>
      <v>2016</v>
      <v>2019</v>
      <v>2016</v>
      <v>2014</v>
      <v>kilotons per year (2016)</v>
      <v>deaths per 100,000 (2017)</v>
      <v>2012</v>
      <v>2012</v>
      <v>2012</v>
      <v>2012</v>
      <v>2012</v>
      <v>2015</v>
      <v>2012</v>
      <v>2012</v>
      <v>2018</v>
      <v>2018</v>
      <v>2019</v>
    </spb>
    <spb s="0">
      <v xml:space="preserve">Wikipedia	Cia	travel.state.gov	</v>
      <v xml:space="preserve">CC-BY-SA			</v>
      <v xml:space="preserve">http://en.wikipedia.org/wiki/Ghana	https://www.cia.gov/library/publications/the-world-factbook/geos/gh.html?Transportation	https://travel.state.gov/content/travel/en/international-travel/International-Travel-Country-Information-Pages/Ghana.html	</v>
      <v xml:space="preserve">http://creativecommons.org/licenses/by-sa/3.0/			</v>
    </spb>
    <spb s="0">
      <v xml:space="preserve">Wikipedia	</v>
      <v xml:space="preserve">CC BY-SA 3.0	</v>
      <v xml:space="preserve">https://en.wikipedia.org/wiki/Ghana	</v>
      <v xml:space="preserve">https://creativecommons.org/licenses/by-sa/3.0	</v>
    </spb>
    <spb s="0">
      <v xml:space="preserve">Wikipedia	</v>
      <v xml:space="preserve">CC-BY-SA	</v>
      <v xml:space="preserve">http://en.wikipedia.org/wiki/Ghana	</v>
      <v xml:space="preserve">http://creativecommons.org/licenses/by-sa/3.0/	</v>
    </spb>
    <spb s="0">
      <v xml:space="preserve">Cia	</v>
      <v xml:space="preserve">	</v>
      <v xml:space="preserve">https://www.cia.gov/library/publications/the-world-factbook/geos/gh.html?Transportation	</v>
      <v xml:space="preserve">	</v>
    </spb>
    <spb s="22">
      <v>0</v>
      <v>190</v>
      <v>191</v>
      <v>191</v>
      <v>3</v>
      <v>191</v>
      <v>191</v>
      <v>191</v>
      <v>192</v>
      <v>191</v>
      <v>191</v>
      <v>192</v>
      <v>191</v>
      <v>191</v>
      <v>193</v>
      <v>6</v>
      <v>190</v>
      <v>193</v>
      <v>7</v>
      <v>191</v>
      <v>193</v>
      <v>8</v>
      <v>9</v>
      <v>40</v>
      <v>193</v>
      <v>193</v>
      <v>191</v>
      <v>193</v>
      <v>10</v>
      <v>11</v>
      <v>12</v>
      <v>41</v>
      <v>193</v>
      <v>190</v>
      <v>193</v>
      <v>193</v>
      <v>193</v>
      <v>193</v>
      <v>193</v>
      <v>193</v>
      <v>193</v>
      <v>193</v>
      <v>193</v>
      <v>193</v>
      <v>13</v>
    </spb>
    <spb s="23">
      <v>2019</v>
      <v>2019</v>
      <v>square km</v>
      <v>per thousand (2018)</v>
      <v>2025</v>
      <v>2019</v>
      <v>2018</v>
      <v>per liter (2016)</v>
      <v>2019</v>
      <v>years (2018)</v>
      <v>2018</v>
      <v>per thousand (2018)</v>
      <v>2019</v>
      <v>2017</v>
      <v>2016</v>
      <v>2019</v>
      <v>2016</v>
      <v>2017</v>
      <v>kilotons per year (2016)</v>
      <v>deaths per 100,000 (2017)</v>
      <v>kWh (2014)</v>
      <v>2014</v>
      <v>2011</v>
      <v>2016</v>
      <v>2016</v>
      <v>2016</v>
      <v>2016</v>
      <v>2016</v>
      <v>2015</v>
      <v>2016</v>
      <v>2016</v>
      <v>2019</v>
      <v>2018</v>
      <v>2019</v>
    </spb>
    <spb s="0">
      <v xml:space="preserve">Wikipedia	Cia	travel.state.gov	</v>
      <v xml:space="preserve">CC-BY-SA			</v>
      <v xml:space="preserve">http://en.wikipedia.org/wiki/Lesotho	https://www.cia.gov/library/publications/the-world-factbook/geos/lt.html?Transportation	https://travel.state.gov/content/travel/en/international-travel/International-Travel-Country-Information-Pages/Lesotho.html	</v>
      <v xml:space="preserve">http://creativecommons.org/licenses/by-sa/3.0/			</v>
    </spb>
    <spb s="0">
      <v xml:space="preserve">Wikipedia	</v>
      <v xml:space="preserve">CC BY-SA 3.0	</v>
      <v xml:space="preserve">https://en.wikipedia.org/wiki/Lesotho	</v>
      <v xml:space="preserve">https://creativecommons.org/licenses/by-sa/3.0	</v>
    </spb>
    <spb s="0">
      <v xml:space="preserve">Wikipedia	</v>
      <v xml:space="preserve">CC-BY-SA	</v>
      <v xml:space="preserve">http://en.wikipedia.org/wiki/Lesotho	</v>
      <v xml:space="preserve">http://creativecommons.org/licenses/by-sa/3.0/	</v>
    </spb>
    <spb s="0">
      <v xml:space="preserve">Cia	</v>
      <v xml:space="preserve">	</v>
      <v xml:space="preserve">https://www.cia.gov/library/publications/the-world-factbook/geos/lt.html?Transportation	</v>
      <v xml:space="preserve">	</v>
    </spb>
    <spb s="33">
      <v>0</v>
      <v>196</v>
      <v>197</v>
      <v>197</v>
      <v>3</v>
      <v>197</v>
      <v>197</v>
      <v>197</v>
      <v>198</v>
      <v>197</v>
      <v>197</v>
      <v>198</v>
      <v>197</v>
      <v>197</v>
      <v>199</v>
      <v>6</v>
      <v>196</v>
      <v>199</v>
      <v>7</v>
      <v>197</v>
      <v>199</v>
      <v>8</v>
      <v>9</v>
      <v>40</v>
      <v>199</v>
      <v>199</v>
      <v>197</v>
      <v>199</v>
      <v>10</v>
      <v>11</v>
      <v>12</v>
      <v>199</v>
      <v>199</v>
      <v>199</v>
      <v>199</v>
      <v>199</v>
      <v>199</v>
      <v>199</v>
      <v>199</v>
      <v>199</v>
      <v>199</v>
      <v>199</v>
      <v>13</v>
    </spb>
    <spb s="29">
      <v>2019</v>
      <v>2019</v>
      <v>square km</v>
      <v>per thousand (2018)</v>
      <v>2025</v>
      <v>2019</v>
      <v>2018</v>
      <v>per liter (2016)</v>
      <v>2019</v>
      <v>years (2018)</v>
      <v>2018</v>
      <v>per thousand (2018)</v>
      <v>2019</v>
      <v>2017</v>
      <v>2016</v>
      <v>2019</v>
      <v>2016</v>
      <v>2010</v>
      <v>kilotons per year (2016)</v>
      <v>deaths per 100,000 (2017)</v>
      <v>2007</v>
      <v>2017</v>
      <v>2017</v>
      <v>2017</v>
      <v>2017</v>
      <v>2017</v>
      <v>2015</v>
      <v>2017</v>
      <v>2017</v>
      <v>2017</v>
      <v>2018</v>
      <v>2019</v>
    </spb>
    <spb s="0">
      <v xml:space="preserve">Wikipedia	Cia	travel.state.gov	</v>
      <v xml:space="preserve">CC-BY-SA			</v>
      <v xml:space="preserve">http://en.wikipedia.org/wiki/Tanzania	https://www.cia.gov/library/publications/the-world-factbook/geos/tz.html?Transportation	https://travel.state.gov/content/travel/en/international-travel/International-Travel-Country-Information-Pages/Tanzania.html	</v>
      <v xml:space="preserve">http://creativecommons.org/licenses/by-sa/3.0/			</v>
    </spb>
    <spb s="0">
      <v xml:space="preserve">Wikipedia	</v>
      <v xml:space="preserve">CC BY-SA 3.0	</v>
      <v xml:space="preserve">https://en.wikipedia.org/wiki/Tanzania	</v>
      <v xml:space="preserve">https://creativecommons.org/licenses/by-sa/3.0	</v>
    </spb>
    <spb s="0">
      <v xml:space="preserve">Wikipedia	</v>
      <v xml:space="preserve">CC-BY-SA	</v>
      <v xml:space="preserve">http://en.wikipedia.org/wiki/Tanzania	</v>
      <v xml:space="preserve">http://creativecommons.org/licenses/by-sa/3.0/	</v>
    </spb>
    <spb s="0">
      <v xml:space="preserve">Cia	</v>
      <v xml:space="preserve">	</v>
      <v xml:space="preserve">https://www.cia.gov/library/publications/the-world-factbook/geos/tz.html?Transportation	</v>
      <v xml:space="preserve">	</v>
    </spb>
    <spb s="22">
      <v>0</v>
      <v>202</v>
      <v>203</v>
      <v>203</v>
      <v>3</v>
      <v>203</v>
      <v>203</v>
      <v>203</v>
      <v>204</v>
      <v>203</v>
      <v>203</v>
      <v>204</v>
      <v>203</v>
      <v>203</v>
      <v>205</v>
      <v>6</v>
      <v>202</v>
      <v>205</v>
      <v>7</v>
      <v>203</v>
      <v>205</v>
      <v>8</v>
      <v>9</v>
      <v>40</v>
      <v>205</v>
      <v>205</v>
      <v>203</v>
      <v>205</v>
      <v>10</v>
      <v>11</v>
      <v>12</v>
      <v>41</v>
      <v>205</v>
      <v>202</v>
      <v>205</v>
      <v>205</v>
      <v>205</v>
      <v>205</v>
      <v>205</v>
      <v>205</v>
      <v>205</v>
      <v>205</v>
      <v>205</v>
      <v>205</v>
      <v>13</v>
    </spb>
    <spb s="23">
      <v>2019</v>
      <v>2019</v>
      <v>square km</v>
      <v>per thousand (2018)</v>
      <v>2025</v>
      <v>2019</v>
      <v>2018</v>
      <v>per liter (2016)</v>
      <v>2019</v>
      <v>years (2018)</v>
      <v>2018</v>
      <v>per thousand (2018)</v>
      <v>2019</v>
      <v>2017</v>
      <v>2016</v>
      <v>2019</v>
      <v>2016</v>
      <v>2016</v>
      <v>kilotons per year (2016)</v>
      <v>deaths per 100,000 (2017)</v>
      <v>kWh (2014)</v>
      <v>2014</v>
      <v>2001</v>
      <v>2017</v>
      <v>2017</v>
      <v>2017</v>
      <v>2017</v>
      <v>2017</v>
      <v>2015</v>
      <v>2017</v>
      <v>2017</v>
      <v>2018</v>
      <v>2015</v>
      <v>2019</v>
    </spb>
    <spb s="0">
      <v xml:space="preserve">Wikipedia	Cia	travel.state.gov	</v>
      <v xml:space="preserve">CC-BY-SA			</v>
      <v xml:space="preserve">http://en.wikipedia.org/wiki/Burkina_Faso	https://www.cia.gov/library/publications/the-world-factbook/geos/uv.html?Transportation	https://travel.state.gov/content/travel/en/international-travel/International-Travel-Country-Information-Pages/BurkinaFaso.html	</v>
      <v xml:space="preserve">http://creativecommons.org/licenses/by-sa/3.0/			</v>
    </spb>
    <spb s="0">
      <v xml:space="preserve">Wikipedia	</v>
      <v xml:space="preserve">CC BY-SA 3.0	</v>
      <v xml:space="preserve">https://en.wikipedia.org/wiki/Burkina_Faso	</v>
      <v xml:space="preserve">https://creativecommons.org/licenses/by-sa/3.0	</v>
    </spb>
    <spb s="0">
      <v xml:space="preserve">Wikipedia	</v>
      <v xml:space="preserve">CC-BY-SA	</v>
      <v xml:space="preserve">http://en.wikipedia.org/wiki/Burkina_Faso	</v>
      <v xml:space="preserve">http://creativecommons.org/licenses/by-sa/3.0/	</v>
    </spb>
    <spb s="0">
      <v xml:space="preserve">Cia	</v>
      <v xml:space="preserve">	</v>
      <v xml:space="preserve">https://www.cia.gov/library/publications/the-world-factbook/geos/uv.html?Transportation	</v>
      <v xml:space="preserve">	</v>
    </spb>
    <spb s="20">
      <v>0</v>
      <v>208</v>
      <v>209</v>
      <v>209</v>
      <v>3</v>
      <v>209</v>
      <v>209</v>
      <v>209</v>
      <v>210</v>
      <v>209</v>
      <v>209</v>
      <v>210</v>
      <v>209</v>
      <v>209</v>
      <v>211</v>
      <v>6</v>
      <v>208</v>
      <v>211</v>
      <v>7</v>
      <v>209</v>
      <v>211</v>
      <v>8</v>
      <v>9</v>
      <v>40</v>
      <v>211</v>
      <v>211</v>
      <v>209</v>
      <v>211</v>
      <v>10</v>
      <v>11</v>
      <v>12</v>
      <v>211</v>
      <v>211</v>
      <v>211</v>
      <v>211</v>
      <v>211</v>
      <v>211</v>
      <v>211</v>
      <v>211</v>
      <v>211</v>
      <v>211</v>
      <v>13</v>
    </spb>
    <spb s="21">
      <v>2019</v>
      <v>2019</v>
      <v>square km</v>
      <v>per thousand (2018)</v>
      <v>2025</v>
      <v>2019</v>
      <v>2018</v>
      <v>per liter (2016)</v>
      <v>2019</v>
      <v>years (2018)</v>
      <v>2018</v>
      <v>per thousand (2018)</v>
      <v>2019</v>
      <v>2017</v>
      <v>2016</v>
      <v>2019</v>
      <v>2016</v>
      <v>2017</v>
      <v>kilotons per year (2016)</v>
      <v>deaths per 100,000 (2017)</v>
      <v>2014</v>
      <v>2014</v>
      <v>2014</v>
      <v>2014</v>
      <v>2014</v>
      <v>2015</v>
      <v>2014</v>
      <v>2014</v>
      <v>2018</v>
      <v>2018</v>
      <v>2019</v>
    </spb>
    <spb s="0">
      <v xml:space="preserve">Wikipedia	Cia	travel.state.gov	</v>
      <v xml:space="preserve">CC-BY-SA			</v>
      <v xml:space="preserve">http://en.wikipedia.org/wiki/Benin	https://www.cia.gov/library/publications/the-world-factbook/geos/bn.html?Transportation	https://travel.state.gov/content/travel/en/international-travel/International-Travel-Country-Information-Pages/Benin.html	</v>
      <v xml:space="preserve">http://creativecommons.org/licenses/by-sa/3.0/			</v>
    </spb>
    <spb s="0">
      <v xml:space="preserve">Wikipedia	</v>
      <v xml:space="preserve">CC BY-SA 3.0	</v>
      <v xml:space="preserve">https://en.wikipedia.org/wiki/Benin	</v>
      <v xml:space="preserve">https://creativecommons.org/licenses/by-sa/3.0	</v>
    </spb>
    <spb s="0">
      <v xml:space="preserve">Wikipedia	</v>
      <v xml:space="preserve">CC-BY-SA	</v>
      <v xml:space="preserve">http://en.wikipedia.org/wiki/Benin	</v>
      <v xml:space="preserve">http://creativecommons.org/licenses/by-sa/3.0/	</v>
    </spb>
    <spb s="0">
      <v xml:space="preserve">Cia	</v>
      <v xml:space="preserve">	</v>
      <v xml:space="preserve">https://www.cia.gov/library/publications/the-world-factbook/geos/bn.html?Transportation	</v>
      <v xml:space="preserve">	</v>
    </spb>
    <spb s="11">
      <v>0</v>
      <v>214</v>
      <v>215</v>
      <v>215</v>
      <v>3</v>
      <v>215</v>
      <v>215</v>
      <v>215</v>
      <v>216</v>
      <v>215</v>
      <v>215</v>
      <v>216</v>
      <v>215</v>
      <v>215</v>
      <v>217</v>
      <v>6</v>
      <v>214</v>
      <v>217</v>
      <v>7</v>
      <v>215</v>
      <v>217</v>
      <v>8</v>
      <v>9</v>
      <v>40</v>
      <v>217</v>
      <v>217</v>
      <v>215</v>
      <v>217</v>
      <v>10</v>
      <v>11</v>
      <v>12</v>
      <v>41</v>
      <v>217</v>
      <v>217</v>
      <v>217</v>
      <v>217</v>
      <v>217</v>
      <v>217</v>
      <v>217</v>
      <v>217</v>
      <v>217</v>
      <v>217</v>
      <v>217</v>
      <v>13</v>
    </spb>
    <spb s="12">
      <v>2019</v>
      <v>2019</v>
      <v>square km</v>
      <v>per thousand (2018)</v>
      <v>2025</v>
      <v>2019</v>
      <v>2018</v>
      <v>per liter (2016)</v>
      <v>2019</v>
      <v>years (2018)</v>
      <v>1979</v>
      <v>per thousand (2018)</v>
      <v>2019</v>
      <v>2017</v>
      <v>2016</v>
      <v>2019</v>
      <v>2016</v>
      <v>2018</v>
      <v>kilotons per year (2016)</v>
      <v>deaths per 100,000 (2017)</v>
      <v>kWh (2014)</v>
      <v>2014</v>
      <v>2015</v>
      <v>2015</v>
      <v>2015</v>
      <v>2015</v>
      <v>2015</v>
      <v>2015</v>
      <v>2015</v>
      <v>2015</v>
      <v>2018</v>
      <v>2017</v>
      <v>2019</v>
    </spb>
    <spb s="0">
      <v xml:space="preserve">Wikipedia	Wikipedia	Cia	travel.state.gov	</v>
      <v xml:space="preserve">CC-BY-SA	CC-BY-SA			</v>
      <v xml:space="preserve">http://en.wikipedia.org/wiki/São_Tomé_and_Príncipe	http://lv.wikipedia.org/wiki/Santome_un_Prinsipi	https://www.cia.gov/library/publications/the-world-factbook/geos/tp.html?Transportation	https://travel.state.gov/content/travel/en/international-travel/International-Travel-Country-Information-Pages/SaoTomeandPrincipe.html	</v>
      <v xml:space="preserve">http://creativecommons.org/licenses/by-sa/3.0/	http://creativecommons.org/licenses/by-sa/3.0/			</v>
    </spb>
    <spb s="0">
      <v xml:space="preserve">Wikipedia	</v>
      <v xml:space="preserve">CC BY-SA 3.0	</v>
      <v xml:space="preserve">https://en.wikipedia.org/wiki/S%C3%A3o_Tom%C3%A9_and_Pr%C3%ADncipe	</v>
      <v xml:space="preserve">https://creativecommons.org/licenses/by-sa/3.0	</v>
    </spb>
    <spb s="0">
      <v xml:space="preserve">Wikipedia	</v>
      <v xml:space="preserve">CC-BY-SA	</v>
      <v xml:space="preserve">http://en.wikipedia.org/wiki/São_Tomé_and_Príncipe	</v>
      <v xml:space="preserve">http://creativecommons.org/licenses/by-sa/3.0/	</v>
    </spb>
    <spb s="0">
      <v xml:space="preserve">Cia	</v>
      <v xml:space="preserve">	</v>
      <v xml:space="preserve">https://www.cia.gov/library/publications/the-world-factbook/geos/tp.html?Transportation	</v>
      <v xml:space="preserve">	</v>
    </spb>
    <spb s="34">
      <v>0</v>
      <v>220</v>
      <v>221</v>
      <v>221</v>
      <v>3</v>
      <v>221</v>
      <v>221</v>
      <v>221</v>
      <v>222</v>
      <v>221</v>
      <v>221</v>
      <v>221</v>
      <v>221</v>
      <v>223</v>
      <v>6</v>
      <v>223</v>
      <v>7</v>
      <v>221</v>
      <v>223</v>
      <v>8</v>
      <v>9</v>
      <v>40</v>
      <v>223</v>
      <v>223</v>
      <v>221</v>
      <v>223</v>
      <v>10</v>
      <v>11</v>
      <v>12</v>
      <v>223</v>
      <v>223</v>
      <v>223</v>
      <v>223</v>
      <v>223</v>
      <v>223</v>
      <v>223</v>
      <v>223</v>
      <v>223</v>
      <v>223</v>
      <v>223</v>
      <v>13</v>
    </spb>
    <spb s="2">
      <v>16</v>
      <v>Name</v>
      <v>LearnMoreOnLink</v>
    </spb>
    <spb s="14">
      <v>2018</v>
      <v>2019</v>
      <v>square km</v>
      <v>per thousand (2018)</v>
      <v>2025</v>
      <v>2018</v>
      <v>2018</v>
      <v>2019</v>
      <v>years (2018)</v>
      <v>2012</v>
      <v>per thousand (2018)</v>
      <v>2019</v>
      <v>1999</v>
      <v>2016</v>
      <v>2019</v>
      <v>2016</v>
      <v>2017</v>
      <v>kilotons per year (2016)</v>
      <v>deaths per 100,000 (2017)</v>
      <v>2007</v>
      <v>2017</v>
      <v>2017</v>
      <v>2017</v>
      <v>2017</v>
      <v>2017</v>
      <v>2015</v>
      <v>2017</v>
      <v>2017</v>
      <v>2017</v>
      <v>2015</v>
      <v>2019</v>
    </spb>
    <spb s="0">
      <v xml:space="preserve">Wikipedia	Cia	travel.state.gov	</v>
      <v xml:space="preserve">CC-BY-SA			</v>
      <v xml:space="preserve">http://en.wikipedia.org/wiki/Mozambique	https://www.cia.gov/library/publications/the-world-factbook/geos/mz.html?Transportation	https://travel.state.gov/content/travel/en/international-travel/International-Travel-Country-Information-Pages/Mozambique.html	</v>
      <v xml:space="preserve">http://creativecommons.org/licenses/by-sa/3.0/			</v>
    </spb>
    <spb s="0">
      <v xml:space="preserve">Wikipedia	</v>
      <v xml:space="preserve">CC BY-SA 3.0	</v>
      <v xml:space="preserve">https://en.wikipedia.org/wiki/Mozambique	</v>
      <v xml:space="preserve">https://creativecommons.org/licenses/by-sa/3.0	</v>
    </spb>
    <spb s="0">
      <v xml:space="preserve">Wikipedia	</v>
      <v xml:space="preserve">CC-BY-SA	</v>
      <v xml:space="preserve">http://en.wikipedia.org/wiki/Mozambique	</v>
      <v xml:space="preserve">http://creativecommons.org/licenses/by-sa/3.0/	</v>
    </spb>
    <spb s="0">
      <v xml:space="preserve">Cia	</v>
      <v xml:space="preserve">	</v>
      <v xml:space="preserve">https://www.cia.gov/library/publications/the-world-factbook/geos/mz.html?Transportation	</v>
      <v xml:space="preserve">	</v>
    </spb>
    <spb s="11">
      <v>0</v>
      <v>227</v>
      <v>228</v>
      <v>228</v>
      <v>3</v>
      <v>228</v>
      <v>228</v>
      <v>228</v>
      <v>229</v>
      <v>228</v>
      <v>228</v>
      <v>229</v>
      <v>228</v>
      <v>228</v>
      <v>230</v>
      <v>6</v>
      <v>227</v>
      <v>230</v>
      <v>7</v>
      <v>228</v>
      <v>230</v>
      <v>8</v>
      <v>9</v>
      <v>40</v>
      <v>230</v>
      <v>230</v>
      <v>228</v>
      <v>230</v>
      <v>10</v>
      <v>11</v>
      <v>12</v>
      <v>41</v>
      <v>230</v>
      <v>230</v>
      <v>230</v>
      <v>230</v>
      <v>230</v>
      <v>230</v>
      <v>230</v>
      <v>230</v>
      <v>230</v>
      <v>230</v>
      <v>230</v>
      <v>13</v>
    </spb>
    <spb s="12">
      <v>2019</v>
      <v>2019</v>
      <v>square km</v>
      <v>per thousand (2018)</v>
      <v>2025</v>
      <v>2019</v>
      <v>2018</v>
      <v>per liter (2016)</v>
      <v>2019</v>
      <v>years (2018)</v>
      <v>2018</v>
      <v>per thousand (2018)</v>
      <v>2019</v>
      <v>2017</v>
      <v>2016</v>
      <v>2019</v>
      <v>2016</v>
      <v>2018</v>
      <v>kilotons per year (2016)</v>
      <v>deaths per 100,000 (2017)</v>
      <v>kWh (2014)</v>
      <v>2014</v>
      <v>2014</v>
      <v>2014</v>
      <v>2014</v>
      <v>2014</v>
      <v>2014</v>
      <v>2015</v>
      <v>2014</v>
      <v>2014</v>
      <v>2018</v>
      <v>2018</v>
      <v>2019</v>
    </spb>
    <spb s="0">
      <v xml:space="preserve">Wikipedia	Cia	travel.state.gov	</v>
      <v xml:space="preserve">CC-BY-SA			</v>
      <v xml:space="preserve">http://en.wikipedia.org/wiki/Kenya	https://www.cia.gov/library/publications/the-world-factbook/geos/ke.html?Transportation	https://travel.state.gov/content/travel/en/international-travel/International-Travel-Country-Information-Pages/Kenya.html	</v>
      <v xml:space="preserve">http://creativecommons.org/licenses/by-sa/3.0/			</v>
    </spb>
    <spb s="0">
      <v xml:space="preserve">Wikipedia	</v>
      <v xml:space="preserve">CC BY-SA 3.0	</v>
      <v xml:space="preserve">https://en.wikipedia.org/wiki/Kenya	</v>
      <v xml:space="preserve">https://creativecommons.org/licenses/by-sa/3.0	</v>
    </spb>
    <spb s="0">
      <v xml:space="preserve">Wikipedia	</v>
      <v xml:space="preserve">CC-BY-SA	</v>
      <v xml:space="preserve">http://en.wikipedia.org/wiki/Kenya	</v>
      <v xml:space="preserve">http://creativecommons.org/licenses/by-sa/3.0/	</v>
    </spb>
    <spb s="0">
      <v xml:space="preserve">Cia	</v>
      <v xml:space="preserve">	</v>
      <v xml:space="preserve">https://www.cia.gov/library/publications/the-world-factbook/geos/ke.html?Transportation	</v>
      <v xml:space="preserve">	</v>
    </spb>
    <spb s="22">
      <v>0</v>
      <v>233</v>
      <v>234</v>
      <v>234</v>
      <v>3</v>
      <v>234</v>
      <v>234</v>
      <v>234</v>
      <v>235</v>
      <v>234</v>
      <v>234</v>
      <v>235</v>
      <v>234</v>
      <v>234</v>
      <v>236</v>
      <v>6</v>
      <v>233</v>
      <v>236</v>
      <v>7</v>
      <v>234</v>
      <v>236</v>
      <v>8</v>
      <v>9</v>
      <v>40</v>
      <v>236</v>
      <v>236</v>
      <v>234</v>
      <v>236</v>
      <v>10</v>
      <v>11</v>
      <v>12</v>
      <v>41</v>
      <v>236</v>
      <v>233</v>
      <v>236</v>
      <v>236</v>
      <v>236</v>
      <v>236</v>
      <v>236</v>
      <v>236</v>
      <v>236</v>
      <v>236</v>
      <v>236</v>
      <v>236</v>
      <v>13</v>
    </spb>
    <spb s="23">
      <v>2018</v>
      <v>2019</v>
      <v>square km</v>
      <v>per thousand (2018)</v>
      <v>2025</v>
      <v>2018</v>
      <v>2018</v>
      <v>per liter (2016)</v>
      <v>2019</v>
      <v>years (2018)</v>
      <v>2018</v>
      <v>per thousand (2018)</v>
      <v>2019</v>
      <v>2017</v>
      <v>2016</v>
      <v>2019</v>
      <v>2016</v>
      <v>2018</v>
      <v>kilotons per year (2016)</v>
      <v>deaths per 100,000 (2017)</v>
      <v>kWh (2014)</v>
      <v>2014</v>
      <v>2019</v>
      <v>2015</v>
      <v>2015</v>
      <v>2015</v>
      <v>2015</v>
      <v>2015</v>
      <v>2015</v>
      <v>2015</v>
      <v>2015</v>
      <v>2016</v>
      <v>2017</v>
      <v>2019</v>
    </spb>
    <spb s="0">
      <v xml:space="preserve">Wikipedia	Cia	travel.state.gov	</v>
      <v xml:space="preserve">CC-BY-SA			</v>
      <v xml:space="preserve">http://en.wikipedia.org/wiki/Seychelles	https://www.cia.gov/library/publications/the-world-factbook/geos/se.html?Transportation	https://travel.state.gov/content/travel/en/international-travel/International-Travel-Country-Information-Pages/Seychelles.html	</v>
      <v xml:space="preserve">http://creativecommons.org/licenses/by-sa/3.0/			</v>
    </spb>
    <spb s="0">
      <v xml:space="preserve">Wikipedia	</v>
      <v xml:space="preserve">CC BY-SA 3.0	</v>
      <v xml:space="preserve">https://en.wikipedia.org/wiki/Seychelles	</v>
      <v xml:space="preserve">https://creativecommons.org/licenses/by-sa/3.0	</v>
    </spb>
    <spb s="0">
      <v xml:space="preserve">Wikipedia	</v>
      <v xml:space="preserve">CC-BY-SA	</v>
      <v xml:space="preserve">http://en.wikipedia.org/wiki/Seychelles	</v>
      <v xml:space="preserve">http://creativecommons.org/licenses/by-sa/3.0/	</v>
    </spb>
    <spb s="0">
      <v xml:space="preserve">Cia	</v>
      <v xml:space="preserve">	</v>
      <v xml:space="preserve">https://www.cia.gov/library/publications/the-world-factbook/geos/se.html?Transportation	</v>
      <v xml:space="preserve">	</v>
    </spb>
    <spb s="35">
      <v>0</v>
      <v>239</v>
      <v>240</v>
      <v>240</v>
      <v>3</v>
      <v>240</v>
      <v>240</v>
      <v>240</v>
      <v>241</v>
      <v>240</v>
      <v>240</v>
      <v>241</v>
      <v>240</v>
      <v>240</v>
      <v>242</v>
      <v>6</v>
      <v>242</v>
      <v>7</v>
      <v>240</v>
      <v>242</v>
      <v>8</v>
      <v>9</v>
      <v>40</v>
      <v>242</v>
      <v>240</v>
      <v>242</v>
      <v>10</v>
      <v>11</v>
      <v>12</v>
      <v>242</v>
      <v>239</v>
      <v>242</v>
      <v>242</v>
      <v>242</v>
      <v>242</v>
      <v>242</v>
      <v>242</v>
      <v>242</v>
      <v>242</v>
      <v>242</v>
      <v>242</v>
    </spb>
    <spb s="2">
      <v>17</v>
      <v>Name</v>
      <v>LearnMoreOnLink</v>
    </spb>
    <spb s="36">
      <v>2019</v>
      <v>2019</v>
      <v>square km</v>
      <v>per thousand (2018)</v>
      <v>2025</v>
      <v>2019</v>
      <v>2018</v>
      <v>2019</v>
      <v>years (2018)</v>
      <v>2018</v>
      <v>per thousand (2018)</v>
      <v>2019</v>
      <v>2017</v>
      <v>2016</v>
      <v>2016</v>
      <v>2016</v>
      <v>kilotons per year (2016)</v>
      <v>deaths per 100,000 (2017)</v>
      <v>2007</v>
      <v>2019</v>
      <v>2013</v>
      <v>2013</v>
      <v>2013</v>
      <v>2013</v>
      <v>2013</v>
      <v>2015</v>
      <v>2013</v>
      <v>2013</v>
      <v>2018</v>
      <v>2018</v>
    </spb>
    <spb s="0">
      <v xml:space="preserve">Wikipedia	Cia	travel.state.gov	</v>
      <v xml:space="preserve">CC-BY-SA			</v>
      <v xml:space="preserve">http://en.wikipedia.org/wiki/Namibia	https://www.cia.gov/library/publications/the-world-factbook/geos/wa.html?Transportation	https://travel.state.gov/content/travel/en/international-travel/International-Travel-Country-Information-Pages/Namibia.html	</v>
      <v xml:space="preserve">http://creativecommons.org/licenses/by-sa/3.0/			</v>
    </spb>
    <spb s="0">
      <v xml:space="preserve">Wikipedia	</v>
      <v xml:space="preserve">CC BY-SA 3.0	</v>
      <v xml:space="preserve">https://en.wikipedia.org/wiki/Namibia	</v>
      <v xml:space="preserve">https://creativecommons.org/licenses/by-sa/3.0	</v>
    </spb>
    <spb s="0">
      <v xml:space="preserve">Wikipedia	</v>
      <v xml:space="preserve">CC-BY-SA	</v>
      <v xml:space="preserve">http://en.wikipedia.org/wiki/Namibia	</v>
      <v xml:space="preserve">http://creativecommons.org/licenses/by-sa/3.0/	</v>
    </spb>
    <spb s="0">
      <v xml:space="preserve">Cia	</v>
      <v xml:space="preserve">	</v>
      <v xml:space="preserve">https://www.cia.gov/library/publications/the-world-factbook/geos/wa.html?Transportation	</v>
      <v xml:space="preserve">	</v>
    </spb>
    <spb s="32">
      <v>0</v>
      <v>246</v>
      <v>247</v>
      <v>247</v>
      <v>3</v>
      <v>247</v>
      <v>247</v>
      <v>247</v>
      <v>248</v>
      <v>247</v>
      <v>247</v>
      <v>247</v>
      <v>247</v>
      <v>249</v>
      <v>6</v>
      <v>246</v>
      <v>249</v>
      <v>7</v>
      <v>247</v>
      <v>249</v>
      <v>8</v>
      <v>9</v>
      <v>40</v>
      <v>249</v>
      <v>249</v>
      <v>247</v>
      <v>249</v>
      <v>10</v>
      <v>11</v>
      <v>12</v>
      <v>41</v>
      <v>249</v>
      <v>246</v>
      <v>249</v>
      <v>249</v>
      <v>249</v>
      <v>249</v>
      <v>249</v>
      <v>249</v>
      <v>249</v>
      <v>249</v>
      <v>249</v>
      <v>249</v>
      <v>13</v>
    </spb>
    <spb s="23">
      <v>2019</v>
      <v>2019</v>
      <v>square km</v>
      <v>per thousand (2018)</v>
      <v>2025</v>
      <v>2019</v>
      <v>2018</v>
      <v>per liter (2016)</v>
      <v>2019</v>
      <v>years (2018)</v>
      <v>2018</v>
      <v>per thousand (2018)</v>
      <v>2019</v>
      <v>2017</v>
      <v>2016</v>
      <v>2019</v>
      <v>2016</v>
      <v>2018</v>
      <v>kilotons per year (2016)</v>
      <v>deaths per 100,000 (2017)</v>
      <v>kWh (2014)</v>
      <v>2014</v>
      <v>2019</v>
      <v>2015</v>
      <v>2015</v>
      <v>2015</v>
      <v>2015</v>
      <v>2015</v>
      <v>2015</v>
      <v>2015</v>
      <v>2015</v>
      <v>2018</v>
      <v>2017</v>
      <v>2019</v>
    </spb>
    <spb s="0">
      <v xml:space="preserve">Wikipedia	Cia	travel.state.gov	</v>
      <v xml:space="preserve">CC-BY-SA			</v>
      <v xml:space="preserve">http://en.wikipedia.org/wiki/Rwanda	https://www.cia.gov/library/publications/the-world-factbook/geos/rw.html?Transportation	https://travel.state.gov/content/travel/en/international-travel/International-Travel-Country-Information-Pages/Rwanda.html	</v>
      <v xml:space="preserve">http://creativecommons.org/licenses/by-sa/3.0/			</v>
    </spb>
    <spb s="0">
      <v xml:space="preserve">Wikipedia	</v>
      <v xml:space="preserve">CC BY-SA 3.0	</v>
      <v xml:space="preserve">https://en.wikipedia.org/wiki/Rwanda	</v>
      <v xml:space="preserve">https://creativecommons.org/licenses/by-sa/3.0	</v>
    </spb>
    <spb s="0">
      <v xml:space="preserve">Wikipedia	</v>
      <v xml:space="preserve">CC-BY-SA	</v>
      <v xml:space="preserve">http://en.wikipedia.org/wiki/Rwanda	</v>
      <v xml:space="preserve">http://creativecommons.org/licenses/by-sa/3.0/	</v>
    </spb>
    <spb s="0">
      <v xml:space="preserve">Cia	</v>
      <v xml:space="preserve">	</v>
      <v xml:space="preserve">https://www.cia.gov/library/publications/the-world-factbook/geos/rw.html?Transportation	</v>
      <v xml:space="preserve">	</v>
    </spb>
    <spb s="37">
      <v>0</v>
      <v>252</v>
      <v>253</v>
      <v>253</v>
      <v>3</v>
      <v>253</v>
      <v>253</v>
      <v>253</v>
      <v>254</v>
      <v>253</v>
      <v>253</v>
      <v>253</v>
      <v>253</v>
      <v>255</v>
      <v>6</v>
      <v>252</v>
      <v>255</v>
      <v>7</v>
      <v>253</v>
      <v>255</v>
      <v>8</v>
      <v>9</v>
      <v>40</v>
      <v>255</v>
      <v>255</v>
      <v>253</v>
      <v>255</v>
      <v>10</v>
      <v>11</v>
      <v>12</v>
      <v>252</v>
      <v>255</v>
      <v>255</v>
      <v>255</v>
      <v>255</v>
      <v>255</v>
      <v>255</v>
      <v>255</v>
      <v>255</v>
      <v>255</v>
      <v>255</v>
      <v>13</v>
    </spb>
    <spb s="2">
      <v>18</v>
      <v>Name</v>
      <v>LearnMoreOnLink</v>
    </spb>
    <spb s="38">
      <v>2019</v>
      <v>2019</v>
      <v>square km</v>
      <v>per thousand (2018)</v>
      <v>2025</v>
      <v>2019</v>
      <v>2018</v>
      <v>per liter (2016)</v>
      <v>2019</v>
      <v>years (2018)</v>
      <v>2018</v>
      <v>per thousand (2018)</v>
      <v>2019</v>
      <v>2017</v>
      <v>2016</v>
      <v>2019</v>
      <v>2016</v>
      <v>2018</v>
      <v>kilotons per year (2016)</v>
      <v>deaths per 100,000 (2017)</v>
      <v>2019</v>
      <v>2016</v>
      <v>2016</v>
      <v>2016</v>
      <v>2016</v>
      <v>2016</v>
      <v>2015</v>
      <v>2016</v>
      <v>2016</v>
      <v>2018</v>
      <v>2018</v>
      <v>2019</v>
    </spb>
    <spb s="0">
      <v xml:space="preserve">Wikipedia	Cia	travel.state.gov	</v>
      <v xml:space="preserve">CC-BY-SA			</v>
      <v xml:space="preserve">http://en.wikipedia.org/wiki/Angola	https://www.cia.gov/library/publications/the-world-factbook/geos/ao.html?Transportation	https://travel.state.gov/content/travel/en/international-travel/International-Travel-Country-Information-Pages/Angola.html	</v>
      <v xml:space="preserve">http://creativecommons.org/licenses/by-sa/3.0/			</v>
    </spb>
    <spb s="0">
      <v xml:space="preserve">Wikipedia	</v>
      <v xml:space="preserve">CC BY-SA 3.0	</v>
      <v xml:space="preserve">https://en.wikipedia.org/wiki/Angola	</v>
      <v xml:space="preserve">https://creativecommons.org/licenses/by-sa/3.0	</v>
    </spb>
    <spb s="0">
      <v xml:space="preserve">Wikipedia	</v>
      <v xml:space="preserve">CC-BY-SA	</v>
      <v xml:space="preserve">http://en.wikipedia.org/wiki/Angola	</v>
      <v xml:space="preserve">http://creativecommons.org/licenses/by-sa/3.0/	</v>
    </spb>
    <spb s="0">
      <v xml:space="preserve">Cia	</v>
      <v xml:space="preserve">	</v>
      <v xml:space="preserve">https://www.cia.gov/library/publications/the-world-factbook/geos/ao.html?Transportation	</v>
      <v xml:space="preserve">	</v>
    </spb>
    <spb s="11">
      <v>0</v>
      <v>259</v>
      <v>260</v>
      <v>260</v>
      <v>3</v>
      <v>260</v>
      <v>260</v>
      <v>260</v>
      <v>261</v>
      <v>260</v>
      <v>260</v>
      <v>261</v>
      <v>260</v>
      <v>260</v>
      <v>262</v>
      <v>6</v>
      <v>259</v>
      <v>262</v>
      <v>7</v>
      <v>260</v>
      <v>262</v>
      <v>8</v>
      <v>9</v>
      <v>40</v>
      <v>262</v>
      <v>262</v>
      <v>260</v>
      <v>262</v>
      <v>10</v>
      <v>11</v>
      <v>12</v>
      <v>41</v>
      <v>262</v>
      <v>262</v>
      <v>262</v>
      <v>262</v>
      <v>262</v>
      <v>262</v>
      <v>262</v>
      <v>262</v>
      <v>262</v>
      <v>262</v>
      <v>262</v>
      <v>13</v>
    </spb>
    <spb s="12">
      <v>2019</v>
      <v>2019</v>
      <v>square km</v>
      <v>per thousand (2018)</v>
      <v>2025</v>
      <v>2019</v>
      <v>2018</v>
      <v>per liter (2016)</v>
      <v>2019</v>
      <v>years (2018)</v>
      <v>2017</v>
      <v>per thousand (2018)</v>
      <v>2019</v>
      <v>2017</v>
      <v>2016</v>
      <v>2019</v>
      <v>2016</v>
      <v>2017</v>
      <v>kilotons per year (2016)</v>
      <v>deaths per 100,000 (2017)</v>
      <v>kWh (2014)</v>
      <v>2014</v>
      <v>2018</v>
      <v>2018</v>
      <v>2018</v>
      <v>2018</v>
      <v>2018</v>
      <v>2015</v>
      <v>2018</v>
      <v>2018</v>
      <v>2015</v>
      <v>2016</v>
      <v>2019</v>
    </spb>
    <spb s="0">
      <v xml:space="preserve">Wikipedia	Cia	travel.state.gov	</v>
      <v xml:space="preserve">CC-BY-SA			</v>
      <v xml:space="preserve">http://en.wikipedia.org/wiki/Sierra_Leone	https://www.cia.gov/library/publications/the-world-factbook/geos/sl.html?Transportation	https://travel.state.gov/content/travel/en/international-travel/International-Travel-Country-Information-Pages/SierraLeone.html	</v>
      <v xml:space="preserve">http://creativecommons.org/licenses/by-sa/3.0/			</v>
    </spb>
    <spb s="0">
      <v xml:space="preserve">Wikipedia	</v>
      <v xml:space="preserve">CC BY-SA 3.0	</v>
      <v xml:space="preserve">https://en.wikipedia.org/wiki/Sierra_Leone	</v>
      <v xml:space="preserve">https://creativecommons.org/licenses/by-sa/3.0	</v>
    </spb>
    <spb s="0">
      <v xml:space="preserve">Wikipedia	</v>
      <v xml:space="preserve">CC-BY-SA	</v>
      <v xml:space="preserve">http://en.wikipedia.org/wiki/Sierra_Leone	</v>
      <v xml:space="preserve">http://creativecommons.org/licenses/by-sa/3.0/	</v>
    </spb>
    <spb s="0">
      <v xml:space="preserve">Cia	</v>
      <v xml:space="preserve">	</v>
      <v xml:space="preserve">https://www.cia.gov/library/publications/the-world-factbook/geos/sl.html?Transportation	</v>
      <v xml:space="preserve">	</v>
    </spb>
    <spb s="20">
      <v>0</v>
      <v>265</v>
      <v>266</v>
      <v>266</v>
      <v>3</v>
      <v>266</v>
      <v>266</v>
      <v>266</v>
      <v>267</v>
      <v>266</v>
      <v>266</v>
      <v>267</v>
      <v>266</v>
      <v>266</v>
      <v>268</v>
      <v>6</v>
      <v>265</v>
      <v>268</v>
      <v>7</v>
      <v>266</v>
      <v>268</v>
      <v>8</v>
      <v>9</v>
      <v>40</v>
      <v>268</v>
      <v>268</v>
      <v>266</v>
      <v>268</v>
      <v>10</v>
      <v>11</v>
      <v>12</v>
      <v>268</v>
      <v>268</v>
      <v>268</v>
      <v>268</v>
      <v>268</v>
      <v>268</v>
      <v>268</v>
      <v>268</v>
      <v>268</v>
      <v>268</v>
      <v>13</v>
    </spb>
    <spb s="21">
      <v>2019</v>
      <v>2019</v>
      <v>square km</v>
      <v>per thousand (2018)</v>
      <v>2025</v>
      <v>2019</v>
      <v>2018</v>
      <v>per liter (2016)</v>
      <v>2019</v>
      <v>years (2018)</v>
      <v>2014</v>
      <v>per thousand (2018)</v>
      <v>2019</v>
      <v>2017</v>
      <v>2016</v>
      <v>2019</v>
      <v>2016</v>
      <v>2011</v>
      <v>kilotons per year (2016)</v>
      <v>deaths per 100,000 (2017)</v>
      <v>2018</v>
      <v>2018</v>
      <v>2018</v>
      <v>2018</v>
      <v>2018</v>
      <v>2015</v>
      <v>2018</v>
      <v>2018</v>
      <v>2018</v>
      <v>2002</v>
      <v>2019</v>
    </spb>
    <spb s="0">
      <v xml:space="preserve">Wikipedia	Cia	travel.state.gov	</v>
      <v xml:space="preserve">CC-BY-SA			</v>
      <v xml:space="preserve">http://en.wikipedia.org/wiki/Gabon	https://www.cia.gov/library/publications/the-world-factbook/geos/gb.html?Transportation	https://travel.state.gov/content/travel/en/international-travel/International-Travel-Country-Information-Pages/Gabon.html	</v>
      <v xml:space="preserve">http://creativecommons.org/licenses/by-sa/3.0/			</v>
    </spb>
    <spb s="0">
      <v xml:space="preserve">Wikipedia	</v>
      <v xml:space="preserve">CC BY-SA 3.0	</v>
      <v xml:space="preserve">https://en.wikipedia.org/wiki/Gabon	</v>
      <v xml:space="preserve">https://creativecommons.org/licenses/by-sa/3.0	</v>
    </spb>
    <spb s="0">
      <v xml:space="preserve">Wikipedia	</v>
      <v xml:space="preserve">CC-BY-SA	</v>
      <v xml:space="preserve">http://en.wikipedia.org/wiki/Gabon	</v>
      <v xml:space="preserve">http://creativecommons.org/licenses/by-sa/3.0/	</v>
    </spb>
    <spb s="0">
      <v xml:space="preserve">Cia	</v>
      <v xml:space="preserve">	</v>
      <v xml:space="preserve">https://www.cia.gov/library/publications/the-world-factbook/geos/gb.html?Transportation	</v>
      <v xml:space="preserve">	</v>
    </spb>
    <spb s="11">
      <v>0</v>
      <v>271</v>
      <v>272</v>
      <v>272</v>
      <v>3</v>
      <v>272</v>
      <v>272</v>
      <v>272</v>
      <v>273</v>
      <v>272</v>
      <v>272</v>
      <v>273</v>
      <v>272</v>
      <v>272</v>
      <v>274</v>
      <v>6</v>
      <v>271</v>
      <v>274</v>
      <v>7</v>
      <v>272</v>
      <v>274</v>
      <v>8</v>
      <v>9</v>
      <v>40</v>
      <v>274</v>
      <v>274</v>
      <v>272</v>
      <v>274</v>
      <v>10</v>
      <v>11</v>
      <v>12</v>
      <v>41</v>
      <v>274</v>
      <v>274</v>
      <v>274</v>
      <v>274</v>
      <v>274</v>
      <v>274</v>
      <v>274</v>
      <v>274</v>
      <v>274</v>
      <v>274</v>
      <v>274</v>
      <v>13</v>
    </spb>
    <spb s="12">
      <v>2019</v>
      <v>2019</v>
      <v>square km</v>
      <v>per thousand (2018)</v>
      <v>2025</v>
      <v>2019</v>
      <v>2018</v>
      <v>per liter (2016)</v>
      <v>2019</v>
      <v>years (2018)</v>
      <v>2018</v>
      <v>per thousand (2018)</v>
      <v>2019</v>
      <v>2017</v>
      <v>2016</v>
      <v>2019</v>
      <v>2016</v>
      <v>2017</v>
      <v>kilotons per year (2016)</v>
      <v>deaths per 100,000 (2017)</v>
      <v>kWh (2014)</v>
      <v>2014</v>
      <v>2017</v>
      <v>2017</v>
      <v>2017</v>
      <v>2017</v>
      <v>2017</v>
      <v>2015</v>
      <v>2017</v>
      <v>2017</v>
      <v>2011</v>
      <v>2003</v>
      <v>2019</v>
    </spb>
    <spb s="0">
      <v xml:space="preserve">Wikipedia	Cia	travel.state.gov	</v>
      <v xml:space="preserve">CC-BY-SA			</v>
      <v xml:space="preserve">http://en.wikipedia.org/wiki/Cape_Verde	https://www.cia.gov/library/publications/the-world-factbook/geos/cv.html?Transportation	https://travel.state.gov/content/travel/en/international-travel/International-Travel-Country-Information-Pages/CaboVerde.html	</v>
      <v xml:space="preserve">http://creativecommons.org/licenses/by-sa/3.0/			</v>
    </spb>
    <spb s="0">
      <v xml:space="preserve">Wikipedia	</v>
      <v xml:space="preserve">CC BY-SA 3.0	</v>
      <v xml:space="preserve">https://en.wikipedia.org/wiki/Cape_Verde	</v>
      <v xml:space="preserve">https://creativecommons.org/licenses/by-sa/3.0	</v>
    </spb>
    <spb s="0">
      <v xml:space="preserve">Wikipedia	</v>
      <v xml:space="preserve">CC-BY-SA	</v>
      <v xml:space="preserve">http://en.wikipedia.org/wiki/Cape_Verde	</v>
      <v xml:space="preserve">http://creativecommons.org/licenses/by-sa/3.0/	</v>
    </spb>
    <spb s="0">
      <v xml:space="preserve">Cia	</v>
      <v xml:space="preserve">	</v>
      <v xml:space="preserve">https://www.cia.gov/library/publications/the-world-factbook/geos/cv.html?Transportation	</v>
      <v xml:space="preserve">	</v>
    </spb>
    <spb s="33">
      <v>0</v>
      <v>277</v>
      <v>278</v>
      <v>278</v>
      <v>3</v>
      <v>278</v>
      <v>278</v>
      <v>278</v>
      <v>279</v>
      <v>278</v>
      <v>278</v>
      <v>279</v>
      <v>278</v>
      <v>278</v>
      <v>280</v>
      <v>6</v>
      <v>277</v>
      <v>280</v>
      <v>7</v>
      <v>278</v>
      <v>280</v>
      <v>8</v>
      <v>9</v>
      <v>40</v>
      <v>280</v>
      <v>280</v>
      <v>278</v>
      <v>280</v>
      <v>10</v>
      <v>11</v>
      <v>12</v>
      <v>280</v>
      <v>280</v>
      <v>280</v>
      <v>280</v>
      <v>280</v>
      <v>280</v>
      <v>280</v>
      <v>280</v>
      <v>280</v>
      <v>280</v>
      <v>280</v>
      <v>13</v>
    </spb>
    <spb s="29">
      <v>2019</v>
      <v>2019</v>
      <v>square km</v>
      <v>per thousand (2018)</v>
      <v>2025</v>
      <v>2019</v>
      <v>2018</v>
      <v>per liter (2016)</v>
      <v>2019</v>
      <v>years (2018)</v>
      <v>2017</v>
      <v>per thousand (2018)</v>
      <v>2019</v>
      <v>2017</v>
      <v>2016</v>
      <v>2019</v>
      <v>2016</v>
      <v>2015</v>
      <v>kilotons per year (2016)</v>
      <v>deaths per 100,000 (2017)</v>
      <v>2007</v>
      <v>2015</v>
      <v>2015</v>
      <v>2015</v>
      <v>2015</v>
      <v>2015</v>
      <v>2015</v>
      <v>2015</v>
      <v>2015</v>
      <v>2018</v>
      <v>2018</v>
      <v>2019</v>
    </spb>
    <spb s="0">
      <v xml:space="preserve">Wikipedia	Cia	travel.state.gov	</v>
      <v xml:space="preserve">CC-BY-SA			</v>
      <v xml:space="preserve">http://en.wikipedia.org/wiki/South_Africa	https://www.cia.gov/library/publications/the-world-factbook/geos/sf.html?Transportation	https://travel.state.gov/content/travel/en/international-travel/International-Travel-Country-Information-Pages/SouthAfrica.html	</v>
      <v xml:space="preserve">http://creativecommons.org/licenses/by-sa/3.0/			</v>
    </spb>
    <spb s="0">
      <v xml:space="preserve">Wikipedia	</v>
      <v xml:space="preserve">CC BY-SA 3.0	</v>
      <v xml:space="preserve">https://en.wikipedia.org/wiki/South_Africa	</v>
      <v xml:space="preserve">https://creativecommons.org/licenses/by-sa/3.0	</v>
    </spb>
    <spb s="0">
      <v xml:space="preserve">Wikipedia	</v>
      <v xml:space="preserve">CC-BY-SA	</v>
      <v xml:space="preserve">http://en.wikipedia.org/wiki/South_Africa	</v>
      <v xml:space="preserve">http://creativecommons.org/licenses/by-sa/3.0/	</v>
    </spb>
    <spb s="0">
      <v xml:space="preserve">Cia	</v>
      <v xml:space="preserve">	</v>
      <v xml:space="preserve">https://www.cia.gov/library/publications/the-world-factbook/geos/sf.html?Transportation	</v>
      <v xml:space="preserve">	</v>
    </spb>
    <spb s="32">
      <v>0</v>
      <v>283</v>
      <v>284</v>
      <v>284</v>
      <v>3</v>
      <v>284</v>
      <v>284</v>
      <v>284</v>
      <v>285</v>
      <v>284</v>
      <v>284</v>
      <v>284</v>
      <v>284</v>
      <v>286</v>
      <v>6</v>
      <v>283</v>
      <v>286</v>
      <v>7</v>
      <v>284</v>
      <v>286</v>
      <v>8</v>
      <v>9</v>
      <v>40</v>
      <v>286</v>
      <v>286</v>
      <v>284</v>
      <v>286</v>
      <v>10</v>
      <v>11</v>
      <v>12</v>
      <v>41</v>
      <v>286</v>
      <v>283</v>
      <v>286</v>
      <v>286</v>
      <v>286</v>
      <v>286</v>
      <v>286</v>
      <v>286</v>
      <v>286</v>
      <v>286</v>
      <v>286</v>
      <v>286</v>
      <v>13</v>
    </spb>
    <spb s="23">
      <v>2019</v>
      <v>2019</v>
      <v>square km</v>
      <v>per thousand (2018)</v>
      <v>2025</v>
      <v>2019</v>
      <v>2018</v>
      <v>per liter (2016)</v>
      <v>2019</v>
      <v>years (2018)</v>
      <v>2018</v>
      <v>per thousand (2018)</v>
      <v>2019</v>
      <v>2017</v>
      <v>2016</v>
      <v>2019</v>
      <v>2016</v>
      <v>2017</v>
      <v>kilotons per year (2016)</v>
      <v>deaths per 100,000 (2017)</v>
      <v>kWh (2014)</v>
      <v>2014</v>
      <v>2019</v>
      <v>2014</v>
      <v>2014</v>
      <v>2014</v>
      <v>2014</v>
      <v>2014</v>
      <v>2015</v>
      <v>2014</v>
      <v>2014</v>
      <v>2017</v>
      <v>2017</v>
      <v>2019</v>
    </spb>
    <spb s="0">
      <v xml:space="preserve">Wikipedia	Cia	travel.state.gov	</v>
      <v xml:space="preserve">CC-BY-SA			</v>
      <v xml:space="preserve">http://en.wikipedia.org/wiki/Zambia	https://www.cia.gov/library/publications/the-world-factbook/geos/za.html?Transportation	https://travel.state.gov/content/travel/en/international-travel/International-Travel-Country-Information-Pages/Zambia.html	</v>
      <v xml:space="preserve">http://creativecommons.org/licenses/by-sa/3.0/			</v>
    </spb>
    <spb s="0">
      <v xml:space="preserve">Wikipedia	</v>
      <v xml:space="preserve">CC BY-SA 3.0	</v>
      <v xml:space="preserve">https://en.wikipedia.org/wiki/Zambia	</v>
      <v xml:space="preserve">https://creativecommons.org/licenses/by-sa/3.0	</v>
    </spb>
    <spb s="0">
      <v xml:space="preserve">Wikipedia	</v>
      <v xml:space="preserve">CC-BY-SA	</v>
      <v xml:space="preserve">http://en.wikipedia.org/wiki/Zambia	</v>
      <v xml:space="preserve">http://creativecommons.org/licenses/by-sa/3.0/	</v>
    </spb>
    <spb s="0">
      <v xml:space="preserve">Cia	</v>
      <v xml:space="preserve">	</v>
      <v xml:space="preserve">https://www.cia.gov/library/publications/the-world-factbook/geos/za.html?Transportation	</v>
      <v xml:space="preserve">	</v>
    </spb>
    <spb s="22">
      <v>0</v>
      <v>289</v>
      <v>290</v>
      <v>290</v>
      <v>3</v>
      <v>290</v>
      <v>290</v>
      <v>290</v>
      <v>291</v>
      <v>290</v>
      <v>290</v>
      <v>291</v>
      <v>290</v>
      <v>290</v>
      <v>292</v>
      <v>6</v>
      <v>289</v>
      <v>292</v>
      <v>7</v>
      <v>290</v>
      <v>292</v>
      <v>8</v>
      <v>9</v>
      <v>40</v>
      <v>292</v>
      <v>292</v>
      <v>290</v>
      <v>292</v>
      <v>10</v>
      <v>11</v>
      <v>12</v>
      <v>41</v>
      <v>292</v>
      <v>289</v>
      <v>292</v>
      <v>292</v>
      <v>292</v>
      <v>292</v>
      <v>292</v>
      <v>292</v>
      <v>292</v>
      <v>292</v>
      <v>292</v>
      <v>292</v>
      <v>13</v>
    </spb>
    <spb s="23">
      <v>2019</v>
      <v>2019</v>
      <v>square km</v>
      <v>per thousand (2018)</v>
      <v>2025</v>
      <v>2019</v>
      <v>2018</v>
      <v>per liter (2016)</v>
      <v>2019</v>
      <v>years (2018)</v>
      <v>2018</v>
      <v>per thousand (2018)</v>
      <v>2019</v>
      <v>2017</v>
      <v>2016</v>
      <v>2019</v>
      <v>2016</v>
      <v>2018</v>
      <v>kilotons per year (2016)</v>
      <v>deaths per 100,000 (2017)</v>
      <v>kWh (2014)</v>
      <v>2013</v>
      <v>2011</v>
      <v>2015</v>
      <v>2015</v>
      <v>2015</v>
      <v>2015</v>
      <v>2015</v>
      <v>2015</v>
      <v>2015</v>
      <v>2015</v>
      <v>2017</v>
      <v>2012</v>
      <v>2019</v>
    </spb>
    <spb s="0">
      <v xml:space="preserve">Wikipedia	Cia	travel.state.gov	</v>
      <v xml:space="preserve">CC-BY-SA			</v>
      <v xml:space="preserve">http://en.wikipedia.org/wiki/Ivory_Coast	https://www.cia.gov/library/publications/the-world-factbook/geos/iv.html?Transportation	https://travel.state.gov/content/travel/en/international-travel/International-Travel-Country-Information-Pages/CotedvIoire.html	</v>
      <v xml:space="preserve">http://creativecommons.org/licenses/by-sa/3.0/			</v>
    </spb>
    <spb s="0">
      <v xml:space="preserve">Wikipedia	</v>
      <v xml:space="preserve">CC BY-SA 3.0	</v>
      <v xml:space="preserve">https://en.wikipedia.org/wiki/Ivory_Coast	</v>
      <v xml:space="preserve">https://creativecommons.org/licenses/by-sa/3.0	</v>
    </spb>
    <spb s="0">
      <v xml:space="preserve">Wikipedia	</v>
      <v xml:space="preserve">CC-BY-SA	</v>
      <v xml:space="preserve">http://en.wikipedia.org/wiki/Ivory_Coast	</v>
      <v xml:space="preserve">http://creativecommons.org/licenses/by-sa/3.0/	</v>
    </spb>
    <spb s="0">
      <v xml:space="preserve">Cia	</v>
      <v xml:space="preserve">	</v>
      <v xml:space="preserve">https://www.cia.gov/library/publications/the-world-factbook/geos/iv.html?Transportation	</v>
      <v xml:space="preserve">	</v>
    </spb>
    <spb s="11">
      <v>0</v>
      <v>295</v>
      <v>296</v>
      <v>296</v>
      <v>3</v>
      <v>296</v>
      <v>296</v>
      <v>296</v>
      <v>297</v>
      <v>296</v>
      <v>296</v>
      <v>297</v>
      <v>296</v>
      <v>296</v>
      <v>298</v>
      <v>6</v>
      <v>295</v>
      <v>298</v>
      <v>7</v>
      <v>296</v>
      <v>298</v>
      <v>8</v>
      <v>9</v>
      <v>40</v>
      <v>298</v>
      <v>298</v>
      <v>296</v>
      <v>298</v>
      <v>10</v>
      <v>11</v>
      <v>12</v>
      <v>41</v>
      <v>298</v>
      <v>298</v>
      <v>298</v>
      <v>298</v>
      <v>298</v>
      <v>298</v>
      <v>298</v>
      <v>298</v>
      <v>298</v>
      <v>298</v>
      <v>298</v>
      <v>13</v>
    </spb>
    <spb s="2">
      <v>19</v>
      <v>Name</v>
      <v>LearnMoreOnLink</v>
    </spb>
    <spb s="12">
      <v>2019</v>
      <v>2019</v>
      <v>square km</v>
      <v>per thousand (2018)</v>
      <v>2025</v>
      <v>2019</v>
      <v>2018</v>
      <v>per liter (2016)</v>
      <v>2019</v>
      <v>years (2018)</v>
      <v>2018</v>
      <v>per thousand (2018)</v>
      <v>2019</v>
      <v>2017</v>
      <v>2016</v>
      <v>2019</v>
      <v>2016</v>
      <v>2014</v>
      <v>kilotons per year (2016)</v>
      <v>deaths per 100,000 (2017)</v>
      <v>kWh (2014)</v>
      <v>2014</v>
      <v>2015</v>
      <v>2015</v>
      <v>2015</v>
      <v>2015</v>
      <v>2015</v>
      <v>2015</v>
      <v>2015</v>
      <v>2015</v>
      <v>2018</v>
      <v>2017</v>
      <v>2019</v>
    </spb>
    <spb s="0">
      <v xml:space="preserve">Wikipedia	Cia	travel.state.gov	</v>
      <v xml:space="preserve">CC-BY-SA			</v>
      <v xml:space="preserve">http://en.wikipedia.org/wiki/Togo	https://www.cia.gov/library/publications/the-world-factbook/geos/to.html?Transportation	https://travel.state.gov/content/travel/en/international-travel/International-Travel-Country-Information-Pages/Togo.html	</v>
      <v xml:space="preserve">http://creativecommons.org/licenses/by-sa/3.0/			</v>
    </spb>
    <spb s="0">
      <v xml:space="preserve">Wikipedia	</v>
      <v xml:space="preserve">CC BY-SA 3.0	</v>
      <v xml:space="preserve">https://en.wikipedia.org/wiki/Togo	</v>
      <v xml:space="preserve">https://creativecommons.org/licenses/by-sa/3.0	</v>
    </spb>
    <spb s="0">
      <v xml:space="preserve">Wikipedia	</v>
      <v xml:space="preserve">CC-BY-SA	</v>
      <v xml:space="preserve">http://en.wikipedia.org/wiki/Togo	</v>
      <v xml:space="preserve">http://creativecommons.org/licenses/by-sa/3.0/	</v>
    </spb>
    <spb s="0">
      <v xml:space="preserve">Cia	</v>
      <v xml:space="preserve">	</v>
      <v xml:space="preserve">https://www.cia.gov/library/publications/the-world-factbook/geos/to.html?Transportation	</v>
      <v xml:space="preserve">	</v>
    </spb>
    <spb s="11">
      <v>0</v>
      <v>302</v>
      <v>303</v>
      <v>303</v>
      <v>3</v>
      <v>303</v>
      <v>303</v>
      <v>303</v>
      <v>304</v>
      <v>303</v>
      <v>303</v>
      <v>304</v>
      <v>303</v>
      <v>303</v>
      <v>305</v>
      <v>6</v>
      <v>302</v>
      <v>305</v>
      <v>7</v>
      <v>303</v>
      <v>305</v>
      <v>8</v>
      <v>9</v>
      <v>40</v>
      <v>305</v>
      <v>305</v>
      <v>303</v>
      <v>305</v>
      <v>10</v>
      <v>11</v>
      <v>12</v>
      <v>41</v>
      <v>305</v>
      <v>305</v>
      <v>305</v>
      <v>305</v>
      <v>305</v>
      <v>305</v>
      <v>305</v>
      <v>305</v>
      <v>305</v>
      <v>305</v>
      <v>305</v>
      <v>13</v>
    </spb>
    <spb s="12">
      <v>2019</v>
      <v>2019</v>
      <v>square km</v>
      <v>per thousand (2018)</v>
      <v>2025</v>
      <v>2019</v>
      <v>2018</v>
      <v>per liter (2016)</v>
      <v>2019</v>
      <v>years (2018)</v>
      <v>2018</v>
      <v>per thousand (2018)</v>
      <v>2019</v>
      <v>2017</v>
      <v>2016</v>
      <v>2019</v>
      <v>2016</v>
      <v>2018</v>
      <v>kilotons per year (2016)</v>
      <v>deaths per 100,000 (2017)</v>
      <v>kWh (2014)</v>
      <v>2014</v>
      <v>2015</v>
      <v>2015</v>
      <v>2015</v>
      <v>2015</v>
      <v>2015</v>
      <v>2015</v>
      <v>2015</v>
      <v>2015</v>
      <v>2018</v>
      <v>2018</v>
      <v>2019</v>
    </spb>
    <spb s="0">
      <v xml:space="preserve">Wikipedia	Cia	travel.state.gov	</v>
      <v xml:space="preserve">CC-BY-SA			</v>
      <v xml:space="preserve">http://en.wikipedia.org/wiki/Mauritius	https://www.cia.gov/library/publications/the-world-factbook/geos/mp.html?Transportation	https://travel.state.gov/content/travel/en/international-travel/International-Travel-Country-Information-Pages/Mauritius.html	</v>
      <v xml:space="preserve">http://creativecommons.org/licenses/by-sa/3.0/			</v>
    </spb>
    <spb s="0">
      <v xml:space="preserve">Wikipedia	</v>
      <v xml:space="preserve">CC BY-SA 3.0	</v>
      <v xml:space="preserve">https://en.wikipedia.org/wiki/Mauritius	</v>
      <v xml:space="preserve">https://creativecommons.org/licenses/by-sa/3.0	</v>
    </spb>
    <spb s="0">
      <v xml:space="preserve">Wikipedia	</v>
      <v xml:space="preserve">CC-BY-SA	</v>
      <v xml:space="preserve">http://en.wikipedia.org/wiki/Mauritius	</v>
      <v xml:space="preserve">http://creativecommons.org/licenses/by-sa/3.0/	</v>
    </spb>
    <spb s="0">
      <v xml:space="preserve">Cia	</v>
      <v xml:space="preserve">	</v>
      <v xml:space="preserve">https://www.cia.gov/library/publications/the-world-factbook/geos/mp.html?Transportation	</v>
      <v xml:space="preserve">	</v>
    </spb>
    <spb s="22">
      <v>0</v>
      <v>308</v>
      <v>309</v>
      <v>309</v>
      <v>3</v>
      <v>309</v>
      <v>309</v>
      <v>309</v>
      <v>310</v>
      <v>309</v>
      <v>309</v>
      <v>310</v>
      <v>309</v>
      <v>309</v>
      <v>311</v>
      <v>6</v>
      <v>308</v>
      <v>311</v>
      <v>7</v>
      <v>309</v>
      <v>311</v>
      <v>8</v>
      <v>9</v>
      <v>40</v>
      <v>311</v>
      <v>311</v>
      <v>309</v>
      <v>311</v>
      <v>10</v>
      <v>11</v>
      <v>12</v>
      <v>41</v>
      <v>311</v>
      <v>308</v>
      <v>311</v>
      <v>311</v>
      <v>311</v>
      <v>311</v>
      <v>311</v>
      <v>311</v>
      <v>311</v>
      <v>311</v>
      <v>311</v>
      <v>311</v>
      <v>13</v>
    </spb>
    <spb s="23">
      <v>2019</v>
      <v>2019</v>
      <v>square km</v>
      <v>per thousand (2018)</v>
      <v>2025</v>
      <v>2019</v>
      <v>2018</v>
      <v>per liter (2016)</v>
      <v>2019</v>
      <v>years (2018)</v>
      <v>2018</v>
      <v>per thousand (2018)</v>
      <v>2019</v>
      <v>2017</v>
      <v>2016</v>
      <v>2019</v>
      <v>2016</v>
      <v>2018</v>
      <v>kilotons per year (2016)</v>
      <v>deaths per 100,000 (2017)</v>
      <v>kWh (2014)</v>
      <v>2014</v>
      <v>2019</v>
      <v>2017</v>
      <v>2017</v>
      <v>2017</v>
      <v>2017</v>
      <v>2017</v>
      <v>2015</v>
      <v>2017</v>
      <v>2017</v>
      <v>2018</v>
      <v>2017</v>
      <v>2019</v>
    </spb>
  </spbData>
</supportingPropertyBags>
</file>

<file path=xl/richData/rdsupportingpropertybagstructure.xml><?xml version="1.0" encoding="utf-8"?>
<spbStructures xmlns="http://schemas.microsoft.com/office/spreadsheetml/2017/richdata2" count="39">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Total tax rate" t="s"/>
    <k n="Life expectancy"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GDP" t="spb"/>
    <k n="Area" t="spb"/>
    <k n="Name" t="spb"/>
    <k n="Population" t="spb"/>
    <k n="UniqueName" t="spb"/>
    <k n="Description" t="spb"/>
    <k n="Calling code" t="spb"/>
    <k n="Largest city" t="spb"/>
    <k n="Currency code" t="spb"/>
    <k n="Official name" t="spb"/>
    <k n="National anthem" t="spb"/>
    <k n="Tax revenue (%)" t="spb"/>
    <k n="Capital/Major City" t="spb"/>
    <k n="Out of pocket health expenditure (%)" t="spb"/>
  </s>
  <s>
    <k n="GDP" t="s"/>
    <k n="Area" t="s"/>
    <k n="Population" t="s"/>
    <k n="Tax revenue (%)" t="s"/>
    <k n="Out of pocket health expenditure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Currency code" t="spb"/>
    <k n="Official name"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GDP" t="s"/>
    <k n="Area" t="s"/>
    <k n="Birth rate" t="s"/>
    <k n="Population"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Unemployment rate" t="spb"/>
    <k n="Capital/Major City"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Unemployment rate"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Armed forces size" t="s"/>
    <k n="Forested area (%)" t="s"/>
    <k n="Agricultural land (%)" t="s"/>
    <k n="Physicians per thousand" t="s"/>
    <k n="Carbon dioxide emissions" t="s"/>
    <k n="Maternal mortality ratio"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0.0</rpv>
    </rSty>
    <rSty dxfid="1">
      <rpv i="2">_([$$-en-US]* #,##0_);_([$$-en-US]* (#,##0);_([$$-en-US]* "-"_);_(@_)</rpv>
    </rSty>
    <rSty dxfid="1">
      <rpv i="2">_([$$-en-US]* #,##0.00_);_([$$-en-US]* (#,##0.00);_([$$-en-US]* "-"??_);_(@_)</rpv>
    </rSty>
    <rSty dxfid="3"/>
  </richStyles>
</richStyleSheet>
</file>

<file path=xl/theme/theme1.xml><?xml version="1.0" encoding="utf-8"?>
<a:theme xmlns:a="http://schemas.openxmlformats.org/drawingml/2006/main" name="Custom Design">
  <a:themeElements>
    <a:clrScheme name="IMF Colors V2">
      <a:dk1>
        <a:srgbClr val="000000"/>
      </a:dk1>
      <a:lt1>
        <a:srgbClr val="FFFFFF"/>
      </a:lt1>
      <a:dk2>
        <a:srgbClr val="004C97"/>
      </a:dk2>
      <a:lt2>
        <a:srgbClr val="CAEDFE"/>
      </a:lt2>
      <a:accent1>
        <a:srgbClr val="009CDE"/>
      </a:accent1>
      <a:accent2>
        <a:srgbClr val="F2A900"/>
      </a:accent2>
      <a:accent3>
        <a:srgbClr val="8031A7"/>
      </a:accent3>
      <a:accent4>
        <a:srgbClr val="DA291C"/>
      </a:accent4>
      <a:accent5>
        <a:srgbClr val="78BE20"/>
      </a:accent5>
      <a:accent6>
        <a:srgbClr val="FF8200"/>
      </a:accent6>
      <a:hlink>
        <a:srgbClr val="009CDE"/>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custClrLst>
    <a:custClr name="Dark Teal">
      <a:srgbClr val="00B0B9"/>
    </a:custClr>
    <a:custClr name="Accent Green">
      <a:srgbClr val="658D1B"/>
    </a:custClr>
    <a:custClr name="Accent Orange">
      <a:srgbClr val="E35205"/>
    </a:custClr>
    <a:custClr name="Plum">
      <a:srgbClr val="910048"/>
    </a:custClr>
    <a:custClr name="Blue-Gray">
      <a:srgbClr val="5E8AB4"/>
    </a:custClr>
    <a:custClr name="Cool Blue">
      <a:srgbClr val="407EC9"/>
    </a:custClr>
    <a:custClr name="Gray">
      <a:srgbClr val="707372"/>
    </a:custClr>
    <a:custClr name="Brown">
      <a:srgbClr val="6E6259"/>
    </a:custClr>
    <a:custClr name="Light Gray">
      <a:srgbClr val="B1B3B3"/>
    </a:custClr>
    <a:custClr name="Accent Dark Blue">
      <a:srgbClr val="001E60"/>
    </a:custClr>
  </a:custClrLst>
  <a:extLst>
    <a:ext uri="{05A4C25C-085E-4340-85A3-A5531E510DB2}">
      <thm15:themeFamily xmlns:thm15="http://schemas.microsoft.com/office/thememl/2012/main" name="IMF_PresentationTemplate-General.potx" id="{690FEF46-D631-674C-A5C5-50E70E85612A}" vid="{E36708C0-345E-2E4E-8E24-1157AE545E66}"/>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61CF0-C91E-4A90-93DF-95632111765A}">
  <dimension ref="A1:AN182"/>
  <sheetViews>
    <sheetView workbookViewId="0"/>
  </sheetViews>
  <sheetFormatPr defaultRowHeight="12.5" x14ac:dyDescent="0.25"/>
  <cols>
    <col min="1" max="1" width="60.453125" bestFit="1" customWidth="1"/>
    <col min="2" max="2" width="11.81640625" bestFit="1" customWidth="1"/>
  </cols>
  <sheetData>
    <row r="1" spans="1:40" x14ac:dyDescent="0.25">
      <c r="A1" t="s">
        <v>0</v>
      </c>
      <c r="B1" t="s">
        <v>1</v>
      </c>
      <c r="C1" t="s">
        <v>2</v>
      </c>
      <c r="D1" t="s">
        <v>3</v>
      </c>
      <c r="E1">
        <v>1990</v>
      </c>
      <c r="F1">
        <v>1991</v>
      </c>
      <c r="G1">
        <v>1992</v>
      </c>
      <c r="H1">
        <v>1993</v>
      </c>
      <c r="I1">
        <v>1994</v>
      </c>
      <c r="J1">
        <v>1995</v>
      </c>
      <c r="K1">
        <v>1996</v>
      </c>
      <c r="L1">
        <v>1997</v>
      </c>
      <c r="M1">
        <v>1998</v>
      </c>
      <c r="N1">
        <v>1999</v>
      </c>
      <c r="O1">
        <v>2000</v>
      </c>
      <c r="P1">
        <v>2001</v>
      </c>
      <c r="Q1">
        <v>2002</v>
      </c>
      <c r="R1">
        <v>2003</v>
      </c>
      <c r="S1">
        <v>2004</v>
      </c>
      <c r="T1">
        <v>2005</v>
      </c>
      <c r="U1">
        <v>2006</v>
      </c>
      <c r="V1">
        <v>2007</v>
      </c>
      <c r="W1">
        <v>2008</v>
      </c>
      <c r="X1">
        <v>2009</v>
      </c>
      <c r="Y1">
        <v>2010</v>
      </c>
      <c r="Z1">
        <v>2011</v>
      </c>
      <c r="AA1">
        <v>2012</v>
      </c>
      <c r="AB1">
        <v>2013</v>
      </c>
      <c r="AC1">
        <v>2014</v>
      </c>
      <c r="AD1">
        <v>2015</v>
      </c>
      <c r="AE1">
        <v>2016</v>
      </c>
      <c r="AF1">
        <v>2017</v>
      </c>
      <c r="AG1">
        <v>2018</v>
      </c>
      <c r="AH1">
        <v>2019</v>
      </c>
      <c r="AI1">
        <v>2020</v>
      </c>
      <c r="AJ1">
        <v>2021</v>
      </c>
      <c r="AK1">
        <v>2022</v>
      </c>
      <c r="AL1">
        <v>2023</v>
      </c>
      <c r="AM1">
        <v>2024</v>
      </c>
      <c r="AN1">
        <v>2025</v>
      </c>
    </row>
    <row r="2" spans="1:40" x14ac:dyDescent="0.25">
      <c r="A2" t="s">
        <v>4</v>
      </c>
      <c r="B2" t="s">
        <v>5</v>
      </c>
      <c r="C2" t="s">
        <v>6</v>
      </c>
      <c r="D2">
        <v>0</v>
      </c>
      <c r="E2">
        <v>80</v>
      </c>
      <c r="F2">
        <v>80.001999999999995</v>
      </c>
      <c r="G2">
        <v>80.025000000000006</v>
      </c>
      <c r="H2">
        <v>80</v>
      </c>
      <c r="I2">
        <v>79.959999999999994</v>
      </c>
      <c r="J2">
        <v>79.936000000000007</v>
      </c>
      <c r="K2">
        <v>79.912999999999997</v>
      </c>
      <c r="L2">
        <v>79.91</v>
      </c>
      <c r="M2">
        <v>79.932000000000002</v>
      </c>
      <c r="N2">
        <v>79.951999999999998</v>
      </c>
      <c r="O2">
        <v>79.942999999999998</v>
      </c>
      <c r="P2">
        <v>79.906000000000006</v>
      </c>
      <c r="Q2">
        <v>79.834000000000003</v>
      </c>
      <c r="R2">
        <v>79.736999999999995</v>
      </c>
      <c r="S2">
        <v>79.622</v>
      </c>
      <c r="T2">
        <v>79.495000000000005</v>
      </c>
      <c r="U2">
        <v>79.349999999999994</v>
      </c>
      <c r="V2">
        <v>79.173000000000002</v>
      </c>
      <c r="W2">
        <v>78.956999999999994</v>
      </c>
      <c r="X2">
        <v>78.713999999999999</v>
      </c>
      <c r="Y2">
        <v>78.457999999999998</v>
      </c>
      <c r="Z2">
        <v>78.209000000000003</v>
      </c>
      <c r="AA2">
        <v>77.974999999999994</v>
      </c>
      <c r="AB2">
        <v>77.116</v>
      </c>
      <c r="AC2">
        <v>76.225999999999999</v>
      </c>
      <c r="AD2">
        <v>75.308000000000007</v>
      </c>
      <c r="AE2">
        <v>74.361000000000004</v>
      </c>
      <c r="AF2">
        <v>73.400999999999996</v>
      </c>
      <c r="AG2">
        <v>71.37</v>
      </c>
      <c r="AH2">
        <v>69.385999999999996</v>
      </c>
      <c r="AI2">
        <v>66.75</v>
      </c>
      <c r="AJ2">
        <v>66.843000000000004</v>
      </c>
      <c r="AK2">
        <v>70.224999999999994</v>
      </c>
      <c r="AL2">
        <v>70.073999999999998</v>
      </c>
      <c r="AM2">
        <v>69.953999999999994</v>
      </c>
      <c r="AN2">
        <v>69.760000000000005</v>
      </c>
    </row>
    <row r="3" spans="1:40" x14ac:dyDescent="0.25">
      <c r="A3" t="s">
        <v>7</v>
      </c>
      <c r="B3" t="s">
        <v>8</v>
      </c>
      <c r="C3" t="s">
        <v>9</v>
      </c>
      <c r="D3">
        <v>0</v>
      </c>
      <c r="E3">
        <v>73.900999999999996</v>
      </c>
      <c r="F3">
        <v>77.605000000000004</v>
      </c>
      <c r="G3">
        <v>78.438999999999993</v>
      </c>
      <c r="H3">
        <v>77.319000000000003</v>
      </c>
      <c r="I3">
        <v>76.353999999999999</v>
      </c>
      <c r="J3">
        <v>74.902000000000001</v>
      </c>
      <c r="K3">
        <v>73.918000000000006</v>
      </c>
      <c r="L3">
        <v>75.17</v>
      </c>
      <c r="M3">
        <v>74.218999999999994</v>
      </c>
      <c r="N3">
        <v>72.915999999999997</v>
      </c>
      <c r="O3">
        <v>72.218000000000004</v>
      </c>
      <c r="P3">
        <v>71.366</v>
      </c>
      <c r="Q3">
        <v>70.902000000000001</v>
      </c>
      <c r="R3">
        <v>69.353999999999999</v>
      </c>
      <c r="S3">
        <v>67.778000000000006</v>
      </c>
      <c r="T3">
        <v>66.177999999999997</v>
      </c>
      <c r="U3">
        <v>64.555999999999997</v>
      </c>
      <c r="V3">
        <v>62.915999999999997</v>
      </c>
      <c r="W3">
        <v>61.259</v>
      </c>
      <c r="X3">
        <v>64.457999999999998</v>
      </c>
      <c r="Y3">
        <v>63.935000000000002</v>
      </c>
      <c r="Z3">
        <v>67.629000000000005</v>
      </c>
      <c r="AA3">
        <v>65.406000000000006</v>
      </c>
      <c r="AB3">
        <v>61.438000000000002</v>
      </c>
      <c r="AC3">
        <v>63.307000000000002</v>
      </c>
      <c r="AD3">
        <v>64.257000000000005</v>
      </c>
      <c r="AE3">
        <v>65.075000000000003</v>
      </c>
      <c r="AF3">
        <v>66.75</v>
      </c>
      <c r="AG3">
        <v>67.534999999999997</v>
      </c>
      <c r="AH3">
        <v>68.004999999999995</v>
      </c>
      <c r="AI3">
        <v>66.795000000000002</v>
      </c>
      <c r="AJ3">
        <v>67.165000000000006</v>
      </c>
      <c r="AK3">
        <v>68.176000000000002</v>
      </c>
      <c r="AL3">
        <v>70.067999999999998</v>
      </c>
      <c r="AM3">
        <v>70.120999999999995</v>
      </c>
      <c r="AN3">
        <v>70.218000000000004</v>
      </c>
    </row>
    <row r="4" spans="1:40" x14ac:dyDescent="0.25">
      <c r="A4" t="s">
        <v>10</v>
      </c>
      <c r="B4" t="s">
        <v>11</v>
      </c>
      <c r="C4" t="s">
        <v>6</v>
      </c>
      <c r="D4">
        <v>0</v>
      </c>
      <c r="E4">
        <v>76.968999999999994</v>
      </c>
      <c r="F4">
        <v>77.369</v>
      </c>
      <c r="G4">
        <v>77.436000000000007</v>
      </c>
      <c r="H4">
        <v>77.673000000000002</v>
      </c>
      <c r="I4">
        <v>77.792000000000002</v>
      </c>
      <c r="J4">
        <v>77.524000000000001</v>
      </c>
      <c r="K4">
        <v>77.209999999999994</v>
      </c>
      <c r="L4">
        <v>76.498999999999995</v>
      </c>
      <c r="M4">
        <v>75.816000000000003</v>
      </c>
      <c r="N4">
        <v>75.3</v>
      </c>
      <c r="O4">
        <v>74.781999999999996</v>
      </c>
      <c r="P4">
        <v>74.284999999999997</v>
      </c>
      <c r="Q4">
        <v>73.747</v>
      </c>
      <c r="R4">
        <v>73.197999999999993</v>
      </c>
      <c r="S4">
        <v>72.700999999999993</v>
      </c>
      <c r="T4">
        <v>72.203000000000003</v>
      </c>
      <c r="U4">
        <v>71.769000000000005</v>
      </c>
      <c r="V4">
        <v>71.355000000000004</v>
      </c>
      <c r="W4">
        <v>70.978999999999999</v>
      </c>
      <c r="X4">
        <v>70.652000000000001</v>
      </c>
      <c r="Y4">
        <v>71.141999999999996</v>
      </c>
      <c r="Z4">
        <v>70.593000000000004</v>
      </c>
      <c r="AA4">
        <v>69.989000000000004</v>
      </c>
      <c r="AB4">
        <v>69.344999999999999</v>
      </c>
      <c r="AC4">
        <v>68.641000000000005</v>
      </c>
      <c r="AD4">
        <v>68.388999999999996</v>
      </c>
      <c r="AE4">
        <v>68.384</v>
      </c>
      <c r="AF4">
        <v>68.495999999999995</v>
      </c>
      <c r="AG4">
        <v>68.549000000000007</v>
      </c>
      <c r="AH4">
        <v>68.543999999999997</v>
      </c>
      <c r="AI4">
        <v>61.838999999999999</v>
      </c>
      <c r="AJ4">
        <v>62.395000000000003</v>
      </c>
      <c r="AK4">
        <v>68.156999999999996</v>
      </c>
      <c r="AL4">
        <v>67.61</v>
      </c>
      <c r="AM4">
        <v>66.978999999999999</v>
      </c>
      <c r="AN4">
        <v>66.409000000000006</v>
      </c>
    </row>
    <row r="5" spans="1:40" x14ac:dyDescent="0.25">
      <c r="A5" t="s">
        <v>12</v>
      </c>
      <c r="B5" t="s">
        <v>13</v>
      </c>
      <c r="C5" t="s">
        <v>14</v>
      </c>
      <c r="D5">
        <v>0</v>
      </c>
      <c r="E5">
        <v>79.015000000000001</v>
      </c>
      <c r="F5">
        <v>79.150000000000006</v>
      </c>
      <c r="G5">
        <v>79.275000000000006</v>
      </c>
      <c r="H5">
        <v>79.39</v>
      </c>
      <c r="I5">
        <v>79.491</v>
      </c>
      <c r="J5">
        <v>79.539000000000001</v>
      </c>
      <c r="K5">
        <v>79.540000000000006</v>
      </c>
      <c r="L5">
        <v>79.513000000000005</v>
      </c>
      <c r="M5">
        <v>79.465999999999994</v>
      </c>
      <c r="N5">
        <v>79.415999999999997</v>
      </c>
      <c r="O5">
        <v>79.355000000000004</v>
      </c>
      <c r="P5">
        <v>79.287000000000006</v>
      </c>
      <c r="Q5">
        <v>79.216999999999999</v>
      </c>
      <c r="R5">
        <v>79.146000000000001</v>
      </c>
      <c r="S5">
        <v>79.081000000000003</v>
      </c>
      <c r="T5">
        <v>79.031000000000006</v>
      </c>
      <c r="U5">
        <v>78.995000000000005</v>
      </c>
      <c r="V5">
        <v>78.972999999999999</v>
      </c>
      <c r="W5">
        <v>78.968999999999994</v>
      </c>
      <c r="X5">
        <v>78.978999999999999</v>
      </c>
      <c r="Y5">
        <v>78.989999999999995</v>
      </c>
      <c r="Z5">
        <v>79.899000000000001</v>
      </c>
      <c r="AA5">
        <v>79.569000000000003</v>
      </c>
      <c r="AB5">
        <v>79.234999999999999</v>
      </c>
      <c r="AC5">
        <v>78.897000000000006</v>
      </c>
      <c r="AD5">
        <v>78.555999999999997</v>
      </c>
      <c r="AE5">
        <v>78.212000000000003</v>
      </c>
      <c r="AF5">
        <v>77.863</v>
      </c>
      <c r="AG5">
        <v>77.510999999999996</v>
      </c>
      <c r="AH5">
        <v>77.156000000000006</v>
      </c>
      <c r="AI5">
        <v>75.391999999999996</v>
      </c>
      <c r="AJ5">
        <v>78.13</v>
      </c>
      <c r="AK5">
        <v>76.534999999999997</v>
      </c>
      <c r="AL5">
        <v>77.587999999999994</v>
      </c>
      <c r="AM5">
        <v>77.522000000000006</v>
      </c>
      <c r="AN5">
        <v>77.466999999999999</v>
      </c>
    </row>
    <row r="6" spans="1:40" x14ac:dyDescent="0.25">
      <c r="A6" t="s">
        <v>15</v>
      </c>
      <c r="B6" t="s">
        <v>16</v>
      </c>
      <c r="C6" t="s">
        <v>17</v>
      </c>
      <c r="D6">
        <v>0</v>
      </c>
      <c r="E6">
        <v>76.099000000000004</v>
      </c>
      <c r="F6">
        <v>76.281000000000006</v>
      </c>
      <c r="G6">
        <v>76.286000000000001</v>
      </c>
      <c r="H6">
        <v>76.325999999999993</v>
      </c>
      <c r="I6">
        <v>76.19</v>
      </c>
      <c r="J6">
        <v>75.322000000000003</v>
      </c>
      <c r="K6">
        <v>75.314999999999998</v>
      </c>
      <c r="L6">
        <v>75.593000000000004</v>
      </c>
      <c r="M6">
        <v>75.596000000000004</v>
      </c>
      <c r="N6">
        <v>75.043999999999997</v>
      </c>
      <c r="O6">
        <v>74.795000000000002</v>
      </c>
      <c r="P6">
        <v>74.251000000000005</v>
      </c>
      <c r="Q6">
        <v>73.078000000000003</v>
      </c>
      <c r="R6">
        <v>73.843000000000004</v>
      </c>
      <c r="S6">
        <v>74.611999999999995</v>
      </c>
      <c r="T6">
        <v>74.628</v>
      </c>
      <c r="U6">
        <v>74.522000000000006</v>
      </c>
      <c r="V6">
        <v>73.989999999999995</v>
      </c>
      <c r="W6">
        <v>73.447999999999993</v>
      </c>
      <c r="X6">
        <v>73.391999999999996</v>
      </c>
      <c r="Y6">
        <v>73.313999999999993</v>
      </c>
      <c r="Z6">
        <v>73.980999999999995</v>
      </c>
      <c r="AA6">
        <v>73.257999999999996</v>
      </c>
      <c r="AB6">
        <v>72.850999999999999</v>
      </c>
      <c r="AC6">
        <v>72.007000000000005</v>
      </c>
      <c r="AD6">
        <v>71.477999999999994</v>
      </c>
      <c r="AE6">
        <v>70.947999999999993</v>
      </c>
      <c r="AF6">
        <v>70.414000000000001</v>
      </c>
      <c r="AG6">
        <v>70.465999999999994</v>
      </c>
      <c r="AH6">
        <v>70.980999999999995</v>
      </c>
      <c r="AI6">
        <v>65.924999999999997</v>
      </c>
      <c r="AJ6">
        <v>70.835999999999999</v>
      </c>
      <c r="AK6">
        <v>71.453000000000003</v>
      </c>
      <c r="AL6">
        <v>71.944000000000003</v>
      </c>
      <c r="AM6">
        <v>71.769000000000005</v>
      </c>
      <c r="AN6">
        <v>71.662999999999997</v>
      </c>
    </row>
    <row r="7" spans="1:40" x14ac:dyDescent="0.25">
      <c r="A7" t="s">
        <v>18</v>
      </c>
      <c r="B7" t="s">
        <v>19</v>
      </c>
      <c r="C7" t="s">
        <v>6</v>
      </c>
      <c r="D7">
        <v>0</v>
      </c>
      <c r="E7">
        <v>75.384</v>
      </c>
      <c r="F7">
        <v>75.263000000000005</v>
      </c>
      <c r="G7">
        <v>74.977000000000004</v>
      </c>
      <c r="H7">
        <v>74.524000000000001</v>
      </c>
      <c r="I7">
        <v>73.991</v>
      </c>
      <c r="J7">
        <v>73.421000000000006</v>
      </c>
      <c r="K7">
        <v>72.832999999999998</v>
      </c>
      <c r="L7">
        <v>72.269000000000005</v>
      </c>
      <c r="M7">
        <v>71.843000000000004</v>
      </c>
      <c r="N7">
        <v>71.561000000000007</v>
      </c>
      <c r="O7">
        <v>71.355000000000004</v>
      </c>
      <c r="P7">
        <v>71.066999999999993</v>
      </c>
      <c r="Q7">
        <v>70.671000000000006</v>
      </c>
      <c r="R7">
        <v>70.313000000000002</v>
      </c>
      <c r="S7">
        <v>70.028999999999996</v>
      </c>
      <c r="T7">
        <v>69.832999999999998</v>
      </c>
      <c r="U7">
        <v>69.763000000000005</v>
      </c>
      <c r="V7">
        <v>69.870999999999995</v>
      </c>
      <c r="W7">
        <v>69.671999999999997</v>
      </c>
      <c r="X7">
        <v>71.239000000000004</v>
      </c>
      <c r="Y7">
        <v>71.417000000000002</v>
      </c>
      <c r="Z7">
        <v>71.355000000000004</v>
      </c>
      <c r="AA7">
        <v>71.131</v>
      </c>
      <c r="AB7">
        <v>71.171000000000006</v>
      </c>
      <c r="AC7">
        <v>71.195999999999998</v>
      </c>
      <c r="AD7">
        <v>71.228999999999999</v>
      </c>
      <c r="AE7">
        <v>71.391999999999996</v>
      </c>
      <c r="AF7">
        <v>71.123000000000005</v>
      </c>
      <c r="AG7">
        <v>70.954999999999998</v>
      </c>
      <c r="AH7">
        <v>68.643000000000001</v>
      </c>
      <c r="AI7">
        <v>69.838999999999999</v>
      </c>
      <c r="AJ7">
        <v>70.350999999999999</v>
      </c>
      <c r="AK7">
        <v>69.334999999999994</v>
      </c>
      <c r="AL7">
        <v>70.319999999999993</v>
      </c>
      <c r="AM7">
        <v>70.048000000000002</v>
      </c>
      <c r="AN7">
        <v>69.522000000000006</v>
      </c>
    </row>
    <row r="8" spans="1:40" x14ac:dyDescent="0.25">
      <c r="A8" t="s">
        <v>20</v>
      </c>
      <c r="B8" t="s">
        <v>21</v>
      </c>
      <c r="C8" t="s">
        <v>22</v>
      </c>
      <c r="D8">
        <v>0</v>
      </c>
      <c r="E8">
        <v>75.727999999999994</v>
      </c>
      <c r="F8">
        <v>74.786000000000001</v>
      </c>
      <c r="G8">
        <v>74.271000000000001</v>
      </c>
      <c r="H8">
        <v>73.692999999999998</v>
      </c>
      <c r="I8">
        <v>73.75</v>
      </c>
      <c r="J8">
        <v>73.942999999999998</v>
      </c>
      <c r="K8">
        <v>73.706999999999994</v>
      </c>
      <c r="L8">
        <v>73.135000000000005</v>
      </c>
      <c r="M8">
        <v>72.826999999999998</v>
      </c>
      <c r="N8">
        <v>72.376000000000005</v>
      </c>
      <c r="O8">
        <v>72.224000000000004</v>
      </c>
      <c r="P8">
        <v>72</v>
      </c>
      <c r="Q8">
        <v>71.923000000000002</v>
      </c>
      <c r="R8">
        <v>71.662000000000006</v>
      </c>
      <c r="S8">
        <v>71.623000000000005</v>
      </c>
      <c r="T8">
        <v>72.195999999999998</v>
      </c>
      <c r="U8">
        <v>72.33</v>
      </c>
      <c r="V8">
        <v>72.61</v>
      </c>
      <c r="W8">
        <v>72.7</v>
      </c>
      <c r="X8">
        <v>72.369</v>
      </c>
      <c r="Y8">
        <v>72.441999999999993</v>
      </c>
      <c r="Z8">
        <v>72.254000000000005</v>
      </c>
      <c r="AA8">
        <v>71.813000000000002</v>
      </c>
      <c r="AB8">
        <v>71.471000000000004</v>
      </c>
      <c r="AC8">
        <v>71.037999999999997</v>
      </c>
      <c r="AD8">
        <v>71.176000000000002</v>
      </c>
      <c r="AE8">
        <v>70.697999999999993</v>
      </c>
      <c r="AF8">
        <v>70.790999999999997</v>
      </c>
      <c r="AG8">
        <v>71.144000000000005</v>
      </c>
      <c r="AH8">
        <v>71.308000000000007</v>
      </c>
      <c r="AI8">
        <v>70.078000000000003</v>
      </c>
      <c r="AJ8">
        <v>70.927000000000007</v>
      </c>
      <c r="AK8">
        <v>71.394000000000005</v>
      </c>
      <c r="AL8">
        <v>71.611999999999995</v>
      </c>
      <c r="AM8">
        <v>70.918000000000006</v>
      </c>
      <c r="AN8">
        <v>70.685000000000002</v>
      </c>
    </row>
    <row r="9" spans="1:40" x14ac:dyDescent="0.25">
      <c r="A9" t="s">
        <v>23</v>
      </c>
      <c r="B9" t="s">
        <v>24</v>
      </c>
      <c r="C9" t="s">
        <v>9</v>
      </c>
      <c r="D9">
        <v>0</v>
      </c>
      <c r="E9">
        <v>69.756</v>
      </c>
      <c r="F9">
        <v>69.960999999999999</v>
      </c>
      <c r="G9">
        <v>70.144000000000005</v>
      </c>
      <c r="H9">
        <v>69.962000000000003</v>
      </c>
      <c r="I9">
        <v>70.367000000000004</v>
      </c>
      <c r="J9">
        <v>70.084000000000003</v>
      </c>
      <c r="K9">
        <v>69.531999999999996</v>
      </c>
      <c r="L9">
        <v>68.896000000000001</v>
      </c>
      <c r="M9">
        <v>68.924000000000007</v>
      </c>
      <c r="N9">
        <v>69.069999999999993</v>
      </c>
      <c r="O9">
        <v>68.745999999999995</v>
      </c>
      <c r="P9">
        <v>67.733999999999995</v>
      </c>
      <c r="Q9">
        <v>67.995000000000005</v>
      </c>
      <c r="R9">
        <v>67.936000000000007</v>
      </c>
      <c r="S9">
        <v>65.846999999999994</v>
      </c>
      <c r="T9">
        <v>65.83</v>
      </c>
      <c r="U9">
        <v>66.123000000000005</v>
      </c>
      <c r="V9">
        <v>67</v>
      </c>
      <c r="W9">
        <v>66.95</v>
      </c>
      <c r="X9">
        <v>66.772000000000006</v>
      </c>
      <c r="Y9">
        <v>66.555999999999997</v>
      </c>
      <c r="Z9">
        <v>66.3</v>
      </c>
      <c r="AA9">
        <v>66.364999999999995</v>
      </c>
      <c r="AB9">
        <v>66.388000000000005</v>
      </c>
      <c r="AC9">
        <v>65.921000000000006</v>
      </c>
      <c r="AD9">
        <v>65.927999999999997</v>
      </c>
      <c r="AE9">
        <v>66.317999999999998</v>
      </c>
      <c r="AF9">
        <v>66.244</v>
      </c>
      <c r="AG9">
        <v>66.682000000000002</v>
      </c>
      <c r="AH9">
        <v>66.543999999999997</v>
      </c>
      <c r="AI9">
        <v>65.75</v>
      </c>
      <c r="AJ9">
        <v>66.164000000000001</v>
      </c>
      <c r="AK9">
        <v>66.325000000000003</v>
      </c>
      <c r="AL9">
        <v>66.13</v>
      </c>
      <c r="AM9">
        <v>65.841999999999999</v>
      </c>
      <c r="AN9">
        <v>65.418000000000006</v>
      </c>
    </row>
    <row r="10" spans="1:40" x14ac:dyDescent="0.25">
      <c r="A10" t="s">
        <v>25</v>
      </c>
      <c r="B10" t="s">
        <v>26</v>
      </c>
      <c r="C10" t="s">
        <v>6</v>
      </c>
      <c r="D10">
        <v>0</v>
      </c>
      <c r="E10">
        <v>75.492999999999995</v>
      </c>
      <c r="F10">
        <v>75.658000000000001</v>
      </c>
      <c r="G10">
        <v>78.478999999999999</v>
      </c>
      <c r="H10">
        <v>81.796000000000006</v>
      </c>
      <c r="I10">
        <v>84.816999999999993</v>
      </c>
      <c r="J10">
        <v>86.626000000000005</v>
      </c>
      <c r="K10">
        <v>86.540999999999997</v>
      </c>
      <c r="L10">
        <v>85.84</v>
      </c>
      <c r="M10">
        <v>84.602000000000004</v>
      </c>
      <c r="N10">
        <v>83.638999999999996</v>
      </c>
      <c r="O10">
        <v>82.191999999999993</v>
      </c>
      <c r="P10">
        <v>79.638999999999996</v>
      </c>
      <c r="Q10">
        <v>76.742999999999995</v>
      </c>
      <c r="R10">
        <v>75.069999999999993</v>
      </c>
      <c r="S10">
        <v>72.305000000000007</v>
      </c>
      <c r="T10">
        <v>70.652000000000001</v>
      </c>
      <c r="U10">
        <v>68.986999999999995</v>
      </c>
      <c r="V10">
        <v>67.963999999999999</v>
      </c>
      <c r="W10">
        <v>65.855999999999995</v>
      </c>
      <c r="X10">
        <v>64.284999999999997</v>
      </c>
      <c r="Y10">
        <v>62.085999999999999</v>
      </c>
      <c r="Z10">
        <v>63.19</v>
      </c>
      <c r="AA10">
        <v>64.278000000000006</v>
      </c>
      <c r="AB10">
        <v>64.777000000000001</v>
      </c>
      <c r="AC10">
        <v>65.620999999999995</v>
      </c>
      <c r="AD10">
        <v>66.304000000000002</v>
      </c>
      <c r="AE10">
        <v>67.59</v>
      </c>
      <c r="AF10">
        <v>68.185000000000002</v>
      </c>
      <c r="AG10">
        <v>68.45</v>
      </c>
      <c r="AH10">
        <v>68.278000000000006</v>
      </c>
      <c r="AI10">
        <v>70.328000000000003</v>
      </c>
      <c r="AJ10">
        <v>66.456000000000003</v>
      </c>
      <c r="AK10">
        <v>67.616</v>
      </c>
      <c r="AL10">
        <v>67.164000000000001</v>
      </c>
      <c r="AM10">
        <v>66.664000000000001</v>
      </c>
      <c r="AN10">
        <v>66.02</v>
      </c>
    </row>
    <row r="11" spans="1:40" x14ac:dyDescent="0.25">
      <c r="A11" t="s">
        <v>27</v>
      </c>
      <c r="B11" t="s">
        <v>28</v>
      </c>
      <c r="C11" t="s">
        <v>17</v>
      </c>
      <c r="D11">
        <v>0</v>
      </c>
      <c r="E11">
        <v>79.277000000000001</v>
      </c>
      <c r="F11">
        <v>79.855000000000004</v>
      </c>
      <c r="G11">
        <v>80.394999999999996</v>
      </c>
      <c r="H11">
        <v>80.891999999999996</v>
      </c>
      <c r="I11">
        <v>81.343999999999994</v>
      </c>
      <c r="J11">
        <v>81.335999999999999</v>
      </c>
      <c r="K11">
        <v>81.307000000000002</v>
      </c>
      <c r="L11">
        <v>81.251999999999995</v>
      </c>
      <c r="M11">
        <v>81.167000000000002</v>
      </c>
      <c r="N11">
        <v>81.051000000000002</v>
      </c>
      <c r="O11">
        <v>80.903999999999996</v>
      </c>
      <c r="P11">
        <v>80.727999999999994</v>
      </c>
      <c r="Q11">
        <v>80.524000000000001</v>
      </c>
      <c r="R11">
        <v>80.293999999999997</v>
      </c>
      <c r="S11">
        <v>80.042000000000002</v>
      </c>
      <c r="T11">
        <v>79.775000000000006</v>
      </c>
      <c r="U11">
        <v>79.507000000000005</v>
      </c>
      <c r="V11">
        <v>79.238</v>
      </c>
      <c r="W11">
        <v>78.980999999999995</v>
      </c>
      <c r="X11">
        <v>78.736999999999995</v>
      </c>
      <c r="Y11">
        <v>78.513999999999996</v>
      </c>
      <c r="Z11">
        <v>78.331000000000003</v>
      </c>
      <c r="AA11">
        <v>78.183000000000007</v>
      </c>
      <c r="AB11">
        <v>78.069000000000003</v>
      </c>
      <c r="AC11">
        <v>77.989000000000004</v>
      </c>
      <c r="AD11">
        <v>77.94</v>
      </c>
      <c r="AE11">
        <v>77.909000000000006</v>
      </c>
      <c r="AF11">
        <v>77.912000000000006</v>
      </c>
      <c r="AG11">
        <v>77.924000000000007</v>
      </c>
      <c r="AH11">
        <v>77.896000000000001</v>
      </c>
      <c r="AI11">
        <v>71.322000000000003</v>
      </c>
      <c r="AJ11">
        <v>72.772999999999996</v>
      </c>
      <c r="AK11">
        <v>77.796000000000006</v>
      </c>
      <c r="AL11">
        <v>77.620999999999995</v>
      </c>
      <c r="AM11">
        <v>77.393000000000001</v>
      </c>
      <c r="AN11">
        <v>77.197000000000003</v>
      </c>
    </row>
    <row r="12" spans="1:40" x14ac:dyDescent="0.25">
      <c r="A12" t="s">
        <v>29</v>
      </c>
      <c r="B12" t="s">
        <v>30</v>
      </c>
      <c r="C12" t="s">
        <v>6</v>
      </c>
      <c r="D12">
        <v>0</v>
      </c>
      <c r="E12">
        <v>88.063000000000002</v>
      </c>
      <c r="F12">
        <v>87.974999999999994</v>
      </c>
      <c r="G12">
        <v>87.691999999999993</v>
      </c>
      <c r="H12">
        <v>87.006</v>
      </c>
      <c r="I12">
        <v>86.311999999999998</v>
      </c>
      <c r="J12">
        <v>85.685000000000002</v>
      </c>
      <c r="K12">
        <v>85.171999999999997</v>
      </c>
      <c r="L12">
        <v>84.796000000000006</v>
      </c>
      <c r="M12">
        <v>84.57</v>
      </c>
      <c r="N12">
        <v>84.477999999999994</v>
      </c>
      <c r="O12">
        <v>84.498999999999995</v>
      </c>
      <c r="P12">
        <v>83.971999999999994</v>
      </c>
      <c r="Q12">
        <v>82.771000000000001</v>
      </c>
      <c r="R12">
        <v>81.661000000000001</v>
      </c>
      <c r="S12">
        <v>80.896000000000001</v>
      </c>
      <c r="T12">
        <v>81.375</v>
      </c>
      <c r="U12">
        <v>82.236999999999995</v>
      </c>
      <c r="V12">
        <v>83.403000000000006</v>
      </c>
      <c r="W12">
        <v>84.73</v>
      </c>
      <c r="X12">
        <v>86.07</v>
      </c>
      <c r="Y12">
        <v>86.921999999999997</v>
      </c>
      <c r="Z12">
        <v>86.481999999999999</v>
      </c>
      <c r="AA12">
        <v>86.698999999999998</v>
      </c>
      <c r="AB12">
        <v>86.74</v>
      </c>
      <c r="AC12">
        <v>86.575000000000003</v>
      </c>
      <c r="AD12">
        <v>86.694999999999993</v>
      </c>
      <c r="AE12">
        <v>87.031000000000006</v>
      </c>
      <c r="AF12">
        <v>87.221000000000004</v>
      </c>
      <c r="AG12">
        <v>87.075000000000003</v>
      </c>
      <c r="AH12">
        <v>86.716999999999999</v>
      </c>
      <c r="AI12">
        <v>84.331000000000003</v>
      </c>
      <c r="AJ12">
        <v>84.137</v>
      </c>
      <c r="AK12">
        <v>85.694000000000003</v>
      </c>
      <c r="AL12">
        <v>86.165000000000006</v>
      </c>
      <c r="AM12">
        <v>86.006</v>
      </c>
      <c r="AN12">
        <v>85.870999999999995</v>
      </c>
    </row>
    <row r="13" spans="1:40" x14ac:dyDescent="0.25">
      <c r="A13" t="s">
        <v>31</v>
      </c>
      <c r="B13" t="s">
        <v>32</v>
      </c>
      <c r="C13" t="s">
        <v>22</v>
      </c>
      <c r="D13">
        <v>0</v>
      </c>
      <c r="E13">
        <v>87.641999999999996</v>
      </c>
      <c r="F13">
        <v>87.606999999999999</v>
      </c>
      <c r="G13">
        <v>87.537999999999997</v>
      </c>
      <c r="H13">
        <v>87.441999999999993</v>
      </c>
      <c r="I13">
        <v>87.319000000000003</v>
      </c>
      <c r="J13">
        <v>87.165000000000006</v>
      </c>
      <c r="K13">
        <v>86.994</v>
      </c>
      <c r="L13">
        <v>86.852999999999994</v>
      </c>
      <c r="M13">
        <v>86.751999999999995</v>
      </c>
      <c r="N13">
        <v>86.665000000000006</v>
      </c>
      <c r="O13">
        <v>86.59</v>
      </c>
      <c r="P13">
        <v>86.602999999999994</v>
      </c>
      <c r="Q13">
        <v>86.69</v>
      </c>
      <c r="R13">
        <v>86.763999999999996</v>
      </c>
      <c r="S13">
        <v>86.828999999999994</v>
      </c>
      <c r="T13">
        <v>86.884</v>
      </c>
      <c r="U13">
        <v>86.945999999999998</v>
      </c>
      <c r="V13">
        <v>85.841999999999999</v>
      </c>
      <c r="W13">
        <v>84.677000000000007</v>
      </c>
      <c r="X13">
        <v>83.447000000000003</v>
      </c>
      <c r="Y13">
        <v>82.150999999999996</v>
      </c>
      <c r="Z13">
        <v>82.084000000000003</v>
      </c>
      <c r="AA13">
        <v>81.995000000000005</v>
      </c>
      <c r="AB13">
        <v>81.897000000000006</v>
      </c>
      <c r="AC13">
        <v>81.322999999999993</v>
      </c>
      <c r="AD13">
        <v>80.736000000000004</v>
      </c>
      <c r="AE13">
        <v>80.134</v>
      </c>
      <c r="AF13">
        <v>81.406999999999996</v>
      </c>
      <c r="AG13">
        <v>81.141000000000005</v>
      </c>
      <c r="AH13">
        <v>80.95</v>
      </c>
      <c r="AI13">
        <v>80.552000000000007</v>
      </c>
      <c r="AJ13">
        <v>81.331999999999994</v>
      </c>
      <c r="AK13">
        <v>81.385000000000005</v>
      </c>
      <c r="AL13">
        <v>81.307000000000002</v>
      </c>
      <c r="AM13">
        <v>80.591999999999999</v>
      </c>
      <c r="AN13">
        <v>80.403999999999996</v>
      </c>
    </row>
    <row r="14" spans="1:40" x14ac:dyDescent="0.25">
      <c r="A14" t="s">
        <v>33</v>
      </c>
      <c r="B14" t="s">
        <v>34</v>
      </c>
      <c r="C14" t="s">
        <v>17</v>
      </c>
      <c r="D14">
        <v>0</v>
      </c>
      <c r="E14">
        <v>76.828999999999994</v>
      </c>
      <c r="F14">
        <v>76.072000000000003</v>
      </c>
      <c r="G14">
        <v>75.197000000000003</v>
      </c>
      <c r="H14">
        <v>75.647000000000006</v>
      </c>
      <c r="I14">
        <v>76.058999999999997</v>
      </c>
      <c r="J14">
        <v>76.677999999999997</v>
      </c>
      <c r="K14">
        <v>74.739999999999995</v>
      </c>
      <c r="L14">
        <v>75.664000000000001</v>
      </c>
      <c r="M14">
        <v>75.685000000000002</v>
      </c>
      <c r="N14">
        <v>75.67</v>
      </c>
      <c r="O14">
        <v>75.707999999999998</v>
      </c>
      <c r="P14">
        <v>75.744</v>
      </c>
      <c r="Q14">
        <v>75.682000000000002</v>
      </c>
      <c r="R14">
        <v>75.634</v>
      </c>
      <c r="S14">
        <v>76.213999999999999</v>
      </c>
      <c r="T14">
        <v>75.858999999999995</v>
      </c>
      <c r="U14">
        <v>75.507999999999996</v>
      </c>
      <c r="V14">
        <v>75.158000000000001</v>
      </c>
      <c r="W14">
        <v>74.781999999999996</v>
      </c>
      <c r="X14">
        <v>74.361000000000004</v>
      </c>
      <c r="Y14">
        <v>73.942999999999998</v>
      </c>
      <c r="Z14">
        <v>73.531000000000006</v>
      </c>
      <c r="AA14">
        <v>72.843000000000004</v>
      </c>
      <c r="AB14">
        <v>73.117000000000004</v>
      </c>
      <c r="AC14">
        <v>69.834000000000003</v>
      </c>
      <c r="AD14">
        <v>69.578999999999994</v>
      </c>
      <c r="AE14">
        <v>70.019000000000005</v>
      </c>
      <c r="AF14">
        <v>70.242000000000004</v>
      </c>
      <c r="AG14">
        <v>70.274000000000001</v>
      </c>
      <c r="AH14">
        <v>68.644000000000005</v>
      </c>
      <c r="AI14">
        <v>66.908000000000001</v>
      </c>
      <c r="AJ14">
        <v>66.197999999999993</v>
      </c>
      <c r="AK14">
        <v>70.06</v>
      </c>
      <c r="AL14">
        <v>69.328999999999994</v>
      </c>
      <c r="AM14">
        <v>68.983999999999995</v>
      </c>
      <c r="AN14">
        <v>68.747</v>
      </c>
    </row>
    <row r="15" spans="1:40" x14ac:dyDescent="0.25">
      <c r="A15" t="s">
        <v>35</v>
      </c>
      <c r="B15" t="s">
        <v>36</v>
      </c>
      <c r="C15" t="s">
        <v>9</v>
      </c>
      <c r="D15">
        <v>0</v>
      </c>
      <c r="E15">
        <v>66.626000000000005</v>
      </c>
      <c r="F15">
        <v>66.463999999999999</v>
      </c>
      <c r="G15">
        <v>66.665999999999997</v>
      </c>
      <c r="H15">
        <v>66.722999999999999</v>
      </c>
      <c r="I15">
        <v>67.081000000000003</v>
      </c>
      <c r="J15">
        <v>67.462000000000003</v>
      </c>
      <c r="K15">
        <v>67.055999999999997</v>
      </c>
      <c r="L15">
        <v>66.283000000000001</v>
      </c>
      <c r="M15">
        <v>65.844999999999999</v>
      </c>
      <c r="N15">
        <v>65.772000000000006</v>
      </c>
      <c r="O15">
        <v>66.192999999999998</v>
      </c>
      <c r="P15">
        <v>66.501999999999995</v>
      </c>
      <c r="Q15">
        <v>66.680000000000007</v>
      </c>
      <c r="R15">
        <v>66.822000000000003</v>
      </c>
      <c r="S15">
        <v>66.933999999999997</v>
      </c>
      <c r="T15">
        <v>67.097999999999999</v>
      </c>
      <c r="U15">
        <v>67.350999999999999</v>
      </c>
      <c r="V15">
        <v>67.674000000000007</v>
      </c>
      <c r="W15">
        <v>68.153000000000006</v>
      </c>
      <c r="X15">
        <v>68.721999999999994</v>
      </c>
      <c r="Y15">
        <v>69.281000000000006</v>
      </c>
      <c r="Z15">
        <v>69.819999999999993</v>
      </c>
      <c r="AA15">
        <v>70.242000000000004</v>
      </c>
      <c r="AB15">
        <v>70.569999999999993</v>
      </c>
      <c r="AC15">
        <v>70.799000000000007</v>
      </c>
      <c r="AD15">
        <v>70.957999999999998</v>
      </c>
      <c r="AE15">
        <v>71.103999999999999</v>
      </c>
      <c r="AF15">
        <v>71.504000000000005</v>
      </c>
      <c r="AG15">
        <v>71.959999999999994</v>
      </c>
      <c r="AH15">
        <v>71.369</v>
      </c>
      <c r="AI15">
        <v>71.355999999999995</v>
      </c>
      <c r="AJ15">
        <v>71.176000000000002</v>
      </c>
      <c r="AK15">
        <v>71.38</v>
      </c>
      <c r="AL15">
        <v>70.906999999999996</v>
      </c>
      <c r="AM15">
        <v>70.430000000000007</v>
      </c>
      <c r="AN15">
        <v>69.858000000000004</v>
      </c>
    </row>
    <row r="16" spans="1:40" x14ac:dyDescent="0.25">
      <c r="A16" t="s">
        <v>37</v>
      </c>
      <c r="B16" t="s">
        <v>38</v>
      </c>
      <c r="C16" t="s">
        <v>9</v>
      </c>
      <c r="D16">
        <v>0</v>
      </c>
      <c r="E16">
        <v>60.865000000000002</v>
      </c>
      <c r="F16">
        <v>61.238999999999997</v>
      </c>
      <c r="G16">
        <v>61.01</v>
      </c>
      <c r="H16">
        <v>60.462000000000003</v>
      </c>
      <c r="I16">
        <v>61.09</v>
      </c>
      <c r="J16">
        <v>61.12</v>
      </c>
      <c r="K16">
        <v>60.932000000000002</v>
      </c>
      <c r="L16">
        <v>60.639000000000003</v>
      </c>
      <c r="M16">
        <v>60.558</v>
      </c>
      <c r="N16">
        <v>61.168999999999997</v>
      </c>
      <c r="O16">
        <v>61.436999999999998</v>
      </c>
      <c r="P16">
        <v>60.381</v>
      </c>
      <c r="Q16">
        <v>60.244999999999997</v>
      </c>
      <c r="R16">
        <v>60.158000000000001</v>
      </c>
      <c r="S16">
        <v>60.195999999999998</v>
      </c>
      <c r="T16">
        <v>61.378</v>
      </c>
      <c r="U16">
        <v>60.851999999999997</v>
      </c>
      <c r="V16">
        <v>61.152000000000001</v>
      </c>
      <c r="W16">
        <v>60.863999999999997</v>
      </c>
      <c r="X16">
        <v>60.423999999999999</v>
      </c>
      <c r="Y16">
        <v>60.899000000000001</v>
      </c>
      <c r="Z16">
        <v>59.82</v>
      </c>
      <c r="AA16">
        <v>59.826000000000001</v>
      </c>
      <c r="AB16">
        <v>59.732999999999997</v>
      </c>
      <c r="AC16">
        <v>59.305999999999997</v>
      </c>
      <c r="AD16">
        <v>58.954000000000001</v>
      </c>
      <c r="AE16">
        <v>58.771000000000001</v>
      </c>
      <c r="AF16">
        <v>58.95</v>
      </c>
      <c r="AG16">
        <v>58.792999999999999</v>
      </c>
      <c r="AH16">
        <v>58.908000000000001</v>
      </c>
      <c r="AI16">
        <v>58.305999999999997</v>
      </c>
      <c r="AJ16">
        <v>58.93</v>
      </c>
      <c r="AK16">
        <v>59.323</v>
      </c>
      <c r="AL16">
        <v>59.18</v>
      </c>
      <c r="AM16">
        <v>59.298000000000002</v>
      </c>
      <c r="AN16">
        <v>58.951000000000001</v>
      </c>
    </row>
    <row r="17" spans="1:40" x14ac:dyDescent="0.25">
      <c r="A17" t="s">
        <v>39</v>
      </c>
      <c r="B17" t="s">
        <v>40</v>
      </c>
      <c r="C17" t="s">
        <v>17</v>
      </c>
      <c r="D17">
        <v>0</v>
      </c>
      <c r="E17">
        <v>77.585999999999999</v>
      </c>
      <c r="F17">
        <v>77.551000000000002</v>
      </c>
      <c r="G17">
        <v>77.531000000000006</v>
      </c>
      <c r="H17">
        <v>77.537999999999997</v>
      </c>
      <c r="I17">
        <v>77.503</v>
      </c>
      <c r="J17">
        <v>78.075999999999993</v>
      </c>
      <c r="K17">
        <v>78.623999999999995</v>
      </c>
      <c r="L17">
        <v>79.162999999999997</v>
      </c>
      <c r="M17">
        <v>77.909000000000006</v>
      </c>
      <c r="N17">
        <v>79.090999999999994</v>
      </c>
      <c r="O17">
        <v>79.088999999999999</v>
      </c>
      <c r="P17">
        <v>79.08</v>
      </c>
      <c r="Q17">
        <v>79.070999999999998</v>
      </c>
      <c r="R17">
        <v>79.064999999999998</v>
      </c>
      <c r="S17">
        <v>79.058999999999997</v>
      </c>
      <c r="T17">
        <v>79.052000000000007</v>
      </c>
      <c r="U17">
        <v>79.046000000000006</v>
      </c>
      <c r="V17">
        <v>79.039000000000001</v>
      </c>
      <c r="W17">
        <v>79.03</v>
      </c>
      <c r="X17">
        <v>79.02</v>
      </c>
      <c r="Y17">
        <v>78.98</v>
      </c>
      <c r="Z17">
        <v>78.914000000000001</v>
      </c>
      <c r="AA17">
        <v>78.852000000000004</v>
      </c>
      <c r="AB17">
        <v>78.792000000000002</v>
      </c>
      <c r="AC17">
        <v>79.600999999999999</v>
      </c>
      <c r="AD17">
        <v>79.477000000000004</v>
      </c>
      <c r="AE17">
        <v>79.331000000000003</v>
      </c>
      <c r="AF17">
        <v>79.266999999999996</v>
      </c>
      <c r="AG17">
        <v>80.385000000000005</v>
      </c>
      <c r="AH17">
        <v>82.295000000000002</v>
      </c>
      <c r="AI17">
        <v>67.856999999999999</v>
      </c>
      <c r="AJ17">
        <v>73.912000000000006</v>
      </c>
      <c r="AK17">
        <v>73.022999999999996</v>
      </c>
      <c r="AL17">
        <v>71.049000000000007</v>
      </c>
      <c r="AM17">
        <v>69.766000000000005</v>
      </c>
      <c r="AN17">
        <v>71.641000000000005</v>
      </c>
    </row>
    <row r="18" spans="1:40" x14ac:dyDescent="0.25">
      <c r="A18" t="s">
        <v>41</v>
      </c>
      <c r="B18" t="s">
        <v>42</v>
      </c>
      <c r="C18" t="s">
        <v>14</v>
      </c>
      <c r="D18">
        <v>0</v>
      </c>
      <c r="E18">
        <v>88.703000000000003</v>
      </c>
      <c r="F18">
        <v>88.694999999999993</v>
      </c>
      <c r="G18">
        <v>88.673000000000002</v>
      </c>
      <c r="H18">
        <v>87.727999999999994</v>
      </c>
      <c r="I18">
        <v>86.781999999999996</v>
      </c>
      <c r="J18">
        <v>85.838999999999999</v>
      </c>
      <c r="K18">
        <v>84.867999999999995</v>
      </c>
      <c r="L18">
        <v>83.875</v>
      </c>
      <c r="M18">
        <v>82.863</v>
      </c>
      <c r="N18">
        <v>81.831000000000003</v>
      </c>
      <c r="O18">
        <v>80.777000000000001</v>
      </c>
      <c r="P18">
        <v>79.697999999999993</v>
      </c>
      <c r="Q18">
        <v>78.591999999999999</v>
      </c>
      <c r="R18">
        <v>78.111999999999995</v>
      </c>
      <c r="S18">
        <v>77.632000000000005</v>
      </c>
      <c r="T18">
        <v>77.155000000000001</v>
      </c>
      <c r="U18">
        <v>76.677000000000007</v>
      </c>
      <c r="V18">
        <v>76.192999999999998</v>
      </c>
      <c r="W18">
        <v>75.709999999999994</v>
      </c>
      <c r="X18">
        <v>75.225999999999999</v>
      </c>
      <c r="Y18">
        <v>74.742000000000004</v>
      </c>
      <c r="Z18">
        <v>74.257000000000005</v>
      </c>
      <c r="AA18">
        <v>74.459999999999994</v>
      </c>
      <c r="AB18">
        <v>74.662000000000006</v>
      </c>
      <c r="AC18">
        <v>74.864999999999995</v>
      </c>
      <c r="AD18">
        <v>75.067999999999998</v>
      </c>
      <c r="AE18">
        <v>75.27</v>
      </c>
      <c r="AF18">
        <v>75.472999999999999</v>
      </c>
      <c r="AG18">
        <v>75.676000000000002</v>
      </c>
      <c r="AH18">
        <v>75.878</v>
      </c>
      <c r="AI18">
        <v>75.989999999999995</v>
      </c>
      <c r="AJ18">
        <v>77.414000000000001</v>
      </c>
      <c r="AK18">
        <v>77.945999999999998</v>
      </c>
      <c r="AL18">
        <v>77.762</v>
      </c>
      <c r="AM18">
        <v>77.567999999999998</v>
      </c>
      <c r="AN18">
        <v>77.558000000000007</v>
      </c>
    </row>
    <row r="19" spans="1:40" x14ac:dyDescent="0.25">
      <c r="A19" t="s">
        <v>43</v>
      </c>
      <c r="B19" t="s">
        <v>44</v>
      </c>
      <c r="C19" t="s">
        <v>22</v>
      </c>
      <c r="D19">
        <v>0</v>
      </c>
      <c r="E19">
        <v>84.662000000000006</v>
      </c>
      <c r="F19">
        <v>84.406000000000006</v>
      </c>
      <c r="G19">
        <v>84.094999999999999</v>
      </c>
      <c r="H19">
        <v>83.724999999999994</v>
      </c>
      <c r="I19">
        <v>83.334000000000003</v>
      </c>
      <c r="J19">
        <v>82.896000000000001</v>
      </c>
      <c r="K19">
        <v>82.421000000000006</v>
      </c>
      <c r="L19">
        <v>81.917000000000002</v>
      </c>
      <c r="M19">
        <v>81.373000000000005</v>
      </c>
      <c r="N19">
        <v>80.497</v>
      </c>
      <c r="O19">
        <v>79.311999999999998</v>
      </c>
      <c r="P19">
        <v>78.126999999999995</v>
      </c>
      <c r="Q19">
        <v>76.980999999999995</v>
      </c>
      <c r="R19">
        <v>75.903999999999996</v>
      </c>
      <c r="S19">
        <v>74.906000000000006</v>
      </c>
      <c r="T19">
        <v>74.191999999999993</v>
      </c>
      <c r="U19">
        <v>73.835999999999999</v>
      </c>
      <c r="V19">
        <v>73.590999999999994</v>
      </c>
      <c r="W19">
        <v>73.337999999999994</v>
      </c>
      <c r="X19">
        <v>73.105999999999995</v>
      </c>
      <c r="Y19">
        <v>72.182000000000002</v>
      </c>
      <c r="Z19">
        <v>71.652000000000001</v>
      </c>
      <c r="AA19">
        <v>65.507000000000005</v>
      </c>
      <c r="AB19">
        <v>71.230999999999995</v>
      </c>
      <c r="AC19">
        <v>69.850999999999999</v>
      </c>
      <c r="AD19">
        <v>69.953000000000003</v>
      </c>
      <c r="AE19">
        <v>69.700999999999993</v>
      </c>
      <c r="AF19">
        <v>69.453999999999994</v>
      </c>
      <c r="AG19">
        <v>69.210999999999999</v>
      </c>
      <c r="AH19">
        <v>71.203000000000003</v>
      </c>
      <c r="AI19">
        <v>71.912999999999997</v>
      </c>
      <c r="AJ19">
        <v>72.656000000000006</v>
      </c>
      <c r="AK19">
        <v>72.111999999999995</v>
      </c>
      <c r="AL19">
        <v>72.149000000000001</v>
      </c>
      <c r="AM19">
        <v>71.974999999999994</v>
      </c>
      <c r="AN19">
        <v>71.784000000000006</v>
      </c>
    </row>
    <row r="20" spans="1:40" x14ac:dyDescent="0.25">
      <c r="A20" t="s">
        <v>45</v>
      </c>
      <c r="B20" t="s">
        <v>46</v>
      </c>
      <c r="C20" t="s">
        <v>17</v>
      </c>
      <c r="D20">
        <v>0</v>
      </c>
      <c r="E20">
        <v>82.543999999999997</v>
      </c>
      <c r="F20">
        <v>82.673000000000002</v>
      </c>
      <c r="G20">
        <v>82.5</v>
      </c>
      <c r="H20">
        <v>82.391999999999996</v>
      </c>
      <c r="I20">
        <v>82.209000000000003</v>
      </c>
      <c r="J20">
        <v>82.066999999999993</v>
      </c>
      <c r="K20">
        <v>81.933999999999997</v>
      </c>
      <c r="L20">
        <v>81.873000000000005</v>
      </c>
      <c r="M20">
        <v>81.635999999999996</v>
      </c>
      <c r="N20">
        <v>81.400000000000006</v>
      </c>
      <c r="O20">
        <v>81.165000000000006</v>
      </c>
      <c r="P20">
        <v>80.933999999999997</v>
      </c>
      <c r="Q20">
        <v>80.716999999999999</v>
      </c>
      <c r="R20">
        <v>80.510999999999996</v>
      </c>
      <c r="S20">
        <v>80.305000000000007</v>
      </c>
      <c r="T20">
        <v>80.099000000000004</v>
      </c>
      <c r="U20">
        <v>79.891000000000005</v>
      </c>
      <c r="V20">
        <v>79.682000000000002</v>
      </c>
      <c r="W20">
        <v>79.471999999999994</v>
      </c>
      <c r="X20">
        <v>79.260000000000005</v>
      </c>
      <c r="Y20">
        <v>79.046000000000006</v>
      </c>
      <c r="Z20">
        <v>78.831999999999994</v>
      </c>
      <c r="AA20">
        <v>78.614999999999995</v>
      </c>
      <c r="AB20">
        <v>78.397999999999996</v>
      </c>
      <c r="AC20">
        <v>78.179000000000002</v>
      </c>
      <c r="AD20">
        <v>77.957999999999998</v>
      </c>
      <c r="AE20">
        <v>77.736000000000004</v>
      </c>
      <c r="AF20">
        <v>78.105999999999995</v>
      </c>
      <c r="AG20">
        <v>80.001999999999995</v>
      </c>
      <c r="AH20">
        <v>82.048000000000002</v>
      </c>
      <c r="AI20">
        <v>79.507000000000005</v>
      </c>
      <c r="AJ20">
        <v>84.557000000000002</v>
      </c>
      <c r="AK20">
        <v>84.873000000000005</v>
      </c>
      <c r="AL20">
        <v>84.356999999999999</v>
      </c>
      <c r="AM20">
        <v>84.323999999999998</v>
      </c>
      <c r="AN20">
        <v>84.438999999999993</v>
      </c>
    </row>
    <row r="21" spans="1:40" x14ac:dyDescent="0.25">
      <c r="A21" t="s">
        <v>47</v>
      </c>
      <c r="B21" t="s">
        <v>48</v>
      </c>
      <c r="C21" t="s">
        <v>9</v>
      </c>
      <c r="D21">
        <v>0</v>
      </c>
      <c r="E21">
        <v>68.075000000000003</v>
      </c>
      <c r="F21">
        <v>68.494</v>
      </c>
      <c r="G21">
        <v>68.784000000000006</v>
      </c>
      <c r="H21">
        <v>68.653999999999996</v>
      </c>
      <c r="I21">
        <v>68.375</v>
      </c>
      <c r="J21">
        <v>67.855999999999995</v>
      </c>
      <c r="K21">
        <v>67.314999999999998</v>
      </c>
      <c r="L21">
        <v>66.941000000000003</v>
      </c>
      <c r="M21">
        <v>66.578999999999994</v>
      </c>
      <c r="N21">
        <v>66.274000000000001</v>
      </c>
      <c r="O21">
        <v>65.853999999999999</v>
      </c>
      <c r="P21">
        <v>65.555000000000007</v>
      </c>
      <c r="Q21">
        <v>65.156000000000006</v>
      </c>
      <c r="R21">
        <v>64.817999999999998</v>
      </c>
      <c r="S21">
        <v>64.506</v>
      </c>
      <c r="T21">
        <v>64.201999999999998</v>
      </c>
      <c r="U21">
        <v>63.923999999999999</v>
      </c>
      <c r="V21">
        <v>63.764000000000003</v>
      </c>
      <c r="W21">
        <v>63.697000000000003</v>
      </c>
      <c r="X21">
        <v>63.726999999999997</v>
      </c>
      <c r="Y21">
        <v>63.548000000000002</v>
      </c>
      <c r="Z21">
        <v>63.545000000000002</v>
      </c>
      <c r="AA21">
        <v>63.308</v>
      </c>
      <c r="AB21">
        <v>62.923999999999999</v>
      </c>
      <c r="AC21">
        <v>62.643000000000001</v>
      </c>
      <c r="AD21">
        <v>62.405000000000001</v>
      </c>
      <c r="AE21">
        <v>62.103000000000002</v>
      </c>
      <c r="AF21">
        <v>61.715000000000003</v>
      </c>
      <c r="AG21">
        <v>61.311</v>
      </c>
      <c r="AH21">
        <v>60.798000000000002</v>
      </c>
      <c r="AI21">
        <v>59.198999999999998</v>
      </c>
      <c r="AJ21">
        <v>59.375999999999998</v>
      </c>
      <c r="AK21">
        <v>60.496000000000002</v>
      </c>
      <c r="AL21">
        <v>60.624000000000002</v>
      </c>
      <c r="AM21">
        <v>60.353999999999999</v>
      </c>
      <c r="AN21">
        <v>59.978000000000002</v>
      </c>
    </row>
    <row r="22" spans="1:40" x14ac:dyDescent="0.25">
      <c r="A22" t="s">
        <v>49</v>
      </c>
      <c r="B22" t="s">
        <v>50</v>
      </c>
      <c r="C22" t="s">
        <v>14</v>
      </c>
      <c r="D22">
        <v>0</v>
      </c>
      <c r="E22">
        <v>77.953999999999994</v>
      </c>
      <c r="F22">
        <v>77.385999999999996</v>
      </c>
      <c r="G22">
        <v>76.881</v>
      </c>
      <c r="H22">
        <v>76.340999999999994</v>
      </c>
      <c r="I22">
        <v>75.632000000000005</v>
      </c>
      <c r="J22">
        <v>74.757999999999996</v>
      </c>
      <c r="K22">
        <v>73.843000000000004</v>
      </c>
      <c r="L22">
        <v>72.850999999999999</v>
      </c>
      <c r="M22">
        <v>72.046999999999997</v>
      </c>
      <c r="N22">
        <v>70.290999999999997</v>
      </c>
      <c r="O22">
        <v>68.375</v>
      </c>
      <c r="P22">
        <v>68.182000000000002</v>
      </c>
      <c r="Q22">
        <v>67.927999999999997</v>
      </c>
      <c r="R22">
        <v>67.66</v>
      </c>
      <c r="S22">
        <v>67.424000000000007</v>
      </c>
      <c r="T22">
        <v>67.180000000000007</v>
      </c>
      <c r="U22">
        <v>66.891999999999996</v>
      </c>
      <c r="V22">
        <v>67.906999999999996</v>
      </c>
      <c r="W22">
        <v>68.846000000000004</v>
      </c>
      <c r="X22">
        <v>69.710999999999999</v>
      </c>
      <c r="Y22">
        <v>66.700999999999993</v>
      </c>
      <c r="Z22">
        <v>67.281000000000006</v>
      </c>
      <c r="AA22">
        <v>67.730999999999995</v>
      </c>
      <c r="AB22">
        <v>67.986000000000004</v>
      </c>
      <c r="AC22">
        <v>68.153999999999996</v>
      </c>
      <c r="AD22">
        <v>68.272000000000006</v>
      </c>
      <c r="AE22">
        <v>68.391000000000005</v>
      </c>
      <c r="AF22">
        <v>68.552999999999997</v>
      </c>
      <c r="AG22">
        <v>68.759</v>
      </c>
      <c r="AH22">
        <v>68.998999999999995</v>
      </c>
      <c r="AI22">
        <v>66.519000000000005</v>
      </c>
      <c r="AJ22">
        <v>69.097999999999999</v>
      </c>
      <c r="AK22">
        <v>69.363</v>
      </c>
      <c r="AL22">
        <v>73.194999999999993</v>
      </c>
      <c r="AM22">
        <v>73.772000000000006</v>
      </c>
      <c r="AN22">
        <v>73.977999999999994</v>
      </c>
    </row>
    <row r="23" spans="1:40" x14ac:dyDescent="0.25">
      <c r="A23" t="s">
        <v>51</v>
      </c>
      <c r="B23" t="s">
        <v>52</v>
      </c>
      <c r="C23" t="s">
        <v>17</v>
      </c>
      <c r="D23">
        <v>0</v>
      </c>
      <c r="E23">
        <v>85.447999999999993</v>
      </c>
      <c r="F23">
        <v>85.468000000000004</v>
      </c>
      <c r="G23">
        <v>84.867999999999995</v>
      </c>
      <c r="H23">
        <v>84.238</v>
      </c>
      <c r="I23">
        <v>83.578000000000003</v>
      </c>
      <c r="J23">
        <v>82.894000000000005</v>
      </c>
      <c r="K23">
        <v>80.706000000000003</v>
      </c>
      <c r="L23">
        <v>81.388000000000005</v>
      </c>
      <c r="M23">
        <v>80.843999999999994</v>
      </c>
      <c r="N23">
        <v>80.858000000000004</v>
      </c>
      <c r="O23">
        <v>80.216999999999999</v>
      </c>
      <c r="P23">
        <v>79.546999999999997</v>
      </c>
      <c r="Q23">
        <v>79.802999999999997</v>
      </c>
      <c r="R23">
        <v>79.444000000000003</v>
      </c>
      <c r="S23">
        <v>79.504000000000005</v>
      </c>
      <c r="T23">
        <v>79.650999999999996</v>
      </c>
      <c r="U23">
        <v>79.281999999999996</v>
      </c>
      <c r="V23">
        <v>78.724999999999994</v>
      </c>
      <c r="W23">
        <v>78.741</v>
      </c>
      <c r="X23">
        <v>78.665999999999997</v>
      </c>
      <c r="Y23">
        <v>77.69</v>
      </c>
      <c r="Z23">
        <v>76.692999999999998</v>
      </c>
      <c r="AA23">
        <v>76.430000000000007</v>
      </c>
      <c r="AB23">
        <v>76.293000000000006</v>
      </c>
      <c r="AC23">
        <v>75.856999999999999</v>
      </c>
      <c r="AD23">
        <v>75.709000000000003</v>
      </c>
      <c r="AE23">
        <v>75.540000000000006</v>
      </c>
      <c r="AF23">
        <v>75.16</v>
      </c>
      <c r="AG23">
        <v>74.881</v>
      </c>
      <c r="AH23">
        <v>74.917000000000002</v>
      </c>
      <c r="AI23">
        <v>71.100999999999999</v>
      </c>
      <c r="AJ23">
        <v>72.914000000000001</v>
      </c>
      <c r="AK23">
        <v>73.67</v>
      </c>
      <c r="AL23">
        <v>73.116</v>
      </c>
      <c r="AM23">
        <v>73.602000000000004</v>
      </c>
      <c r="AN23">
        <v>73.370999999999995</v>
      </c>
    </row>
    <row r="24" spans="1:40" x14ac:dyDescent="0.25">
      <c r="A24" t="s">
        <v>53</v>
      </c>
      <c r="B24" t="s">
        <v>54</v>
      </c>
      <c r="C24" t="s">
        <v>22</v>
      </c>
      <c r="D24">
        <v>0</v>
      </c>
      <c r="E24">
        <v>81.947000000000003</v>
      </c>
      <c r="F24">
        <v>82.338999999999999</v>
      </c>
      <c r="G24">
        <v>82.284000000000006</v>
      </c>
      <c r="H24">
        <v>82.16</v>
      </c>
      <c r="I24">
        <v>81.951999999999998</v>
      </c>
      <c r="J24">
        <v>81.66</v>
      </c>
      <c r="K24">
        <v>81.311000000000007</v>
      </c>
      <c r="L24">
        <v>80.941999999999993</v>
      </c>
      <c r="M24">
        <v>80.561999999999998</v>
      </c>
      <c r="N24">
        <v>80.162999999999997</v>
      </c>
      <c r="O24">
        <v>79.738</v>
      </c>
      <c r="P24">
        <v>79.275999999999996</v>
      </c>
      <c r="Q24">
        <v>78.903999999999996</v>
      </c>
      <c r="R24">
        <v>78.497</v>
      </c>
      <c r="S24">
        <v>78.075999999999993</v>
      </c>
      <c r="T24">
        <v>77.653000000000006</v>
      </c>
      <c r="U24">
        <v>77.209000000000003</v>
      </c>
      <c r="V24">
        <v>76.620999999999995</v>
      </c>
      <c r="W24">
        <v>75.974999999999994</v>
      </c>
      <c r="X24">
        <v>75.478999999999999</v>
      </c>
      <c r="Y24">
        <v>75.147999999999996</v>
      </c>
      <c r="Z24">
        <v>74.882999999999996</v>
      </c>
      <c r="AA24">
        <v>74.516000000000005</v>
      </c>
      <c r="AB24">
        <v>74.040000000000006</v>
      </c>
      <c r="AC24">
        <v>73.519000000000005</v>
      </c>
      <c r="AD24">
        <v>72.971000000000004</v>
      </c>
      <c r="AE24">
        <v>72.432000000000002</v>
      </c>
      <c r="AF24">
        <v>71.94</v>
      </c>
      <c r="AG24">
        <v>74.021000000000001</v>
      </c>
      <c r="AH24">
        <v>73.254999999999995</v>
      </c>
      <c r="AI24">
        <v>72.176000000000002</v>
      </c>
      <c r="AJ24">
        <v>71.790000000000006</v>
      </c>
      <c r="AK24">
        <v>73.105000000000004</v>
      </c>
      <c r="AL24">
        <v>73.358999999999995</v>
      </c>
      <c r="AM24">
        <v>73.057000000000002</v>
      </c>
      <c r="AN24">
        <v>72.802000000000007</v>
      </c>
    </row>
    <row r="25" spans="1:40" x14ac:dyDescent="0.25">
      <c r="A25" t="s">
        <v>55</v>
      </c>
      <c r="B25" t="s">
        <v>56</v>
      </c>
      <c r="C25" t="s">
        <v>9</v>
      </c>
      <c r="D25">
        <v>0</v>
      </c>
      <c r="E25">
        <v>55.872</v>
      </c>
      <c r="F25">
        <v>55.838999999999999</v>
      </c>
      <c r="G25">
        <v>55.83</v>
      </c>
      <c r="H25">
        <v>55.694000000000003</v>
      </c>
      <c r="I25">
        <v>55.578000000000003</v>
      </c>
      <c r="J25">
        <v>55.44</v>
      </c>
      <c r="K25">
        <v>55.207000000000001</v>
      </c>
      <c r="L25">
        <v>55.948</v>
      </c>
      <c r="M25">
        <v>55.718000000000004</v>
      </c>
      <c r="N25">
        <v>56.215000000000003</v>
      </c>
      <c r="O25">
        <v>55.988</v>
      </c>
      <c r="P25">
        <v>56.634999999999998</v>
      </c>
      <c r="Q25">
        <v>56.075000000000003</v>
      </c>
      <c r="R25">
        <v>55.845999999999997</v>
      </c>
      <c r="S25">
        <v>56.491999999999997</v>
      </c>
      <c r="T25">
        <v>56.018999999999998</v>
      </c>
      <c r="U25">
        <v>57.677999999999997</v>
      </c>
      <c r="V25">
        <v>59.435000000000002</v>
      </c>
      <c r="W25">
        <v>61.247</v>
      </c>
      <c r="X25">
        <v>60.587000000000003</v>
      </c>
      <c r="Y25">
        <v>59.609000000000002</v>
      </c>
      <c r="Z25">
        <v>58.296999999999997</v>
      </c>
      <c r="AA25">
        <v>58.774000000000001</v>
      </c>
      <c r="AB25">
        <v>59.738</v>
      </c>
      <c r="AC25">
        <v>59.963000000000001</v>
      </c>
      <c r="AD25">
        <v>60.110999999999997</v>
      </c>
      <c r="AE25">
        <v>59.639000000000003</v>
      </c>
      <c r="AF25">
        <v>61.667000000000002</v>
      </c>
      <c r="AG25">
        <v>61.957000000000001</v>
      </c>
      <c r="AH25">
        <v>63.454999999999998</v>
      </c>
      <c r="AI25">
        <v>62.780999999999999</v>
      </c>
      <c r="AJ25">
        <v>62.128</v>
      </c>
      <c r="AK25">
        <v>63.188000000000002</v>
      </c>
      <c r="AL25">
        <v>63.277999999999999</v>
      </c>
      <c r="AM25">
        <v>62.575000000000003</v>
      </c>
      <c r="AN25">
        <v>62.362000000000002</v>
      </c>
    </row>
    <row r="26" spans="1:40" x14ac:dyDescent="0.25">
      <c r="A26" t="s">
        <v>57</v>
      </c>
      <c r="B26" t="s">
        <v>58</v>
      </c>
      <c r="C26" t="s">
        <v>14</v>
      </c>
      <c r="D26">
        <v>0</v>
      </c>
      <c r="E26">
        <v>88.789000000000001</v>
      </c>
      <c r="F26">
        <v>88.894999999999996</v>
      </c>
      <c r="G26">
        <v>88.727000000000004</v>
      </c>
      <c r="H26">
        <v>88.555000000000007</v>
      </c>
      <c r="I26">
        <v>88.379000000000005</v>
      </c>
      <c r="J26">
        <v>88.198999999999998</v>
      </c>
      <c r="K26">
        <v>88.016999999999996</v>
      </c>
      <c r="L26">
        <v>87.831999999999994</v>
      </c>
      <c r="M26">
        <v>87.638999999999996</v>
      </c>
      <c r="N26">
        <v>87.438000000000002</v>
      </c>
      <c r="O26">
        <v>87.233000000000004</v>
      </c>
      <c r="P26">
        <v>87.025000000000006</v>
      </c>
      <c r="Q26">
        <v>86.813000000000002</v>
      </c>
      <c r="R26">
        <v>86.597999999999999</v>
      </c>
      <c r="S26">
        <v>86.382000000000005</v>
      </c>
      <c r="T26">
        <v>86.165000000000006</v>
      </c>
      <c r="U26">
        <v>85.947999999999993</v>
      </c>
      <c r="V26">
        <v>85.733000000000004</v>
      </c>
      <c r="W26">
        <v>85.521000000000001</v>
      </c>
      <c r="X26">
        <v>85.305999999999997</v>
      </c>
      <c r="Y26">
        <v>85.088999999999999</v>
      </c>
      <c r="Z26">
        <v>84.869</v>
      </c>
      <c r="AA26">
        <v>84.644000000000005</v>
      </c>
      <c r="AB26">
        <v>84.415999999999997</v>
      </c>
      <c r="AC26">
        <v>84.185000000000002</v>
      </c>
      <c r="AD26">
        <v>83.95</v>
      </c>
      <c r="AE26">
        <v>83.710999999999999</v>
      </c>
      <c r="AF26">
        <v>83.47</v>
      </c>
      <c r="AG26">
        <v>83.227000000000004</v>
      </c>
      <c r="AH26">
        <v>82.983000000000004</v>
      </c>
      <c r="AI26">
        <v>81.152000000000001</v>
      </c>
      <c r="AJ26">
        <v>80.543999999999997</v>
      </c>
      <c r="AK26">
        <v>79.528999999999996</v>
      </c>
      <c r="AL26">
        <v>77.906000000000006</v>
      </c>
      <c r="AM26">
        <v>76.221999999999994</v>
      </c>
      <c r="AN26">
        <v>76.135000000000005</v>
      </c>
    </row>
    <row r="27" spans="1:40" x14ac:dyDescent="0.25">
      <c r="A27" t="s">
        <v>59</v>
      </c>
      <c r="B27" t="s">
        <v>60</v>
      </c>
      <c r="C27" t="s">
        <v>14</v>
      </c>
      <c r="D27">
        <v>0</v>
      </c>
      <c r="E27">
        <v>89.712999999999994</v>
      </c>
      <c r="F27">
        <v>89.125</v>
      </c>
      <c r="G27">
        <v>88.525000000000006</v>
      </c>
      <c r="H27">
        <v>87.706000000000003</v>
      </c>
      <c r="I27">
        <v>86.888999999999996</v>
      </c>
      <c r="J27">
        <v>86.242999999999995</v>
      </c>
      <c r="K27">
        <v>85.356999999999999</v>
      </c>
      <c r="L27">
        <v>84.376000000000005</v>
      </c>
      <c r="M27">
        <v>83.412999999999997</v>
      </c>
      <c r="N27">
        <v>82.67</v>
      </c>
      <c r="O27">
        <v>81.92</v>
      </c>
      <c r="P27">
        <v>81.197000000000003</v>
      </c>
      <c r="Q27">
        <v>80.491</v>
      </c>
      <c r="R27">
        <v>79.802999999999997</v>
      </c>
      <c r="S27">
        <v>79.156999999999996</v>
      </c>
      <c r="T27">
        <v>78.506</v>
      </c>
      <c r="U27">
        <v>77.856999999999999</v>
      </c>
      <c r="V27">
        <v>77.677999999999997</v>
      </c>
      <c r="W27">
        <v>77.524000000000001</v>
      </c>
      <c r="X27">
        <v>77.522000000000006</v>
      </c>
      <c r="Y27">
        <v>77.542000000000002</v>
      </c>
      <c r="Z27">
        <v>77.456999999999994</v>
      </c>
      <c r="AA27">
        <v>77.403999999999996</v>
      </c>
      <c r="AB27">
        <v>77.388999999999996</v>
      </c>
      <c r="AC27">
        <v>77.358999999999995</v>
      </c>
      <c r="AD27">
        <v>78.150999999999996</v>
      </c>
      <c r="AE27">
        <v>78.805000000000007</v>
      </c>
      <c r="AF27">
        <v>79.061999999999998</v>
      </c>
      <c r="AG27">
        <v>78.977999999999994</v>
      </c>
      <c r="AH27">
        <v>78.552999999999997</v>
      </c>
      <c r="AI27">
        <v>78.534000000000006</v>
      </c>
      <c r="AJ27">
        <v>77.650999999999996</v>
      </c>
      <c r="AK27">
        <v>77.918999999999997</v>
      </c>
      <c r="AL27">
        <v>77.581000000000003</v>
      </c>
      <c r="AM27">
        <v>77.215000000000003</v>
      </c>
      <c r="AN27">
        <v>76.971000000000004</v>
      </c>
    </row>
    <row r="28" spans="1:40" x14ac:dyDescent="0.25">
      <c r="A28" t="s">
        <v>61</v>
      </c>
      <c r="B28" t="s">
        <v>62</v>
      </c>
      <c r="C28" t="s">
        <v>14</v>
      </c>
      <c r="D28">
        <v>0</v>
      </c>
      <c r="E28">
        <v>84.802999999999997</v>
      </c>
      <c r="F28">
        <v>83.707999999999998</v>
      </c>
      <c r="G28">
        <v>82.619</v>
      </c>
      <c r="H28">
        <v>81.531999999999996</v>
      </c>
      <c r="I28">
        <v>80.444999999999993</v>
      </c>
      <c r="J28">
        <v>79.358000000000004</v>
      </c>
      <c r="K28">
        <v>78.268000000000001</v>
      </c>
      <c r="L28">
        <v>77.176000000000002</v>
      </c>
      <c r="M28">
        <v>76.076999999999998</v>
      </c>
      <c r="N28">
        <v>74.971000000000004</v>
      </c>
      <c r="O28">
        <v>73.846000000000004</v>
      </c>
      <c r="P28">
        <v>72.694999999999993</v>
      </c>
      <c r="Q28">
        <v>71.531000000000006</v>
      </c>
      <c r="R28">
        <v>70.363</v>
      </c>
      <c r="S28">
        <v>69.191999999999993</v>
      </c>
      <c r="T28">
        <v>68.02</v>
      </c>
      <c r="U28">
        <v>66.844999999999999</v>
      </c>
      <c r="V28">
        <v>65.668999999999997</v>
      </c>
      <c r="W28">
        <v>64.489000000000004</v>
      </c>
      <c r="X28">
        <v>63.305</v>
      </c>
      <c r="Y28">
        <v>66.894000000000005</v>
      </c>
      <c r="Z28">
        <v>66.793000000000006</v>
      </c>
      <c r="AA28">
        <v>66.697000000000003</v>
      </c>
      <c r="AB28">
        <v>66.599999999999994</v>
      </c>
      <c r="AC28">
        <v>66.503</v>
      </c>
      <c r="AD28">
        <v>66.405000000000001</v>
      </c>
      <c r="AE28">
        <v>66.307000000000002</v>
      </c>
      <c r="AF28">
        <v>66.207999999999998</v>
      </c>
      <c r="AG28">
        <v>62.372</v>
      </c>
      <c r="AH28">
        <v>64.304000000000002</v>
      </c>
      <c r="AI28">
        <v>59.893000000000001</v>
      </c>
      <c r="AJ28">
        <v>60.563000000000002</v>
      </c>
      <c r="AK28">
        <v>64.281000000000006</v>
      </c>
      <c r="AL28">
        <v>63.844999999999999</v>
      </c>
      <c r="AM28">
        <v>63.457999999999998</v>
      </c>
      <c r="AN28">
        <v>63.396999999999998</v>
      </c>
    </row>
    <row r="29" spans="1:40" x14ac:dyDescent="0.25">
      <c r="A29" t="s">
        <v>63</v>
      </c>
      <c r="B29" t="s">
        <v>64</v>
      </c>
      <c r="C29" t="s">
        <v>22</v>
      </c>
      <c r="D29">
        <v>0</v>
      </c>
      <c r="E29">
        <v>82.954999999999998</v>
      </c>
      <c r="F29">
        <v>82.948999999999998</v>
      </c>
      <c r="G29">
        <v>82.936999999999998</v>
      </c>
      <c r="H29">
        <v>82.917000000000002</v>
      </c>
      <c r="I29">
        <v>82.491</v>
      </c>
      <c r="J29">
        <v>82.519000000000005</v>
      </c>
      <c r="K29">
        <v>82.503</v>
      </c>
      <c r="L29">
        <v>82.466999999999999</v>
      </c>
      <c r="M29">
        <v>82.471999999999994</v>
      </c>
      <c r="N29">
        <v>82.600999999999999</v>
      </c>
      <c r="O29">
        <v>83.468999999999994</v>
      </c>
      <c r="P29">
        <v>84.32</v>
      </c>
      <c r="Q29">
        <v>85.158000000000001</v>
      </c>
      <c r="R29">
        <v>85.984999999999999</v>
      </c>
      <c r="S29">
        <v>86.653000000000006</v>
      </c>
      <c r="T29">
        <v>87.302000000000007</v>
      </c>
      <c r="U29">
        <v>87.936000000000007</v>
      </c>
      <c r="V29">
        <v>88.551000000000002</v>
      </c>
      <c r="W29">
        <v>86.694999999999993</v>
      </c>
      <c r="X29">
        <v>87.158000000000001</v>
      </c>
      <c r="Y29">
        <v>88.588999999999999</v>
      </c>
      <c r="Z29">
        <v>89.397000000000006</v>
      </c>
      <c r="AA29">
        <v>88.07</v>
      </c>
      <c r="AB29">
        <v>86.588999999999999</v>
      </c>
      <c r="AC29">
        <v>86.745000000000005</v>
      </c>
      <c r="AD29">
        <v>86.353999999999999</v>
      </c>
      <c r="AE29">
        <v>88.075999999999993</v>
      </c>
      <c r="AF29">
        <v>86.849000000000004</v>
      </c>
      <c r="AG29">
        <v>87.432000000000002</v>
      </c>
      <c r="AH29">
        <v>88.010999999999996</v>
      </c>
      <c r="AI29">
        <v>87.832999999999998</v>
      </c>
      <c r="AJ29">
        <v>85.799000000000007</v>
      </c>
      <c r="AK29">
        <v>87.927000000000007</v>
      </c>
      <c r="AL29">
        <v>87.885000000000005</v>
      </c>
      <c r="AM29">
        <v>87.841999999999999</v>
      </c>
      <c r="AN29">
        <v>87.816000000000003</v>
      </c>
    </row>
    <row r="30" spans="1:40" x14ac:dyDescent="0.25">
      <c r="A30" t="s">
        <v>65</v>
      </c>
      <c r="B30" t="s">
        <v>66</v>
      </c>
      <c r="C30" t="s">
        <v>14</v>
      </c>
      <c r="D30">
        <v>0</v>
      </c>
      <c r="E30">
        <v>87.084000000000003</v>
      </c>
      <c r="F30">
        <v>87.09</v>
      </c>
      <c r="G30">
        <v>87.08</v>
      </c>
      <c r="H30">
        <v>87.037999999999997</v>
      </c>
      <c r="I30">
        <v>86.97</v>
      </c>
      <c r="J30">
        <v>86.876999999999995</v>
      </c>
      <c r="K30">
        <v>86.747</v>
      </c>
      <c r="L30">
        <v>86.581999999999994</v>
      </c>
      <c r="M30">
        <v>86.424999999999997</v>
      </c>
      <c r="N30">
        <v>86.293999999999997</v>
      </c>
      <c r="O30">
        <v>86.168999999999997</v>
      </c>
      <c r="P30">
        <v>86.028999999999996</v>
      </c>
      <c r="Q30">
        <v>85.878</v>
      </c>
      <c r="R30">
        <v>85.742999999999995</v>
      </c>
      <c r="S30">
        <v>85.64</v>
      </c>
      <c r="T30">
        <v>85.563999999999993</v>
      </c>
      <c r="U30">
        <v>85.501999999999995</v>
      </c>
      <c r="V30">
        <v>85.436999999999998</v>
      </c>
      <c r="W30">
        <v>84.388000000000005</v>
      </c>
      <c r="X30">
        <v>83.274000000000001</v>
      </c>
      <c r="Y30">
        <v>82.091999999999999</v>
      </c>
      <c r="Z30">
        <v>80.959999999999994</v>
      </c>
      <c r="AA30">
        <v>79.781999999999996</v>
      </c>
      <c r="AB30">
        <v>78.558000000000007</v>
      </c>
      <c r="AC30">
        <v>77.287000000000006</v>
      </c>
      <c r="AD30">
        <v>76.781999999999996</v>
      </c>
      <c r="AE30">
        <v>76.334000000000003</v>
      </c>
      <c r="AF30">
        <v>75.918999999999997</v>
      </c>
      <c r="AG30">
        <v>75.491</v>
      </c>
      <c r="AH30">
        <v>75.02</v>
      </c>
      <c r="AI30">
        <v>73.933999999999997</v>
      </c>
      <c r="AJ30">
        <v>73.710999999999999</v>
      </c>
      <c r="AK30">
        <v>74.236000000000004</v>
      </c>
      <c r="AL30">
        <v>74.194000000000003</v>
      </c>
      <c r="AM30">
        <v>74.14</v>
      </c>
      <c r="AN30">
        <v>73.941000000000003</v>
      </c>
    </row>
    <row r="31" spans="1:40" x14ac:dyDescent="0.25">
      <c r="A31" t="s">
        <v>67</v>
      </c>
      <c r="B31" t="s">
        <v>68</v>
      </c>
      <c r="C31" t="s">
        <v>17</v>
      </c>
      <c r="D31">
        <v>0</v>
      </c>
      <c r="E31">
        <v>75.956999999999994</v>
      </c>
      <c r="F31">
        <v>74.930999999999997</v>
      </c>
      <c r="G31">
        <v>73.701999999999998</v>
      </c>
      <c r="H31">
        <v>73.17</v>
      </c>
      <c r="I31">
        <v>72.959000000000003</v>
      </c>
      <c r="J31">
        <v>72.305000000000007</v>
      </c>
      <c r="K31">
        <v>71.98</v>
      </c>
      <c r="L31">
        <v>72.043999999999997</v>
      </c>
      <c r="M31">
        <v>71.938999999999993</v>
      </c>
      <c r="N31">
        <v>72.207999999999998</v>
      </c>
      <c r="O31">
        <v>72.158000000000001</v>
      </c>
      <c r="P31">
        <v>72.075000000000003</v>
      </c>
      <c r="Q31">
        <v>72.828999999999994</v>
      </c>
      <c r="R31">
        <v>73.251000000000005</v>
      </c>
      <c r="S31">
        <v>73.016000000000005</v>
      </c>
      <c r="T31">
        <v>72.66</v>
      </c>
      <c r="U31">
        <v>72.569999999999993</v>
      </c>
      <c r="V31">
        <v>72.626000000000005</v>
      </c>
      <c r="W31">
        <v>72.813999999999993</v>
      </c>
      <c r="X31">
        <v>72.183000000000007</v>
      </c>
      <c r="Y31">
        <v>71.756</v>
      </c>
      <c r="Z31">
        <v>71.704999999999998</v>
      </c>
      <c r="AA31">
        <v>71.534000000000006</v>
      </c>
      <c r="AB31">
        <v>71.405000000000001</v>
      </c>
      <c r="AC31">
        <v>70.977000000000004</v>
      </c>
      <c r="AD31">
        <v>70.941999999999993</v>
      </c>
      <c r="AE31">
        <v>70.525999999999996</v>
      </c>
      <c r="AF31">
        <v>70.637</v>
      </c>
      <c r="AG31">
        <v>70.245999999999995</v>
      </c>
      <c r="AH31">
        <v>70.475999999999999</v>
      </c>
      <c r="AI31">
        <v>68.927000000000007</v>
      </c>
      <c r="AJ31">
        <v>69.863</v>
      </c>
      <c r="AK31">
        <v>69.546999999999997</v>
      </c>
      <c r="AL31">
        <v>69.692999999999998</v>
      </c>
      <c r="AM31">
        <v>69.168999999999997</v>
      </c>
      <c r="AN31">
        <v>68.936999999999998</v>
      </c>
    </row>
    <row r="32" spans="1:40" x14ac:dyDescent="0.25">
      <c r="A32" t="s">
        <v>69</v>
      </c>
      <c r="B32" t="s">
        <v>70</v>
      </c>
      <c r="C32" t="s">
        <v>14</v>
      </c>
      <c r="D32">
        <v>0</v>
      </c>
      <c r="E32">
        <v>78.697000000000003</v>
      </c>
      <c r="F32">
        <v>78.98</v>
      </c>
      <c r="G32">
        <v>79.183000000000007</v>
      </c>
      <c r="H32">
        <v>79.311999999999998</v>
      </c>
      <c r="I32">
        <v>79.387</v>
      </c>
      <c r="J32">
        <v>79.486999999999995</v>
      </c>
      <c r="K32">
        <v>79.572000000000003</v>
      </c>
      <c r="L32">
        <v>79.584000000000003</v>
      </c>
      <c r="M32">
        <v>79.561999999999998</v>
      </c>
      <c r="N32">
        <v>79.503</v>
      </c>
      <c r="O32">
        <v>79.415999999999997</v>
      </c>
      <c r="P32">
        <v>79.397999999999996</v>
      </c>
      <c r="Q32">
        <v>79.343000000000004</v>
      </c>
      <c r="R32">
        <v>79.238</v>
      </c>
      <c r="S32">
        <v>79.195999999999998</v>
      </c>
      <c r="T32">
        <v>79.153000000000006</v>
      </c>
      <c r="U32">
        <v>79.2</v>
      </c>
      <c r="V32">
        <v>79.305000000000007</v>
      </c>
      <c r="W32">
        <v>79.373999999999995</v>
      </c>
      <c r="X32">
        <v>79.698999999999998</v>
      </c>
      <c r="Y32">
        <v>80.093999999999994</v>
      </c>
      <c r="Z32">
        <v>80.367999999999995</v>
      </c>
      <c r="AA32">
        <v>80.808000000000007</v>
      </c>
      <c r="AB32">
        <v>81.295000000000002</v>
      </c>
      <c r="AC32">
        <v>81.945999999999998</v>
      </c>
      <c r="AD32">
        <v>82.364999999999995</v>
      </c>
      <c r="AE32">
        <v>82.358999999999995</v>
      </c>
      <c r="AF32">
        <v>82.391999999999996</v>
      </c>
      <c r="AG32">
        <v>82.42</v>
      </c>
      <c r="AH32">
        <v>82.450999999999993</v>
      </c>
      <c r="AI32">
        <v>81.715999999999994</v>
      </c>
      <c r="AJ32">
        <v>81.519000000000005</v>
      </c>
      <c r="AK32">
        <v>82.69</v>
      </c>
      <c r="AL32">
        <v>82.804000000000002</v>
      </c>
      <c r="AM32">
        <v>82.802999999999997</v>
      </c>
      <c r="AN32">
        <v>82.756</v>
      </c>
    </row>
    <row r="33" spans="1:40" x14ac:dyDescent="0.25">
      <c r="A33" t="s">
        <v>71</v>
      </c>
      <c r="B33" t="s">
        <v>72</v>
      </c>
      <c r="C33" t="s">
        <v>14</v>
      </c>
      <c r="D33">
        <v>0</v>
      </c>
      <c r="E33">
        <v>80.290999999999997</v>
      </c>
      <c r="F33">
        <v>80.254000000000005</v>
      </c>
      <c r="G33">
        <v>80.085999999999999</v>
      </c>
      <c r="H33">
        <v>80.667000000000002</v>
      </c>
      <c r="I33">
        <v>80.367000000000004</v>
      </c>
      <c r="J33">
        <v>80.049000000000007</v>
      </c>
      <c r="K33">
        <v>79.727999999999994</v>
      </c>
      <c r="L33">
        <v>79.41</v>
      </c>
      <c r="M33">
        <v>79.084999999999994</v>
      </c>
      <c r="N33">
        <v>78.754999999999995</v>
      </c>
      <c r="O33">
        <v>78.42</v>
      </c>
      <c r="P33">
        <v>78.081000000000003</v>
      </c>
      <c r="Q33">
        <v>77.736000000000004</v>
      </c>
      <c r="R33">
        <v>77.384</v>
      </c>
      <c r="S33">
        <v>77.025999999999996</v>
      </c>
      <c r="T33">
        <v>76.665999999999997</v>
      </c>
      <c r="U33">
        <v>76.304000000000002</v>
      </c>
      <c r="V33">
        <v>75.938000000000002</v>
      </c>
      <c r="W33">
        <v>75.566999999999993</v>
      </c>
      <c r="X33">
        <v>75.188999999999993</v>
      </c>
      <c r="Y33">
        <v>74.808000000000007</v>
      </c>
      <c r="Z33">
        <v>74.421999999999997</v>
      </c>
      <c r="AA33">
        <v>74.031999999999996</v>
      </c>
      <c r="AB33">
        <v>73.638000000000005</v>
      </c>
      <c r="AC33">
        <v>73.239999999999995</v>
      </c>
      <c r="AD33">
        <v>72.84</v>
      </c>
      <c r="AE33">
        <v>72.436000000000007</v>
      </c>
      <c r="AF33">
        <v>72.027000000000001</v>
      </c>
      <c r="AG33">
        <v>71.614999999999995</v>
      </c>
      <c r="AH33">
        <v>71.516999999999996</v>
      </c>
      <c r="AI33">
        <v>70.834000000000003</v>
      </c>
      <c r="AJ33">
        <v>70.707999999999998</v>
      </c>
      <c r="AK33">
        <v>71.787999999999997</v>
      </c>
      <c r="AL33">
        <v>71.728999999999999</v>
      </c>
      <c r="AM33">
        <v>71.775999999999996</v>
      </c>
      <c r="AN33">
        <v>71.715999999999994</v>
      </c>
    </row>
    <row r="34" spans="1:40" x14ac:dyDescent="0.25">
      <c r="A34" t="s">
        <v>73</v>
      </c>
      <c r="B34" t="s">
        <v>74</v>
      </c>
      <c r="C34" t="s">
        <v>17</v>
      </c>
      <c r="D34">
        <v>0</v>
      </c>
      <c r="E34">
        <v>74.671000000000006</v>
      </c>
      <c r="F34">
        <v>75.147000000000006</v>
      </c>
      <c r="G34">
        <v>75.908000000000001</v>
      </c>
      <c r="H34">
        <v>76.144000000000005</v>
      </c>
      <c r="I34">
        <v>76.233000000000004</v>
      </c>
      <c r="J34">
        <v>76.763999999999996</v>
      </c>
      <c r="K34">
        <v>77.096999999999994</v>
      </c>
      <c r="L34">
        <v>76.316999999999993</v>
      </c>
      <c r="M34">
        <v>76.213999999999999</v>
      </c>
      <c r="N34">
        <v>75.751000000000005</v>
      </c>
      <c r="O34">
        <v>74.661000000000001</v>
      </c>
      <c r="P34">
        <v>73.846999999999994</v>
      </c>
      <c r="Q34">
        <v>73.111999999999995</v>
      </c>
      <c r="R34">
        <v>72.769000000000005</v>
      </c>
      <c r="S34">
        <v>72.052000000000007</v>
      </c>
      <c r="T34">
        <v>71.784999999999997</v>
      </c>
      <c r="U34">
        <v>72.900000000000006</v>
      </c>
      <c r="V34">
        <v>72.879000000000005</v>
      </c>
      <c r="W34">
        <v>73.3</v>
      </c>
      <c r="X34">
        <v>72.441000000000003</v>
      </c>
      <c r="Y34">
        <v>74.234999999999999</v>
      </c>
      <c r="Z34">
        <v>74.843999999999994</v>
      </c>
      <c r="AA34">
        <v>74.509</v>
      </c>
      <c r="AB34">
        <v>74.263999999999996</v>
      </c>
      <c r="AC34">
        <v>74.231999999999999</v>
      </c>
      <c r="AD34">
        <v>74.451999999999998</v>
      </c>
      <c r="AE34">
        <v>74.162000000000006</v>
      </c>
      <c r="AF34">
        <v>74.418000000000006</v>
      </c>
      <c r="AG34">
        <v>74.239000000000004</v>
      </c>
      <c r="AH34">
        <v>73.721000000000004</v>
      </c>
      <c r="AI34">
        <v>67.516000000000005</v>
      </c>
      <c r="AJ34">
        <v>68.772999999999996</v>
      </c>
      <c r="AK34">
        <v>70.481999999999999</v>
      </c>
      <c r="AL34">
        <v>71.298000000000002</v>
      </c>
      <c r="AM34">
        <v>72.019000000000005</v>
      </c>
      <c r="AN34">
        <v>71.927000000000007</v>
      </c>
    </row>
    <row r="35" spans="1:40" x14ac:dyDescent="0.25">
      <c r="A35" t="s">
        <v>75</v>
      </c>
      <c r="B35" t="s">
        <v>76</v>
      </c>
      <c r="C35" t="s">
        <v>22</v>
      </c>
      <c r="D35">
        <v>0</v>
      </c>
      <c r="E35">
        <v>85.111999999999995</v>
      </c>
      <c r="F35">
        <v>84.679000000000002</v>
      </c>
      <c r="G35">
        <v>84.236999999999995</v>
      </c>
      <c r="H35">
        <v>83.786000000000001</v>
      </c>
      <c r="I35">
        <v>83.323999999999998</v>
      </c>
      <c r="J35">
        <v>82.852999999999994</v>
      </c>
      <c r="K35">
        <v>82.372</v>
      </c>
      <c r="L35">
        <v>81.881</v>
      </c>
      <c r="M35">
        <v>81.38</v>
      </c>
      <c r="N35">
        <v>80.869</v>
      </c>
      <c r="O35">
        <v>80.346999999999994</v>
      </c>
      <c r="P35">
        <v>80.131</v>
      </c>
      <c r="Q35">
        <v>79.912999999999997</v>
      </c>
      <c r="R35">
        <v>79.691999999999993</v>
      </c>
      <c r="S35">
        <v>79.468999999999994</v>
      </c>
      <c r="T35">
        <v>79.242999999999995</v>
      </c>
      <c r="U35">
        <v>79.016000000000005</v>
      </c>
      <c r="V35">
        <v>78.787000000000006</v>
      </c>
      <c r="W35">
        <v>78.555999999999997</v>
      </c>
      <c r="X35">
        <v>78.322999999999993</v>
      </c>
      <c r="Y35">
        <v>78.088999999999999</v>
      </c>
      <c r="Z35">
        <v>77.899000000000001</v>
      </c>
      <c r="AA35">
        <v>77.33</v>
      </c>
      <c r="AB35">
        <v>76.763999999999996</v>
      </c>
      <c r="AC35">
        <v>76.323999999999998</v>
      </c>
      <c r="AD35">
        <v>75.847999999999999</v>
      </c>
      <c r="AE35">
        <v>75.290000000000006</v>
      </c>
      <c r="AF35">
        <v>74.605999999999995</v>
      </c>
      <c r="AG35">
        <v>73.903999999999996</v>
      </c>
      <c r="AH35">
        <v>73.328000000000003</v>
      </c>
      <c r="AI35">
        <v>71.606999999999999</v>
      </c>
      <c r="AJ35">
        <v>72.918000000000006</v>
      </c>
      <c r="AK35">
        <v>71.388999999999996</v>
      </c>
      <c r="AL35">
        <v>71.334000000000003</v>
      </c>
      <c r="AM35">
        <v>70.266999999999996</v>
      </c>
      <c r="AN35">
        <v>69.850999999999999</v>
      </c>
    </row>
    <row r="36" spans="1:40" x14ac:dyDescent="0.25">
      <c r="A36" t="s">
        <v>77</v>
      </c>
      <c r="B36" t="s">
        <v>78</v>
      </c>
      <c r="C36" t="s">
        <v>17</v>
      </c>
      <c r="D36">
        <v>0</v>
      </c>
      <c r="E36">
        <v>80.444000000000003</v>
      </c>
      <c r="F36">
        <v>80.762</v>
      </c>
      <c r="G36">
        <v>81.218000000000004</v>
      </c>
      <c r="H36">
        <v>81.748999999999995</v>
      </c>
      <c r="I36">
        <v>82.272999999999996</v>
      </c>
      <c r="J36">
        <v>82.69</v>
      </c>
      <c r="K36">
        <v>82.790999999999997</v>
      </c>
      <c r="L36">
        <v>82.938000000000002</v>
      </c>
      <c r="M36">
        <v>82.811999999999998</v>
      </c>
      <c r="N36">
        <v>82.287000000000006</v>
      </c>
      <c r="O36">
        <v>82.402000000000001</v>
      </c>
      <c r="P36">
        <v>82.436999999999998</v>
      </c>
      <c r="Q36">
        <v>81.412999999999997</v>
      </c>
      <c r="R36">
        <v>81.727999999999994</v>
      </c>
      <c r="S36">
        <v>80.997</v>
      </c>
      <c r="T36">
        <v>80.134</v>
      </c>
      <c r="U36">
        <v>79.274000000000001</v>
      </c>
      <c r="V36">
        <v>78.394999999999996</v>
      </c>
      <c r="W36">
        <v>78.548000000000002</v>
      </c>
      <c r="X36">
        <v>80.558000000000007</v>
      </c>
      <c r="Y36">
        <v>80.302000000000007</v>
      </c>
      <c r="Z36">
        <v>80.638999999999996</v>
      </c>
      <c r="AA36">
        <v>80.67</v>
      </c>
      <c r="AB36">
        <v>79.777000000000001</v>
      </c>
      <c r="AC36">
        <v>79.513000000000005</v>
      </c>
      <c r="AD36">
        <v>79.308000000000007</v>
      </c>
      <c r="AE36">
        <v>78.635000000000005</v>
      </c>
      <c r="AF36">
        <v>78.194999999999993</v>
      </c>
      <c r="AG36">
        <v>77.748999999999995</v>
      </c>
      <c r="AH36">
        <v>76.756</v>
      </c>
      <c r="AI36">
        <v>76.251000000000005</v>
      </c>
      <c r="AJ36">
        <v>77.539000000000001</v>
      </c>
      <c r="AK36">
        <v>75.936000000000007</v>
      </c>
      <c r="AL36">
        <v>76.171000000000006</v>
      </c>
      <c r="AM36">
        <v>75.861999999999995</v>
      </c>
      <c r="AN36">
        <v>75.694000000000003</v>
      </c>
    </row>
    <row r="37" spans="1:40" x14ac:dyDescent="0.25">
      <c r="A37" t="s">
        <v>79</v>
      </c>
      <c r="B37" t="s">
        <v>80</v>
      </c>
      <c r="C37" t="s">
        <v>14</v>
      </c>
      <c r="D37">
        <v>0</v>
      </c>
      <c r="E37">
        <v>51.808999999999997</v>
      </c>
      <c r="F37">
        <v>51.811999999999998</v>
      </c>
      <c r="G37">
        <v>51.993000000000002</v>
      </c>
      <c r="H37">
        <v>52.325000000000003</v>
      </c>
      <c r="I37">
        <v>52.573</v>
      </c>
      <c r="J37">
        <v>52.734999999999999</v>
      </c>
      <c r="K37">
        <v>52.817</v>
      </c>
      <c r="L37">
        <v>52.802</v>
      </c>
      <c r="M37">
        <v>52.673999999999999</v>
      </c>
      <c r="N37">
        <v>52.366</v>
      </c>
      <c r="O37">
        <v>52.006</v>
      </c>
      <c r="P37">
        <v>51.759</v>
      </c>
      <c r="Q37">
        <v>51.588999999999999</v>
      </c>
      <c r="R37">
        <v>51.356000000000002</v>
      </c>
      <c r="S37">
        <v>50.853000000000002</v>
      </c>
      <c r="T37">
        <v>51.423999999999999</v>
      </c>
      <c r="U37">
        <v>51.988</v>
      </c>
      <c r="V37">
        <v>52.548000000000002</v>
      </c>
      <c r="W37">
        <v>53.106999999999999</v>
      </c>
      <c r="X37">
        <v>53.667999999999999</v>
      </c>
      <c r="Y37">
        <v>54.23</v>
      </c>
      <c r="Z37">
        <v>54.792999999999999</v>
      </c>
      <c r="AA37">
        <v>55.357999999999997</v>
      </c>
      <c r="AB37">
        <v>55.921999999999997</v>
      </c>
      <c r="AC37">
        <v>56.484000000000002</v>
      </c>
      <c r="AD37">
        <v>57.61</v>
      </c>
      <c r="AE37">
        <v>58.698</v>
      </c>
      <c r="AF37">
        <v>59.649000000000001</v>
      </c>
      <c r="AG37">
        <v>60.505000000000003</v>
      </c>
      <c r="AH37">
        <v>61.381999999999998</v>
      </c>
      <c r="AI37">
        <v>62.073999999999998</v>
      </c>
      <c r="AJ37">
        <v>63.328000000000003</v>
      </c>
      <c r="AK37">
        <v>63.902000000000001</v>
      </c>
      <c r="AL37">
        <v>63.774000000000001</v>
      </c>
      <c r="AM37">
        <v>63.633000000000003</v>
      </c>
      <c r="AN37">
        <v>63.881999999999998</v>
      </c>
    </row>
    <row r="38" spans="1:40" x14ac:dyDescent="0.25">
      <c r="A38" t="s">
        <v>81</v>
      </c>
      <c r="B38" t="s">
        <v>82</v>
      </c>
      <c r="C38" t="s">
        <v>14</v>
      </c>
      <c r="D38">
        <v>0</v>
      </c>
      <c r="E38">
        <v>72.561000000000007</v>
      </c>
      <c r="F38">
        <v>72.605000000000004</v>
      </c>
      <c r="G38">
        <v>72.652000000000001</v>
      </c>
      <c r="H38">
        <v>72.66</v>
      </c>
      <c r="I38">
        <v>72.322000000000003</v>
      </c>
      <c r="J38">
        <v>72.231999999999999</v>
      </c>
      <c r="K38">
        <v>72.864000000000004</v>
      </c>
      <c r="L38">
        <v>73.512</v>
      </c>
      <c r="M38">
        <v>73.727000000000004</v>
      </c>
      <c r="N38">
        <v>73.715000000000003</v>
      </c>
      <c r="O38">
        <v>73.751999999999995</v>
      </c>
      <c r="P38">
        <v>73.783000000000001</v>
      </c>
      <c r="Q38">
        <v>73.825000000000003</v>
      </c>
      <c r="R38">
        <v>73.888999999999996</v>
      </c>
      <c r="S38">
        <v>73.933000000000007</v>
      </c>
      <c r="T38">
        <v>73.941000000000003</v>
      </c>
      <c r="U38">
        <v>73.361000000000004</v>
      </c>
      <c r="V38">
        <v>72.772999999999996</v>
      </c>
      <c r="W38">
        <v>72.177999999999997</v>
      </c>
      <c r="X38">
        <v>71.575000000000003</v>
      </c>
      <c r="Y38">
        <v>70.962999999999994</v>
      </c>
      <c r="Z38">
        <v>70.343999999999994</v>
      </c>
      <c r="AA38">
        <v>69.715999999999994</v>
      </c>
      <c r="AB38">
        <v>69.421000000000006</v>
      </c>
      <c r="AC38">
        <v>69.134</v>
      </c>
      <c r="AD38">
        <v>68.853999999999999</v>
      </c>
      <c r="AE38">
        <v>68.497</v>
      </c>
      <c r="AF38">
        <v>68.125</v>
      </c>
      <c r="AG38">
        <v>67.864999999999995</v>
      </c>
      <c r="AH38">
        <v>67.659000000000006</v>
      </c>
      <c r="AI38">
        <v>66.722999999999999</v>
      </c>
      <c r="AJ38">
        <v>66.867000000000004</v>
      </c>
      <c r="AK38">
        <v>67.385999999999996</v>
      </c>
      <c r="AL38">
        <v>67.162000000000006</v>
      </c>
      <c r="AM38">
        <v>67.021000000000001</v>
      </c>
      <c r="AN38">
        <v>66.846000000000004</v>
      </c>
    </row>
    <row r="39" spans="1:40" x14ac:dyDescent="0.25">
      <c r="A39" t="s">
        <v>83</v>
      </c>
      <c r="B39" t="s">
        <v>84</v>
      </c>
      <c r="C39" t="s">
        <v>14</v>
      </c>
      <c r="D39">
        <v>0</v>
      </c>
      <c r="E39">
        <v>71.739999999999995</v>
      </c>
      <c r="F39">
        <v>71.575000000000003</v>
      </c>
      <c r="G39">
        <v>71.411000000000001</v>
      </c>
      <c r="H39">
        <v>71.218999999999994</v>
      </c>
      <c r="I39">
        <v>71.06</v>
      </c>
      <c r="J39">
        <v>70.953999999999994</v>
      </c>
      <c r="K39">
        <v>70.846000000000004</v>
      </c>
      <c r="L39">
        <v>70.918999999999997</v>
      </c>
      <c r="M39">
        <v>70.947999999999993</v>
      </c>
      <c r="N39">
        <v>70.760999999999996</v>
      </c>
      <c r="O39">
        <v>70.209999999999994</v>
      </c>
      <c r="P39">
        <v>69.722999999999999</v>
      </c>
      <c r="Q39">
        <v>69.694999999999993</v>
      </c>
      <c r="R39">
        <v>69.567999999999998</v>
      </c>
      <c r="S39">
        <v>69.301000000000002</v>
      </c>
      <c r="T39">
        <v>69.034999999999997</v>
      </c>
      <c r="U39">
        <v>68.781000000000006</v>
      </c>
      <c r="V39">
        <v>68.602999999999994</v>
      </c>
      <c r="W39">
        <v>68.597999999999999</v>
      </c>
      <c r="X39">
        <v>68.471000000000004</v>
      </c>
      <c r="Y39">
        <v>68.382000000000005</v>
      </c>
      <c r="Z39">
        <v>68.572999999999993</v>
      </c>
      <c r="AA39">
        <v>68.858999999999995</v>
      </c>
      <c r="AB39">
        <v>69.198999999999998</v>
      </c>
      <c r="AC39">
        <v>69.486999999999995</v>
      </c>
      <c r="AD39">
        <v>69.709999999999994</v>
      </c>
      <c r="AE39">
        <v>69.84</v>
      </c>
      <c r="AF39">
        <v>69.870999999999995</v>
      </c>
      <c r="AG39">
        <v>69.838999999999999</v>
      </c>
      <c r="AH39">
        <v>69.742999999999995</v>
      </c>
      <c r="AI39">
        <v>66.626000000000005</v>
      </c>
      <c r="AJ39">
        <v>67.082999999999998</v>
      </c>
      <c r="AK39">
        <v>70.197999999999993</v>
      </c>
      <c r="AL39">
        <v>70.180000000000007</v>
      </c>
      <c r="AM39">
        <v>70.117000000000004</v>
      </c>
      <c r="AN39">
        <v>70.102000000000004</v>
      </c>
    </row>
    <row r="40" spans="1:40" x14ac:dyDescent="0.25">
      <c r="A40" t="s">
        <v>85</v>
      </c>
      <c r="B40" t="s">
        <v>86</v>
      </c>
      <c r="C40" t="s">
        <v>17</v>
      </c>
      <c r="D40">
        <v>0</v>
      </c>
      <c r="E40">
        <v>82.209000000000003</v>
      </c>
      <c r="F40">
        <v>80.081000000000003</v>
      </c>
      <c r="G40">
        <v>79.186999999999998</v>
      </c>
      <c r="H40">
        <v>80.096000000000004</v>
      </c>
      <c r="I40">
        <v>79.965000000000003</v>
      </c>
      <c r="J40">
        <v>81.147999999999996</v>
      </c>
      <c r="K40">
        <v>78.588999999999999</v>
      </c>
      <c r="L40">
        <v>79.888999999999996</v>
      </c>
      <c r="M40">
        <v>80.712000000000003</v>
      </c>
      <c r="N40">
        <v>80.239999999999995</v>
      </c>
      <c r="O40">
        <v>79.936000000000007</v>
      </c>
      <c r="P40">
        <v>79.677999999999997</v>
      </c>
      <c r="Q40">
        <v>79.156000000000006</v>
      </c>
      <c r="R40">
        <v>79.400000000000006</v>
      </c>
      <c r="S40">
        <v>78.691000000000003</v>
      </c>
      <c r="T40">
        <v>79.662999999999997</v>
      </c>
      <c r="U40">
        <v>78.692999999999998</v>
      </c>
      <c r="V40">
        <v>79.254000000000005</v>
      </c>
      <c r="W40">
        <v>78.045000000000002</v>
      </c>
      <c r="X40">
        <v>76.778999999999996</v>
      </c>
      <c r="Y40">
        <v>74.927000000000007</v>
      </c>
      <c r="Z40">
        <v>75.331000000000003</v>
      </c>
      <c r="AA40">
        <v>77.742000000000004</v>
      </c>
      <c r="AB40">
        <v>76.563000000000002</v>
      </c>
      <c r="AC40">
        <v>77.537999999999997</v>
      </c>
      <c r="AD40">
        <v>76.048000000000002</v>
      </c>
      <c r="AE40">
        <v>73.879000000000005</v>
      </c>
      <c r="AF40">
        <v>74.322000000000003</v>
      </c>
      <c r="AG40">
        <v>76.275000000000006</v>
      </c>
      <c r="AH40">
        <v>76.239000000000004</v>
      </c>
      <c r="AI40">
        <v>73.072999999999993</v>
      </c>
      <c r="AJ40">
        <v>73.731999999999999</v>
      </c>
      <c r="AK40">
        <v>73.144000000000005</v>
      </c>
      <c r="AL40">
        <v>70.081999999999994</v>
      </c>
      <c r="AM40">
        <v>69.856999999999999</v>
      </c>
      <c r="AN40">
        <v>69.762</v>
      </c>
    </row>
    <row r="41" spans="1:40" x14ac:dyDescent="0.25">
      <c r="A41" t="s">
        <v>87</v>
      </c>
      <c r="B41" t="s">
        <v>88</v>
      </c>
      <c r="C41" t="s">
        <v>14</v>
      </c>
      <c r="D41">
        <v>0</v>
      </c>
      <c r="E41">
        <v>82.734999999999999</v>
      </c>
      <c r="F41">
        <v>82.628</v>
      </c>
      <c r="G41">
        <v>82.495999999999995</v>
      </c>
      <c r="H41">
        <v>82.356999999999999</v>
      </c>
      <c r="I41">
        <v>82.204999999999998</v>
      </c>
      <c r="J41">
        <v>82.048000000000002</v>
      </c>
      <c r="K41">
        <v>81.897999999999996</v>
      </c>
      <c r="L41">
        <v>81.757999999999996</v>
      </c>
      <c r="M41">
        <v>81.64</v>
      </c>
      <c r="N41">
        <v>80.986000000000004</v>
      </c>
      <c r="O41">
        <v>80.326999999999998</v>
      </c>
      <c r="P41">
        <v>79.662000000000006</v>
      </c>
      <c r="Q41">
        <v>78.989000000000004</v>
      </c>
      <c r="R41">
        <v>78.308999999999997</v>
      </c>
      <c r="S41">
        <v>77.626000000000005</v>
      </c>
      <c r="T41">
        <v>76.938000000000002</v>
      </c>
      <c r="U41">
        <v>76.247</v>
      </c>
      <c r="V41">
        <v>75.551000000000002</v>
      </c>
      <c r="W41">
        <v>74.83</v>
      </c>
      <c r="X41">
        <v>74.093999999999994</v>
      </c>
      <c r="Y41">
        <v>73.366</v>
      </c>
      <c r="Z41">
        <v>72.643000000000001</v>
      </c>
      <c r="AA41">
        <v>71.923000000000002</v>
      </c>
      <c r="AB41">
        <v>72.694999999999993</v>
      </c>
      <c r="AC41">
        <v>73.468999999999994</v>
      </c>
      <c r="AD41">
        <v>74.253</v>
      </c>
      <c r="AE41">
        <v>75.036000000000001</v>
      </c>
      <c r="AF41">
        <v>74.287999999999997</v>
      </c>
      <c r="AG41">
        <v>73.528000000000006</v>
      </c>
      <c r="AH41">
        <v>72.757999999999996</v>
      </c>
      <c r="AI41">
        <v>72.885999999999996</v>
      </c>
      <c r="AJ41">
        <v>74.218999999999994</v>
      </c>
      <c r="AK41">
        <v>74.866</v>
      </c>
      <c r="AL41">
        <v>74.649000000000001</v>
      </c>
      <c r="AM41">
        <v>74.421000000000006</v>
      </c>
      <c r="AN41">
        <v>74.406000000000006</v>
      </c>
    </row>
    <row r="42" spans="1:40" x14ac:dyDescent="0.25">
      <c r="A42" t="s">
        <v>89</v>
      </c>
      <c r="B42" t="s">
        <v>90</v>
      </c>
      <c r="C42" t="s">
        <v>9</v>
      </c>
      <c r="D42">
        <v>0</v>
      </c>
      <c r="E42">
        <v>69.301000000000002</v>
      </c>
      <c r="F42">
        <v>69.271000000000001</v>
      </c>
      <c r="G42">
        <v>68.448999999999998</v>
      </c>
      <c r="H42">
        <v>67.581999999999994</v>
      </c>
      <c r="I42">
        <v>66.691000000000003</v>
      </c>
      <c r="J42">
        <v>65.772999999999996</v>
      </c>
      <c r="K42">
        <v>64.885999999999996</v>
      </c>
      <c r="L42">
        <v>64.045000000000002</v>
      </c>
      <c r="M42">
        <v>63.231999999999999</v>
      </c>
      <c r="N42">
        <v>62.466999999999999</v>
      </c>
      <c r="O42">
        <v>61.744</v>
      </c>
      <c r="P42">
        <v>61.01</v>
      </c>
      <c r="Q42">
        <v>60.215000000000003</v>
      </c>
      <c r="R42">
        <v>60.296999999999997</v>
      </c>
      <c r="S42">
        <v>61.463999999999999</v>
      </c>
      <c r="T42">
        <v>60.701999999999998</v>
      </c>
      <c r="U42">
        <v>59.503</v>
      </c>
      <c r="V42">
        <v>61.500999999999998</v>
      </c>
      <c r="W42">
        <v>61.279000000000003</v>
      </c>
      <c r="X42">
        <v>60.183999999999997</v>
      </c>
      <c r="Y42">
        <v>59.704000000000001</v>
      </c>
      <c r="Z42">
        <v>59.783999999999999</v>
      </c>
      <c r="AA42">
        <v>58.884999999999998</v>
      </c>
      <c r="AB42">
        <v>57.701999999999998</v>
      </c>
      <c r="AC42">
        <v>58.716000000000001</v>
      </c>
      <c r="AD42">
        <v>59.11</v>
      </c>
      <c r="AE42">
        <v>57.771999999999998</v>
      </c>
      <c r="AF42">
        <v>58.156999999999996</v>
      </c>
      <c r="AG42">
        <v>57.454000000000001</v>
      </c>
      <c r="AH42">
        <v>57.567</v>
      </c>
      <c r="AI42">
        <v>58.143999999999998</v>
      </c>
      <c r="AJ42">
        <v>58.822000000000003</v>
      </c>
      <c r="AK42">
        <v>58.584000000000003</v>
      </c>
      <c r="AL42">
        <v>57.87</v>
      </c>
      <c r="AM42">
        <v>57.634</v>
      </c>
      <c r="AN42">
        <v>57.360999999999997</v>
      </c>
    </row>
    <row r="43" spans="1:40" x14ac:dyDescent="0.25">
      <c r="A43" t="s">
        <v>91</v>
      </c>
      <c r="B43" t="s">
        <v>92</v>
      </c>
      <c r="C43" t="s">
        <v>9</v>
      </c>
      <c r="D43">
        <v>0</v>
      </c>
      <c r="E43">
        <v>77.519000000000005</v>
      </c>
      <c r="F43">
        <v>77.534999999999997</v>
      </c>
      <c r="G43">
        <v>76.427000000000007</v>
      </c>
      <c r="H43">
        <v>76.015000000000001</v>
      </c>
      <c r="I43">
        <v>75.593000000000004</v>
      </c>
      <c r="J43">
        <v>75.066999999999993</v>
      </c>
      <c r="K43">
        <v>74.421999999999997</v>
      </c>
      <c r="L43">
        <v>73.668000000000006</v>
      </c>
      <c r="M43">
        <v>72.837000000000003</v>
      </c>
      <c r="N43">
        <v>71.981999999999999</v>
      </c>
      <c r="O43">
        <v>71.162999999999997</v>
      </c>
      <c r="P43">
        <v>71.728999999999999</v>
      </c>
      <c r="Q43">
        <v>71.131</v>
      </c>
      <c r="R43">
        <v>72.234999999999999</v>
      </c>
      <c r="S43">
        <v>72.733999999999995</v>
      </c>
      <c r="T43">
        <v>72.930000000000007</v>
      </c>
      <c r="U43">
        <v>72.159000000000006</v>
      </c>
      <c r="V43">
        <v>71.796999999999997</v>
      </c>
      <c r="W43">
        <v>71.111999999999995</v>
      </c>
      <c r="X43">
        <v>70.594999999999999</v>
      </c>
      <c r="Y43">
        <v>70.436000000000007</v>
      </c>
      <c r="Z43">
        <v>70.040000000000006</v>
      </c>
      <c r="AA43">
        <v>70.766999999999996</v>
      </c>
      <c r="AB43">
        <v>70.608999999999995</v>
      </c>
      <c r="AC43">
        <v>70.248999999999995</v>
      </c>
      <c r="AD43">
        <v>69.161000000000001</v>
      </c>
      <c r="AE43">
        <v>69.180999999999997</v>
      </c>
      <c r="AF43">
        <v>69.774000000000001</v>
      </c>
      <c r="AG43">
        <v>71.075999999999993</v>
      </c>
      <c r="AH43">
        <v>72.072999999999993</v>
      </c>
      <c r="AI43">
        <v>72.361999999999995</v>
      </c>
      <c r="AJ43">
        <v>73.367000000000004</v>
      </c>
      <c r="AK43">
        <v>73.984999999999999</v>
      </c>
      <c r="AL43">
        <v>73.358999999999995</v>
      </c>
      <c r="AM43">
        <v>72.933000000000007</v>
      </c>
      <c r="AN43">
        <v>72.671999999999997</v>
      </c>
    </row>
    <row r="44" spans="1:40" x14ac:dyDescent="0.25">
      <c r="A44" t="s">
        <v>93</v>
      </c>
      <c r="B44" t="s">
        <v>94</v>
      </c>
      <c r="C44" t="s">
        <v>9</v>
      </c>
      <c r="D44">
        <v>0</v>
      </c>
      <c r="E44">
        <v>71.239999999999995</v>
      </c>
      <c r="F44">
        <v>71.278000000000006</v>
      </c>
      <c r="G44">
        <v>71.287000000000006</v>
      </c>
      <c r="H44">
        <v>71.268000000000001</v>
      </c>
      <c r="I44">
        <v>71.506</v>
      </c>
      <c r="J44">
        <v>71.462999999999994</v>
      </c>
      <c r="K44">
        <v>71.501000000000005</v>
      </c>
      <c r="L44">
        <v>71.200999999999993</v>
      </c>
      <c r="M44">
        <v>70.873999999999995</v>
      </c>
      <c r="N44">
        <v>70.632999999999996</v>
      </c>
      <c r="O44">
        <v>69.858000000000004</v>
      </c>
      <c r="P44">
        <v>69.394000000000005</v>
      </c>
      <c r="Q44">
        <v>69.305999999999997</v>
      </c>
      <c r="R44">
        <v>68.766000000000005</v>
      </c>
      <c r="S44">
        <v>68.483999999999995</v>
      </c>
      <c r="T44">
        <v>68.751000000000005</v>
      </c>
      <c r="U44">
        <v>68.56</v>
      </c>
      <c r="V44">
        <v>68.340999999999994</v>
      </c>
      <c r="W44">
        <v>68.126000000000005</v>
      </c>
      <c r="X44">
        <v>68.182000000000002</v>
      </c>
      <c r="Y44">
        <v>67.95</v>
      </c>
      <c r="Z44">
        <v>67.524000000000001</v>
      </c>
      <c r="AA44">
        <v>67.688999999999993</v>
      </c>
      <c r="AB44">
        <v>68.049000000000007</v>
      </c>
      <c r="AC44">
        <v>68.16</v>
      </c>
      <c r="AD44">
        <v>67.956999999999994</v>
      </c>
      <c r="AE44">
        <v>68.293000000000006</v>
      </c>
      <c r="AF44">
        <v>68.403999999999996</v>
      </c>
      <c r="AG44">
        <v>68.543000000000006</v>
      </c>
      <c r="AH44">
        <v>68.284000000000006</v>
      </c>
      <c r="AI44">
        <v>67.807000000000002</v>
      </c>
      <c r="AJ44">
        <v>67.69</v>
      </c>
      <c r="AK44">
        <v>67.869</v>
      </c>
      <c r="AL44">
        <v>67.932000000000002</v>
      </c>
      <c r="AM44">
        <v>67.887</v>
      </c>
      <c r="AN44">
        <v>67.516000000000005</v>
      </c>
    </row>
    <row r="45" spans="1:40" x14ac:dyDescent="0.25">
      <c r="A45" t="s">
        <v>95</v>
      </c>
      <c r="B45" t="s">
        <v>96</v>
      </c>
      <c r="C45" t="s">
        <v>9</v>
      </c>
      <c r="D45">
        <v>0</v>
      </c>
      <c r="E45">
        <v>73.778000000000006</v>
      </c>
      <c r="F45">
        <v>73.234999999999999</v>
      </c>
      <c r="G45">
        <v>72.801000000000002</v>
      </c>
      <c r="H45">
        <v>72.117000000000004</v>
      </c>
      <c r="I45">
        <v>71.378</v>
      </c>
      <c r="J45">
        <v>72.905000000000001</v>
      </c>
      <c r="K45">
        <v>72.77</v>
      </c>
      <c r="L45">
        <v>73.078999999999994</v>
      </c>
      <c r="M45">
        <v>71.516999999999996</v>
      </c>
      <c r="N45">
        <v>72.27</v>
      </c>
      <c r="O45">
        <v>71.718000000000004</v>
      </c>
      <c r="P45">
        <v>71.191999999999993</v>
      </c>
      <c r="Q45">
        <v>71.885000000000005</v>
      </c>
      <c r="R45">
        <v>71.814999999999998</v>
      </c>
      <c r="S45">
        <v>71.858000000000004</v>
      </c>
      <c r="T45">
        <v>71.447000000000003</v>
      </c>
      <c r="U45">
        <v>71.572999999999993</v>
      </c>
      <c r="V45">
        <v>71.099999999999994</v>
      </c>
      <c r="W45">
        <v>70.536000000000001</v>
      </c>
      <c r="X45">
        <v>69.400000000000006</v>
      </c>
      <c r="Y45">
        <v>68.388000000000005</v>
      </c>
      <c r="Z45">
        <v>67.766000000000005</v>
      </c>
      <c r="AA45">
        <v>66.683000000000007</v>
      </c>
      <c r="AB45">
        <v>65.415000000000006</v>
      </c>
      <c r="AC45">
        <v>65.692999999999998</v>
      </c>
      <c r="AD45">
        <v>66.105999999999995</v>
      </c>
      <c r="AE45">
        <v>65.906000000000006</v>
      </c>
      <c r="AF45">
        <v>66.007000000000005</v>
      </c>
      <c r="AG45">
        <v>66.257999999999996</v>
      </c>
      <c r="AH45">
        <v>66.927999999999997</v>
      </c>
      <c r="AI45">
        <v>66.498999999999995</v>
      </c>
      <c r="AJ45">
        <v>67.275000000000006</v>
      </c>
      <c r="AK45">
        <v>67.549000000000007</v>
      </c>
      <c r="AL45">
        <v>67.787999999999997</v>
      </c>
      <c r="AM45">
        <v>69.289000000000001</v>
      </c>
      <c r="AN45">
        <v>69.177999999999997</v>
      </c>
    </row>
    <row r="46" spans="1:40" x14ac:dyDescent="0.25">
      <c r="A46" t="s">
        <v>97</v>
      </c>
      <c r="B46" t="s">
        <v>98</v>
      </c>
      <c r="C46" t="s">
        <v>6</v>
      </c>
      <c r="D46">
        <v>0</v>
      </c>
      <c r="E46">
        <v>55.603000000000002</v>
      </c>
      <c r="F46">
        <v>55.445999999999998</v>
      </c>
      <c r="G46">
        <v>55.302</v>
      </c>
      <c r="H46">
        <v>55.127000000000002</v>
      </c>
      <c r="I46">
        <v>54.921999999999997</v>
      </c>
      <c r="J46">
        <v>54.694000000000003</v>
      </c>
      <c r="K46">
        <v>54.398000000000003</v>
      </c>
      <c r="L46">
        <v>53.838000000000001</v>
      </c>
      <c r="M46">
        <v>53.173999999999999</v>
      </c>
      <c r="N46">
        <v>52.676000000000002</v>
      </c>
      <c r="O46">
        <v>52.295999999999999</v>
      </c>
      <c r="P46">
        <v>51.938000000000002</v>
      </c>
      <c r="Q46">
        <v>51.613999999999997</v>
      </c>
      <c r="R46">
        <v>51.484999999999999</v>
      </c>
      <c r="S46">
        <v>51.469000000000001</v>
      </c>
      <c r="T46">
        <v>51.378999999999998</v>
      </c>
      <c r="U46">
        <v>51.136000000000003</v>
      </c>
      <c r="V46">
        <v>50.796999999999997</v>
      </c>
      <c r="W46">
        <v>50.441000000000003</v>
      </c>
      <c r="X46">
        <v>50.081000000000003</v>
      </c>
      <c r="Y46">
        <v>49.741</v>
      </c>
      <c r="Z46">
        <v>49.401000000000003</v>
      </c>
      <c r="AA46">
        <v>49.058999999999997</v>
      </c>
      <c r="AB46">
        <v>48.698999999999998</v>
      </c>
      <c r="AC46">
        <v>48.298000000000002</v>
      </c>
      <c r="AD46">
        <v>47.854999999999997</v>
      </c>
      <c r="AE46">
        <v>47.372</v>
      </c>
      <c r="AF46">
        <v>46.859000000000002</v>
      </c>
      <c r="AG46">
        <v>46.332999999999998</v>
      </c>
      <c r="AH46">
        <v>45.820999999999998</v>
      </c>
      <c r="AI46">
        <v>45.307000000000002</v>
      </c>
      <c r="AJ46">
        <v>45.478999999999999</v>
      </c>
      <c r="AK46">
        <v>45.345999999999997</v>
      </c>
      <c r="AL46">
        <v>45.055</v>
      </c>
      <c r="AM46">
        <v>44.744999999999997</v>
      </c>
      <c r="AN46">
        <v>44.555</v>
      </c>
    </row>
    <row r="47" spans="1:40" x14ac:dyDescent="0.25">
      <c r="A47" t="s">
        <v>99</v>
      </c>
      <c r="B47" t="s">
        <v>100</v>
      </c>
      <c r="C47" t="s">
        <v>17</v>
      </c>
      <c r="D47">
        <v>0</v>
      </c>
      <c r="E47">
        <v>78.787999999999997</v>
      </c>
      <c r="F47">
        <v>78.688999999999993</v>
      </c>
      <c r="G47">
        <v>78.585999999999999</v>
      </c>
      <c r="H47">
        <v>78.480999999999995</v>
      </c>
      <c r="I47">
        <v>78.381</v>
      </c>
      <c r="J47">
        <v>78.269000000000005</v>
      </c>
      <c r="K47">
        <v>78.152000000000001</v>
      </c>
      <c r="L47">
        <v>78.016000000000005</v>
      </c>
      <c r="M47">
        <v>77.870999999999995</v>
      </c>
      <c r="N47">
        <v>77.724000000000004</v>
      </c>
      <c r="O47">
        <v>77.593999999999994</v>
      </c>
      <c r="P47">
        <v>76.5</v>
      </c>
      <c r="Q47">
        <v>75.397999999999996</v>
      </c>
      <c r="R47">
        <v>74.394999999999996</v>
      </c>
      <c r="S47">
        <v>74.866</v>
      </c>
      <c r="T47">
        <v>73.774000000000001</v>
      </c>
      <c r="U47">
        <v>74.331000000000003</v>
      </c>
      <c r="V47">
        <v>74.475999999999999</v>
      </c>
      <c r="W47">
        <v>73.632000000000005</v>
      </c>
      <c r="X47">
        <v>72.328999999999994</v>
      </c>
      <c r="Y47">
        <v>72.052999999999997</v>
      </c>
      <c r="Z47">
        <v>72.965000000000003</v>
      </c>
      <c r="AA47">
        <v>73.977000000000004</v>
      </c>
      <c r="AB47">
        <v>73.78</v>
      </c>
      <c r="AC47">
        <v>74.031000000000006</v>
      </c>
      <c r="AD47">
        <v>76.197000000000003</v>
      </c>
      <c r="AE47">
        <v>76.423000000000002</v>
      </c>
      <c r="AF47">
        <v>76.066000000000003</v>
      </c>
      <c r="AG47">
        <v>77.606999999999999</v>
      </c>
      <c r="AH47">
        <v>78.167000000000002</v>
      </c>
      <c r="AI47">
        <v>73.67</v>
      </c>
      <c r="AJ47">
        <v>75.632999999999996</v>
      </c>
      <c r="AK47">
        <v>76.341999999999999</v>
      </c>
      <c r="AL47">
        <v>76.433000000000007</v>
      </c>
      <c r="AM47">
        <v>76.370999999999995</v>
      </c>
      <c r="AN47">
        <v>76.36</v>
      </c>
    </row>
    <row r="48" spans="1:40" x14ac:dyDescent="0.25">
      <c r="A48" t="s">
        <v>101</v>
      </c>
      <c r="B48" t="s">
        <v>102</v>
      </c>
      <c r="C48" t="s">
        <v>17</v>
      </c>
      <c r="D48">
        <v>0</v>
      </c>
      <c r="E48">
        <v>79.379000000000005</v>
      </c>
      <c r="F48">
        <v>79.501999999999995</v>
      </c>
      <c r="G48">
        <v>79.429000000000002</v>
      </c>
      <c r="H48">
        <v>79.338999999999999</v>
      </c>
      <c r="I48">
        <v>79.423000000000002</v>
      </c>
      <c r="J48">
        <v>79.334999999999994</v>
      </c>
      <c r="K48">
        <v>79.197000000000003</v>
      </c>
      <c r="L48">
        <v>80.295000000000002</v>
      </c>
      <c r="M48">
        <v>81.376999999999995</v>
      </c>
      <c r="N48">
        <v>81.400999999999996</v>
      </c>
      <c r="O48">
        <v>81.397000000000006</v>
      </c>
      <c r="P48">
        <v>81.554000000000002</v>
      </c>
      <c r="Q48">
        <v>81.703000000000003</v>
      </c>
      <c r="R48">
        <v>81.843999999999994</v>
      </c>
      <c r="S48">
        <v>82.522999999999996</v>
      </c>
      <c r="T48">
        <v>82.36</v>
      </c>
      <c r="U48">
        <v>83.524000000000001</v>
      </c>
      <c r="V48">
        <v>81.897000000000006</v>
      </c>
      <c r="W48">
        <v>81.39</v>
      </c>
      <c r="X48">
        <v>78.671999999999997</v>
      </c>
      <c r="Y48">
        <v>77.674000000000007</v>
      </c>
      <c r="Z48">
        <v>76.811000000000007</v>
      </c>
      <c r="AA48">
        <v>77.129000000000005</v>
      </c>
      <c r="AB48">
        <v>76.686999999999998</v>
      </c>
      <c r="AC48">
        <v>77.852999999999994</v>
      </c>
      <c r="AD48">
        <v>79.683999999999997</v>
      </c>
      <c r="AE48">
        <v>80.167000000000002</v>
      </c>
      <c r="AF48">
        <v>80.355999999999995</v>
      </c>
      <c r="AG48">
        <v>79.061000000000007</v>
      </c>
      <c r="AH48">
        <v>78.168000000000006</v>
      </c>
      <c r="AI48">
        <v>72.05</v>
      </c>
      <c r="AJ48">
        <v>77.992999999999995</v>
      </c>
      <c r="AK48">
        <v>77.67</v>
      </c>
      <c r="AL48">
        <v>76.715000000000003</v>
      </c>
      <c r="AM48">
        <v>76.947999999999993</v>
      </c>
      <c r="AN48">
        <v>76.867999999999995</v>
      </c>
    </row>
    <row r="49" spans="1:40" x14ac:dyDescent="0.25">
      <c r="A49" t="s">
        <v>103</v>
      </c>
      <c r="B49" t="s">
        <v>104</v>
      </c>
      <c r="C49" t="s">
        <v>6</v>
      </c>
      <c r="D49">
        <v>0</v>
      </c>
      <c r="E49">
        <v>71.260999999999996</v>
      </c>
      <c r="F49">
        <v>71.236000000000004</v>
      </c>
      <c r="G49">
        <v>71.31</v>
      </c>
      <c r="H49">
        <v>73.334999999999994</v>
      </c>
      <c r="I49">
        <v>74.462999999999994</v>
      </c>
      <c r="J49">
        <v>73.879000000000005</v>
      </c>
      <c r="K49">
        <v>73.278999999999996</v>
      </c>
      <c r="L49">
        <v>72.668999999999997</v>
      </c>
      <c r="M49">
        <v>72.028999999999996</v>
      </c>
      <c r="N49">
        <v>74.203000000000003</v>
      </c>
      <c r="O49">
        <v>71.703999999999994</v>
      </c>
      <c r="P49">
        <v>69.191000000000003</v>
      </c>
      <c r="Q49">
        <v>67.844999999999999</v>
      </c>
      <c r="R49">
        <v>68.978999999999999</v>
      </c>
      <c r="S49">
        <v>70.099999999999994</v>
      </c>
      <c r="T49">
        <v>71.210999999999999</v>
      </c>
      <c r="U49">
        <v>72.317999999999998</v>
      </c>
      <c r="V49">
        <v>72.212999999999994</v>
      </c>
      <c r="W49">
        <v>72.906999999999996</v>
      </c>
      <c r="X49">
        <v>72.632000000000005</v>
      </c>
      <c r="Y49">
        <v>75.316000000000003</v>
      </c>
      <c r="Z49">
        <v>74.819999999999993</v>
      </c>
      <c r="AA49">
        <v>74.259</v>
      </c>
      <c r="AB49">
        <v>73.643000000000001</v>
      </c>
      <c r="AC49">
        <v>72.86</v>
      </c>
      <c r="AD49">
        <v>70.97</v>
      </c>
      <c r="AE49">
        <v>70.045000000000002</v>
      </c>
      <c r="AF49">
        <v>67.581999999999994</v>
      </c>
      <c r="AG49">
        <v>68.037000000000006</v>
      </c>
      <c r="AH49">
        <v>68.385999999999996</v>
      </c>
      <c r="AI49">
        <v>68.47</v>
      </c>
      <c r="AJ49">
        <v>70.222999999999999</v>
      </c>
      <c r="AK49">
        <v>70.272000000000006</v>
      </c>
      <c r="AL49">
        <v>70.7</v>
      </c>
      <c r="AM49">
        <v>70.558999999999997</v>
      </c>
      <c r="AN49">
        <v>70.513999999999996</v>
      </c>
    </row>
    <row r="50" spans="1:40" x14ac:dyDescent="0.25">
      <c r="A50" t="s">
        <v>105</v>
      </c>
      <c r="B50" t="s">
        <v>106</v>
      </c>
      <c r="C50" t="s">
        <v>17</v>
      </c>
      <c r="D50">
        <v>0</v>
      </c>
      <c r="E50">
        <v>84.013000000000005</v>
      </c>
      <c r="F50">
        <v>84.07</v>
      </c>
      <c r="G50">
        <v>83.805999999999997</v>
      </c>
      <c r="H50">
        <v>83.578000000000003</v>
      </c>
      <c r="I50">
        <v>83.793999999999997</v>
      </c>
      <c r="J50">
        <v>83.676000000000002</v>
      </c>
      <c r="K50">
        <v>81.878</v>
      </c>
      <c r="L50">
        <v>81.367999999999995</v>
      </c>
      <c r="M50">
        <v>81.808999999999997</v>
      </c>
      <c r="N50">
        <v>80.709999999999994</v>
      </c>
      <c r="O50">
        <v>79.855999999999995</v>
      </c>
      <c r="P50">
        <v>78.980999999999995</v>
      </c>
      <c r="Q50">
        <v>78.075000000000003</v>
      </c>
      <c r="R50">
        <v>79.688999999999993</v>
      </c>
      <c r="S50">
        <v>78.573999999999998</v>
      </c>
      <c r="T50">
        <v>78.614999999999995</v>
      </c>
      <c r="U50">
        <v>78.596999999999994</v>
      </c>
      <c r="V50">
        <v>79.447999999999993</v>
      </c>
      <c r="W50">
        <v>78.457999999999998</v>
      </c>
      <c r="X50">
        <v>77.403999999999996</v>
      </c>
      <c r="Y50">
        <v>76.299000000000007</v>
      </c>
      <c r="Z50">
        <v>76.11</v>
      </c>
      <c r="AA50">
        <v>76.352000000000004</v>
      </c>
      <c r="AB50">
        <v>75.915999999999997</v>
      </c>
      <c r="AC50">
        <v>75.028999999999996</v>
      </c>
      <c r="AD50">
        <v>74.605999999999995</v>
      </c>
      <c r="AE50">
        <v>74.997</v>
      </c>
      <c r="AF50">
        <v>75.207999999999998</v>
      </c>
      <c r="AG50">
        <v>74.87</v>
      </c>
      <c r="AH50">
        <v>76.147000000000006</v>
      </c>
      <c r="AI50">
        <v>72.082999999999998</v>
      </c>
      <c r="AJ50">
        <v>75.477000000000004</v>
      </c>
      <c r="AK50">
        <v>76.477000000000004</v>
      </c>
      <c r="AL50">
        <v>76.751000000000005</v>
      </c>
      <c r="AM50">
        <v>76.995000000000005</v>
      </c>
      <c r="AN50">
        <v>77.266000000000005</v>
      </c>
    </row>
    <row r="51" spans="1:40" x14ac:dyDescent="0.25">
      <c r="A51" t="s">
        <v>107</v>
      </c>
      <c r="B51" t="s">
        <v>108</v>
      </c>
      <c r="C51" t="s">
        <v>14</v>
      </c>
      <c r="D51">
        <v>0</v>
      </c>
      <c r="E51">
        <v>68.584999999999994</v>
      </c>
      <c r="F51">
        <v>69.192999999999998</v>
      </c>
      <c r="G51">
        <v>69.745000000000005</v>
      </c>
      <c r="H51">
        <v>70.236000000000004</v>
      </c>
      <c r="I51">
        <v>70.638999999999996</v>
      </c>
      <c r="J51">
        <v>70.930000000000007</v>
      </c>
      <c r="K51">
        <v>71.120999999999995</v>
      </c>
      <c r="L51">
        <v>71.233999999999995</v>
      </c>
      <c r="M51">
        <v>71.286000000000001</v>
      </c>
      <c r="N51">
        <v>71.206999999999994</v>
      </c>
      <c r="O51">
        <v>70.674000000000007</v>
      </c>
      <c r="P51">
        <v>69.692999999999998</v>
      </c>
      <c r="Q51">
        <v>68.537999999999997</v>
      </c>
      <c r="R51">
        <v>67.322000000000003</v>
      </c>
      <c r="S51">
        <v>66.168000000000006</v>
      </c>
      <c r="T51">
        <v>65.417000000000002</v>
      </c>
      <c r="U51">
        <v>65.088999999999999</v>
      </c>
      <c r="V51">
        <v>64.941999999999993</v>
      </c>
      <c r="W51">
        <v>64.938999999999993</v>
      </c>
      <c r="X51">
        <v>65.058000000000007</v>
      </c>
      <c r="Y51">
        <v>65.286000000000001</v>
      </c>
      <c r="Z51">
        <v>65.665000000000006</v>
      </c>
      <c r="AA51">
        <v>66.138000000000005</v>
      </c>
      <c r="AB51">
        <v>66.587000000000003</v>
      </c>
      <c r="AC51">
        <v>66.986999999999995</v>
      </c>
      <c r="AD51">
        <v>67.293000000000006</v>
      </c>
      <c r="AE51">
        <v>67.481999999999999</v>
      </c>
      <c r="AF51">
        <v>67.554000000000002</v>
      </c>
      <c r="AG51">
        <v>67.481999999999999</v>
      </c>
      <c r="AH51">
        <v>67.251999999999995</v>
      </c>
      <c r="AI51">
        <v>62.725000000000001</v>
      </c>
      <c r="AJ51">
        <v>63.32</v>
      </c>
      <c r="AK51">
        <v>67.534999999999997</v>
      </c>
      <c r="AL51">
        <v>67.805000000000007</v>
      </c>
      <c r="AM51">
        <v>67.584999999999994</v>
      </c>
      <c r="AN51">
        <v>67.242999999999995</v>
      </c>
    </row>
    <row r="52" spans="1:40" x14ac:dyDescent="0.25">
      <c r="A52" t="s">
        <v>109</v>
      </c>
      <c r="B52" t="s">
        <v>110</v>
      </c>
      <c r="C52" t="s">
        <v>14</v>
      </c>
      <c r="D52">
        <v>1</v>
      </c>
      <c r="E52">
        <v>88.090999999999994</v>
      </c>
      <c r="F52">
        <v>88.1</v>
      </c>
      <c r="G52">
        <v>88.153000000000006</v>
      </c>
      <c r="H52">
        <v>87.876000000000005</v>
      </c>
      <c r="I52">
        <v>87.576999999999998</v>
      </c>
      <c r="J52">
        <v>86.956999999999994</v>
      </c>
      <c r="K52">
        <v>86.566000000000003</v>
      </c>
      <c r="L52">
        <v>87.094999999999999</v>
      </c>
      <c r="M52">
        <v>87.552000000000007</v>
      </c>
      <c r="N52">
        <v>87.870999999999995</v>
      </c>
      <c r="O52">
        <v>88.078999999999994</v>
      </c>
      <c r="P52">
        <v>87.79</v>
      </c>
      <c r="Q52">
        <v>87.388999999999996</v>
      </c>
      <c r="R52">
        <v>86.911000000000001</v>
      </c>
      <c r="S52">
        <v>86.451999999999998</v>
      </c>
      <c r="T52">
        <v>86.391000000000005</v>
      </c>
      <c r="U52">
        <v>86.531999999999996</v>
      </c>
      <c r="V52">
        <v>86.602999999999994</v>
      </c>
      <c r="W52">
        <v>86.503</v>
      </c>
      <c r="X52">
        <v>86.222999999999999</v>
      </c>
      <c r="Y52">
        <v>86.05</v>
      </c>
      <c r="Z52">
        <v>85.72</v>
      </c>
      <c r="AA52">
        <v>85.486000000000004</v>
      </c>
      <c r="AB52">
        <v>85.468999999999994</v>
      </c>
      <c r="AC52">
        <v>85.117999999999995</v>
      </c>
      <c r="AD52">
        <v>85.435000000000002</v>
      </c>
      <c r="AE52">
        <v>85.281000000000006</v>
      </c>
      <c r="AF52">
        <v>85.224000000000004</v>
      </c>
      <c r="AG52">
        <v>84.7</v>
      </c>
      <c r="AH52">
        <v>84.194999999999993</v>
      </c>
      <c r="AI52">
        <v>83.372</v>
      </c>
      <c r="AJ52">
        <v>83.597999999999999</v>
      </c>
      <c r="AK52">
        <v>84.17</v>
      </c>
      <c r="AL52">
        <v>84.144000000000005</v>
      </c>
      <c r="AM52">
        <v>84.123000000000005</v>
      </c>
      <c r="AN52">
        <v>84.149000000000001</v>
      </c>
    </row>
    <row r="53" spans="1:40" x14ac:dyDescent="0.25">
      <c r="A53" t="s">
        <v>111</v>
      </c>
      <c r="B53" t="s">
        <v>112</v>
      </c>
      <c r="C53" t="s">
        <v>9</v>
      </c>
      <c r="D53">
        <v>0</v>
      </c>
      <c r="E53">
        <v>77.876999999999995</v>
      </c>
      <c r="F53">
        <v>76.957999999999998</v>
      </c>
      <c r="G53">
        <v>75.337000000000003</v>
      </c>
      <c r="H53">
        <v>73.331999999999994</v>
      </c>
      <c r="I53">
        <v>73.191999999999993</v>
      </c>
      <c r="J53">
        <v>71.671000000000006</v>
      </c>
      <c r="K53">
        <v>70.519000000000005</v>
      </c>
      <c r="L53">
        <v>70.209999999999994</v>
      </c>
      <c r="M53">
        <v>69.289000000000001</v>
      </c>
      <c r="N53">
        <v>67.459999999999994</v>
      </c>
      <c r="O53">
        <v>66.481999999999999</v>
      </c>
      <c r="P53">
        <v>65.171000000000006</v>
      </c>
      <c r="Q53">
        <v>64.043999999999997</v>
      </c>
      <c r="R53">
        <v>66.484999999999999</v>
      </c>
      <c r="S53">
        <v>65.766999999999996</v>
      </c>
      <c r="T53">
        <v>64.686000000000007</v>
      </c>
      <c r="U53">
        <v>67.459999999999994</v>
      </c>
      <c r="V53">
        <v>68.257000000000005</v>
      </c>
      <c r="W53">
        <v>68.75</v>
      </c>
      <c r="X53">
        <v>67.948999999999998</v>
      </c>
      <c r="Y53">
        <v>66.966999999999999</v>
      </c>
      <c r="Z53">
        <v>67.941999999999993</v>
      </c>
      <c r="AA53">
        <v>68.215999999999994</v>
      </c>
      <c r="AB53">
        <v>68.284999999999997</v>
      </c>
      <c r="AC53">
        <v>68.792000000000002</v>
      </c>
      <c r="AD53">
        <v>68.953999999999994</v>
      </c>
      <c r="AE53">
        <v>70.070999999999998</v>
      </c>
      <c r="AF53">
        <v>70.518000000000001</v>
      </c>
      <c r="AG53">
        <v>70.701999999999998</v>
      </c>
      <c r="AH53">
        <v>69.864999999999995</v>
      </c>
      <c r="AI53">
        <v>69.808999999999997</v>
      </c>
      <c r="AJ53">
        <v>69.372</v>
      </c>
      <c r="AK53">
        <v>70.790000000000006</v>
      </c>
      <c r="AL53">
        <v>70.789000000000001</v>
      </c>
      <c r="AM53">
        <v>70.207999999999998</v>
      </c>
      <c r="AN53">
        <v>69.819000000000003</v>
      </c>
    </row>
    <row r="54" spans="1:40" x14ac:dyDescent="0.25">
      <c r="A54" t="s">
        <v>113</v>
      </c>
      <c r="B54" t="s">
        <v>114</v>
      </c>
      <c r="C54" t="s">
        <v>14</v>
      </c>
      <c r="D54">
        <v>0</v>
      </c>
      <c r="E54">
        <v>67.078999999999994</v>
      </c>
      <c r="F54">
        <v>66.548000000000002</v>
      </c>
      <c r="G54">
        <v>66.036000000000001</v>
      </c>
      <c r="H54">
        <v>65.763999999999996</v>
      </c>
      <c r="I54">
        <v>66.387</v>
      </c>
      <c r="J54">
        <v>66.790000000000006</v>
      </c>
      <c r="K54">
        <v>66.233000000000004</v>
      </c>
      <c r="L54">
        <v>65.552999999999997</v>
      </c>
      <c r="M54">
        <v>64.731999999999999</v>
      </c>
      <c r="N54">
        <v>63.871000000000002</v>
      </c>
      <c r="O54">
        <v>63.08</v>
      </c>
      <c r="P54">
        <v>62.402000000000001</v>
      </c>
      <c r="Q54">
        <v>61.832999999999998</v>
      </c>
      <c r="R54">
        <v>61.37</v>
      </c>
      <c r="S54">
        <v>60.988</v>
      </c>
      <c r="T54">
        <v>60.667999999999999</v>
      </c>
      <c r="U54">
        <v>60.396000000000001</v>
      </c>
      <c r="V54">
        <v>60.018999999999998</v>
      </c>
      <c r="W54">
        <v>59.46</v>
      </c>
      <c r="X54">
        <v>58.860999999999997</v>
      </c>
      <c r="Y54">
        <v>58.308</v>
      </c>
      <c r="Z54">
        <v>57.816000000000003</v>
      </c>
      <c r="AA54">
        <v>57.393999999999998</v>
      </c>
      <c r="AB54">
        <v>57.002000000000002</v>
      </c>
      <c r="AC54">
        <v>56.563000000000002</v>
      </c>
      <c r="AD54">
        <v>56.087000000000003</v>
      </c>
      <c r="AE54">
        <v>55.645000000000003</v>
      </c>
      <c r="AF54">
        <v>54.945</v>
      </c>
      <c r="AG54">
        <v>54.225999999999999</v>
      </c>
      <c r="AH54">
        <v>53.494</v>
      </c>
      <c r="AI54">
        <v>52.722999999999999</v>
      </c>
      <c r="AJ54">
        <v>52.639000000000003</v>
      </c>
      <c r="AK54">
        <v>53.835999999999999</v>
      </c>
      <c r="AL54">
        <v>54.389000000000003</v>
      </c>
      <c r="AM54">
        <v>54.154000000000003</v>
      </c>
      <c r="AN54">
        <v>54.027000000000001</v>
      </c>
    </row>
    <row r="55" spans="1:40" x14ac:dyDescent="0.25">
      <c r="A55" t="s">
        <v>115</v>
      </c>
      <c r="B55" t="s">
        <v>116</v>
      </c>
      <c r="C55" t="s">
        <v>14</v>
      </c>
      <c r="D55">
        <v>1</v>
      </c>
      <c r="E55">
        <v>89.224999999999994</v>
      </c>
      <c r="F55">
        <v>89.19</v>
      </c>
      <c r="G55">
        <v>89.174999999999997</v>
      </c>
      <c r="H55">
        <v>89.245000000000005</v>
      </c>
      <c r="I55">
        <v>89.316000000000003</v>
      </c>
      <c r="J55">
        <v>89.388999999999996</v>
      </c>
      <c r="K55">
        <v>89.474999999999994</v>
      </c>
      <c r="L55">
        <v>89.58</v>
      </c>
      <c r="M55">
        <v>89.692999999999998</v>
      </c>
      <c r="N55">
        <v>89.792000000000002</v>
      </c>
      <c r="O55">
        <v>89.856999999999999</v>
      </c>
      <c r="P55">
        <v>89.878</v>
      </c>
      <c r="Q55">
        <v>89.855999999999995</v>
      </c>
      <c r="R55">
        <v>89.802000000000007</v>
      </c>
      <c r="S55">
        <v>89.73</v>
      </c>
      <c r="T55">
        <v>89.643000000000001</v>
      </c>
      <c r="U55">
        <v>89.481999999999999</v>
      </c>
      <c r="V55">
        <v>89.32</v>
      </c>
      <c r="W55">
        <v>89.159000000000006</v>
      </c>
      <c r="X55">
        <v>88.995999999999995</v>
      </c>
      <c r="Y55">
        <v>88.831999999999994</v>
      </c>
      <c r="Z55">
        <v>88.667000000000002</v>
      </c>
      <c r="AA55">
        <v>88.5</v>
      </c>
      <c r="AB55">
        <v>88.331999999999994</v>
      </c>
      <c r="AC55">
        <v>87.108000000000004</v>
      </c>
      <c r="AD55">
        <v>85.900999999999996</v>
      </c>
      <c r="AE55">
        <v>84.712999999999994</v>
      </c>
      <c r="AF55">
        <v>83.542000000000002</v>
      </c>
      <c r="AG55">
        <v>82.403999999999996</v>
      </c>
      <c r="AH55">
        <v>81.299000000000007</v>
      </c>
      <c r="AI55">
        <v>79.652000000000001</v>
      </c>
      <c r="AJ55">
        <v>79.132000000000005</v>
      </c>
      <c r="AK55">
        <v>79.123999999999995</v>
      </c>
      <c r="AL55">
        <v>78.960999999999999</v>
      </c>
      <c r="AM55">
        <v>78.721999999999994</v>
      </c>
      <c r="AN55">
        <v>78.644000000000005</v>
      </c>
    </row>
    <row r="56" spans="1:40" x14ac:dyDescent="0.25">
      <c r="A56" t="s">
        <v>117</v>
      </c>
      <c r="B56" t="s">
        <v>118</v>
      </c>
      <c r="C56" t="s">
        <v>22</v>
      </c>
      <c r="D56">
        <v>0</v>
      </c>
      <c r="E56">
        <v>79.867999999999995</v>
      </c>
      <c r="F56">
        <v>79.98</v>
      </c>
      <c r="G56">
        <v>79.817999999999998</v>
      </c>
      <c r="H56">
        <v>79.771000000000001</v>
      </c>
      <c r="I56">
        <v>79.622</v>
      </c>
      <c r="J56">
        <v>79.55</v>
      </c>
      <c r="K56">
        <v>79.403000000000006</v>
      </c>
      <c r="L56">
        <v>79.492000000000004</v>
      </c>
      <c r="M56">
        <v>79.576999999999998</v>
      </c>
      <c r="N56">
        <v>79.66</v>
      </c>
      <c r="O56">
        <v>79.744</v>
      </c>
      <c r="P56">
        <v>79.828000000000003</v>
      </c>
      <c r="Q56">
        <v>79.91</v>
      </c>
      <c r="R56">
        <v>79.989999999999995</v>
      </c>
      <c r="S56">
        <v>80.064999999999998</v>
      </c>
      <c r="T56">
        <v>78.322999999999993</v>
      </c>
      <c r="U56">
        <v>78.715999999999994</v>
      </c>
      <c r="V56">
        <v>79.072999999999993</v>
      </c>
      <c r="W56">
        <v>79.42</v>
      </c>
      <c r="X56">
        <v>79.757999999999996</v>
      </c>
      <c r="Y56">
        <v>80.064999999999998</v>
      </c>
      <c r="Z56">
        <v>80.341999999999999</v>
      </c>
      <c r="AA56">
        <v>79.063999999999993</v>
      </c>
      <c r="AB56">
        <v>77.736000000000004</v>
      </c>
      <c r="AC56">
        <v>76.36</v>
      </c>
      <c r="AD56">
        <v>76.650000000000006</v>
      </c>
      <c r="AE56">
        <v>76.914000000000001</v>
      </c>
      <c r="AF56">
        <v>76.721000000000004</v>
      </c>
      <c r="AG56">
        <v>76.585999999999999</v>
      </c>
      <c r="AH56">
        <v>76.641000000000005</v>
      </c>
      <c r="AI56">
        <v>72.281999999999996</v>
      </c>
      <c r="AJ56">
        <v>72.891000000000005</v>
      </c>
      <c r="AK56">
        <v>76.617999999999995</v>
      </c>
      <c r="AL56">
        <v>76.597999999999999</v>
      </c>
      <c r="AM56">
        <v>76.578000000000003</v>
      </c>
      <c r="AN56">
        <v>76.537000000000006</v>
      </c>
    </row>
    <row r="57" spans="1:40" x14ac:dyDescent="0.25">
      <c r="A57" t="s">
        <v>119</v>
      </c>
      <c r="B57" t="s">
        <v>120</v>
      </c>
      <c r="C57" t="s">
        <v>9</v>
      </c>
      <c r="D57">
        <v>0</v>
      </c>
      <c r="E57">
        <v>71.393000000000001</v>
      </c>
      <c r="F57">
        <v>69.956000000000003</v>
      </c>
      <c r="G57">
        <v>68.468999999999994</v>
      </c>
      <c r="H57">
        <v>67.587000000000003</v>
      </c>
      <c r="I57">
        <v>66.77</v>
      </c>
      <c r="J57">
        <v>65.194000000000003</v>
      </c>
      <c r="K57">
        <v>64.271000000000001</v>
      </c>
      <c r="L57">
        <v>65.748000000000005</v>
      </c>
      <c r="M57">
        <v>65.647999999999996</v>
      </c>
      <c r="N57">
        <v>66.150999999999996</v>
      </c>
      <c r="O57">
        <v>66.585999999999999</v>
      </c>
      <c r="P57">
        <v>66.875</v>
      </c>
      <c r="Q57">
        <v>66.823999999999998</v>
      </c>
      <c r="R57">
        <v>66.930999999999997</v>
      </c>
      <c r="S57">
        <v>66.385000000000005</v>
      </c>
      <c r="T57">
        <v>66.513999999999996</v>
      </c>
      <c r="U57">
        <v>66.454999999999998</v>
      </c>
      <c r="V57">
        <v>65.14</v>
      </c>
      <c r="W57">
        <v>65.710999999999999</v>
      </c>
      <c r="X57">
        <v>64.105000000000004</v>
      </c>
      <c r="Y57">
        <v>63.767000000000003</v>
      </c>
      <c r="Z57">
        <v>64.114999999999995</v>
      </c>
      <c r="AA57">
        <v>63.503999999999998</v>
      </c>
      <c r="AB57">
        <v>62.834000000000003</v>
      </c>
      <c r="AC57">
        <v>62.348999999999997</v>
      </c>
      <c r="AD57">
        <v>62.277000000000001</v>
      </c>
      <c r="AE57">
        <v>62.27</v>
      </c>
      <c r="AF57">
        <v>62.460999999999999</v>
      </c>
      <c r="AG57">
        <v>63.08</v>
      </c>
      <c r="AH57">
        <v>62.828000000000003</v>
      </c>
      <c r="AI57">
        <v>62.661000000000001</v>
      </c>
      <c r="AJ57">
        <v>63.747999999999998</v>
      </c>
      <c r="AK57">
        <v>63.689</v>
      </c>
      <c r="AL57">
        <v>63.16</v>
      </c>
      <c r="AM57">
        <v>63.151000000000003</v>
      </c>
      <c r="AN57">
        <v>62.978000000000002</v>
      </c>
    </row>
    <row r="58" spans="1:40" x14ac:dyDescent="0.25">
      <c r="A58" t="s">
        <v>121</v>
      </c>
      <c r="B58" t="s">
        <v>122</v>
      </c>
      <c r="C58" t="s">
        <v>9</v>
      </c>
      <c r="D58">
        <v>0</v>
      </c>
      <c r="E58">
        <v>65.56</v>
      </c>
      <c r="F58">
        <v>64.313000000000002</v>
      </c>
      <c r="G58">
        <v>64.185000000000002</v>
      </c>
      <c r="H58">
        <v>63.749000000000002</v>
      </c>
      <c r="I58">
        <v>63.329000000000001</v>
      </c>
      <c r="J58">
        <v>62.972999999999999</v>
      </c>
      <c r="K58">
        <v>63.195</v>
      </c>
      <c r="L58">
        <v>62.823999999999998</v>
      </c>
      <c r="M58">
        <v>62.628</v>
      </c>
      <c r="N58">
        <v>62.856999999999999</v>
      </c>
      <c r="O58">
        <v>62.667999999999999</v>
      </c>
      <c r="P58">
        <v>62.529000000000003</v>
      </c>
      <c r="Q58">
        <v>62.887</v>
      </c>
      <c r="R58">
        <v>62.816000000000003</v>
      </c>
      <c r="S58">
        <v>62.698</v>
      </c>
      <c r="T58">
        <v>62.390999999999998</v>
      </c>
      <c r="U58">
        <v>62.14</v>
      </c>
      <c r="V58">
        <v>62.02</v>
      </c>
      <c r="W58">
        <v>62.031999999999996</v>
      </c>
      <c r="X58">
        <v>62.048999999999999</v>
      </c>
      <c r="Y58">
        <v>61.832999999999998</v>
      </c>
      <c r="Z58">
        <v>61.517000000000003</v>
      </c>
      <c r="AA58">
        <v>61.73</v>
      </c>
      <c r="AB58">
        <v>61.686</v>
      </c>
      <c r="AC58">
        <v>60.960999999999999</v>
      </c>
      <c r="AD58">
        <v>60.725999999999999</v>
      </c>
      <c r="AE58">
        <v>60.399000000000001</v>
      </c>
      <c r="AF58">
        <v>60.322000000000003</v>
      </c>
      <c r="AG58">
        <v>60.204999999999998</v>
      </c>
      <c r="AH58">
        <v>59.662999999999997</v>
      </c>
      <c r="AI58">
        <v>58.88</v>
      </c>
      <c r="AJ58">
        <v>59.857999999999997</v>
      </c>
      <c r="AK58">
        <v>60.167000000000002</v>
      </c>
      <c r="AL58">
        <v>60.11</v>
      </c>
      <c r="AM58">
        <v>59.896000000000001</v>
      </c>
      <c r="AN58">
        <v>59.55</v>
      </c>
    </row>
    <row r="59" spans="1:40" x14ac:dyDescent="0.25">
      <c r="A59" t="s">
        <v>123</v>
      </c>
      <c r="B59" t="s">
        <v>124</v>
      </c>
      <c r="C59" t="s">
        <v>14</v>
      </c>
      <c r="D59">
        <v>0</v>
      </c>
      <c r="E59">
        <v>60.436999999999998</v>
      </c>
      <c r="F59">
        <v>60.375999999999998</v>
      </c>
      <c r="G59">
        <v>60.500999999999998</v>
      </c>
      <c r="H59">
        <v>60.389000000000003</v>
      </c>
      <c r="I59">
        <v>60.226999999999997</v>
      </c>
      <c r="J59">
        <v>59.970999999999997</v>
      </c>
      <c r="K59">
        <v>59.683999999999997</v>
      </c>
      <c r="L59">
        <v>59.311999999999998</v>
      </c>
      <c r="M59">
        <v>58.981000000000002</v>
      </c>
      <c r="N59">
        <v>58.966999999999999</v>
      </c>
      <c r="O59">
        <v>58.771999999999998</v>
      </c>
      <c r="P59">
        <v>58.49</v>
      </c>
      <c r="Q59">
        <v>58.277000000000001</v>
      </c>
      <c r="R59">
        <v>58.023000000000003</v>
      </c>
      <c r="S59">
        <v>57.847999999999999</v>
      </c>
      <c r="T59">
        <v>57.67</v>
      </c>
      <c r="U59">
        <v>57.686999999999998</v>
      </c>
      <c r="V59">
        <v>57.539000000000001</v>
      </c>
      <c r="W59">
        <v>57.69</v>
      </c>
      <c r="X59">
        <v>57.834000000000003</v>
      </c>
      <c r="Y59">
        <v>57.893999999999998</v>
      </c>
      <c r="Z59">
        <v>58.024999999999999</v>
      </c>
      <c r="AA59">
        <v>58.234000000000002</v>
      </c>
      <c r="AB59">
        <v>58.442</v>
      </c>
      <c r="AC59">
        <v>58.698</v>
      </c>
      <c r="AD59">
        <v>58.984999999999999</v>
      </c>
      <c r="AE59">
        <v>59.345999999999997</v>
      </c>
      <c r="AF59">
        <v>59.758000000000003</v>
      </c>
      <c r="AG59">
        <v>60.127000000000002</v>
      </c>
      <c r="AH59">
        <v>60.338000000000001</v>
      </c>
      <c r="AI59">
        <v>56.244</v>
      </c>
      <c r="AJ59">
        <v>56.844999999999999</v>
      </c>
      <c r="AK59">
        <v>60.808</v>
      </c>
      <c r="AL59">
        <v>60.709000000000003</v>
      </c>
      <c r="AM59">
        <v>60.438000000000002</v>
      </c>
      <c r="AN59">
        <v>60.131999999999998</v>
      </c>
    </row>
    <row r="60" spans="1:40" x14ac:dyDescent="0.25">
      <c r="A60" t="s">
        <v>125</v>
      </c>
      <c r="B60" t="s">
        <v>126</v>
      </c>
      <c r="C60" t="s">
        <v>14</v>
      </c>
      <c r="D60">
        <v>0</v>
      </c>
      <c r="E60">
        <v>51.353000000000002</v>
      </c>
      <c r="F60">
        <v>51.426000000000002</v>
      </c>
      <c r="G60">
        <v>51.478000000000002</v>
      </c>
      <c r="H60">
        <v>51.54</v>
      </c>
      <c r="I60">
        <v>51.756</v>
      </c>
      <c r="J60">
        <v>51.920999999999999</v>
      </c>
      <c r="K60">
        <v>51.994999999999997</v>
      </c>
      <c r="L60">
        <v>51.905000000000001</v>
      </c>
      <c r="M60">
        <v>51.878</v>
      </c>
      <c r="N60">
        <v>51.679000000000002</v>
      </c>
      <c r="O60">
        <v>51.515000000000001</v>
      </c>
      <c r="P60">
        <v>51.325000000000003</v>
      </c>
      <c r="Q60">
        <v>51.65</v>
      </c>
      <c r="R60">
        <v>51.387</v>
      </c>
      <c r="S60">
        <v>51.11</v>
      </c>
      <c r="T60">
        <v>51.372</v>
      </c>
      <c r="U60">
        <v>51.526000000000003</v>
      </c>
      <c r="V60">
        <v>51.475000000000001</v>
      </c>
      <c r="W60">
        <v>51.243000000000002</v>
      </c>
      <c r="X60">
        <v>50.985999999999997</v>
      </c>
      <c r="Y60">
        <v>50.773000000000003</v>
      </c>
      <c r="Z60">
        <v>51.398000000000003</v>
      </c>
      <c r="AA60">
        <v>51.241</v>
      </c>
      <c r="AB60">
        <v>51.218000000000004</v>
      </c>
      <c r="AC60">
        <v>51.432000000000002</v>
      </c>
      <c r="AD60">
        <v>51.326999999999998</v>
      </c>
      <c r="AE60">
        <v>51.329000000000001</v>
      </c>
      <c r="AF60">
        <v>51.16</v>
      </c>
      <c r="AG60">
        <v>50.847000000000001</v>
      </c>
      <c r="AH60">
        <v>50.576000000000001</v>
      </c>
      <c r="AI60">
        <v>50.616</v>
      </c>
      <c r="AJ60">
        <v>50.387</v>
      </c>
      <c r="AK60">
        <v>50.137</v>
      </c>
      <c r="AL60">
        <v>49.921999999999997</v>
      </c>
      <c r="AM60">
        <v>49.643000000000001</v>
      </c>
      <c r="AN60">
        <v>49.509</v>
      </c>
    </row>
    <row r="61" spans="1:40" x14ac:dyDescent="0.25">
      <c r="A61" t="s">
        <v>127</v>
      </c>
      <c r="B61" t="s">
        <v>128</v>
      </c>
      <c r="C61" t="s">
        <v>6</v>
      </c>
      <c r="D61">
        <v>0</v>
      </c>
      <c r="E61">
        <v>82.27</v>
      </c>
      <c r="F61">
        <v>82.852000000000004</v>
      </c>
      <c r="G61">
        <v>83.484999999999999</v>
      </c>
      <c r="H61">
        <v>84.179000000000002</v>
      </c>
      <c r="I61">
        <v>84.938000000000002</v>
      </c>
      <c r="J61">
        <v>84.447999999999993</v>
      </c>
      <c r="K61">
        <v>83.337999999999994</v>
      </c>
      <c r="L61">
        <v>82.323999999999998</v>
      </c>
      <c r="M61">
        <v>81.91</v>
      </c>
      <c r="N61">
        <v>81.551000000000002</v>
      </c>
      <c r="O61">
        <v>81.281000000000006</v>
      </c>
      <c r="P61">
        <v>80.828999999999994</v>
      </c>
      <c r="Q61">
        <v>80.381</v>
      </c>
      <c r="R61">
        <v>79.578999999999994</v>
      </c>
      <c r="S61">
        <v>79.123999999999995</v>
      </c>
      <c r="T61">
        <v>78.444999999999993</v>
      </c>
      <c r="U61">
        <v>77.81</v>
      </c>
      <c r="V61">
        <v>77.045000000000002</v>
      </c>
      <c r="W61">
        <v>76.876000000000005</v>
      </c>
      <c r="X61">
        <v>77.025999999999996</v>
      </c>
      <c r="Y61">
        <v>76.617999999999995</v>
      </c>
      <c r="Z61">
        <v>76.138999999999996</v>
      </c>
      <c r="AA61">
        <v>75.754000000000005</v>
      </c>
      <c r="AB61">
        <v>75.474999999999994</v>
      </c>
      <c r="AC61">
        <v>75.284000000000006</v>
      </c>
      <c r="AD61">
        <v>75.150999999999996</v>
      </c>
      <c r="AE61">
        <v>75.016000000000005</v>
      </c>
      <c r="AF61">
        <v>74.816999999999993</v>
      </c>
      <c r="AG61">
        <v>73.826999999999998</v>
      </c>
      <c r="AH61">
        <v>72.855999999999995</v>
      </c>
      <c r="AI61">
        <v>73.313999999999993</v>
      </c>
      <c r="AJ61">
        <v>70.63</v>
      </c>
      <c r="AK61">
        <v>73.278000000000006</v>
      </c>
      <c r="AL61">
        <v>73.456999999999994</v>
      </c>
      <c r="AM61">
        <v>73.603999999999999</v>
      </c>
      <c r="AN61">
        <v>73.492000000000004</v>
      </c>
    </row>
    <row r="62" spans="1:40" x14ac:dyDescent="0.25">
      <c r="A62" t="s">
        <v>129</v>
      </c>
      <c r="B62" t="s">
        <v>130</v>
      </c>
      <c r="C62" t="s">
        <v>9</v>
      </c>
      <c r="D62">
        <v>0</v>
      </c>
      <c r="E62">
        <v>72.432000000000002</v>
      </c>
      <c r="F62">
        <v>72.361999999999995</v>
      </c>
      <c r="G62">
        <v>71.296000000000006</v>
      </c>
      <c r="H62">
        <v>70.516999999999996</v>
      </c>
      <c r="I62">
        <v>70.234999999999999</v>
      </c>
      <c r="J62">
        <v>69.481999999999999</v>
      </c>
      <c r="K62">
        <v>68.941000000000003</v>
      </c>
      <c r="L62">
        <v>68.888000000000005</v>
      </c>
      <c r="M62">
        <v>68.566000000000003</v>
      </c>
      <c r="N62">
        <v>68.311999999999998</v>
      </c>
      <c r="O62">
        <v>67.653000000000006</v>
      </c>
      <c r="P62">
        <v>67.091999999999999</v>
      </c>
      <c r="Q62">
        <v>66.608999999999995</v>
      </c>
      <c r="R62">
        <v>66.292000000000002</v>
      </c>
      <c r="S62">
        <v>65.747</v>
      </c>
      <c r="T62">
        <v>66.549000000000007</v>
      </c>
      <c r="U62">
        <v>66.762</v>
      </c>
      <c r="V62">
        <v>66.382000000000005</v>
      </c>
      <c r="W62">
        <v>66.649000000000001</v>
      </c>
      <c r="X62">
        <v>66.248000000000005</v>
      </c>
      <c r="Y62">
        <v>66.569000000000003</v>
      </c>
      <c r="Z62">
        <v>66.411000000000001</v>
      </c>
      <c r="AA62">
        <v>66.626000000000005</v>
      </c>
      <c r="AB62">
        <v>66.704999999999998</v>
      </c>
      <c r="AC62">
        <v>66.597999999999999</v>
      </c>
      <c r="AD62">
        <v>66.259</v>
      </c>
      <c r="AE62">
        <v>66.234999999999999</v>
      </c>
      <c r="AF62">
        <v>66.394999999999996</v>
      </c>
      <c r="AG62">
        <v>66.724000000000004</v>
      </c>
      <c r="AH62">
        <v>67.119</v>
      </c>
      <c r="AI62">
        <v>66.049000000000007</v>
      </c>
      <c r="AJ62">
        <v>65.98</v>
      </c>
      <c r="AK62">
        <v>66.337000000000003</v>
      </c>
      <c r="AL62">
        <v>66.478999999999999</v>
      </c>
      <c r="AM62">
        <v>66.421999999999997</v>
      </c>
      <c r="AN62">
        <v>66.054000000000002</v>
      </c>
    </row>
    <row r="63" spans="1:40" x14ac:dyDescent="0.25">
      <c r="A63" t="s">
        <v>131</v>
      </c>
      <c r="B63" t="s">
        <v>132</v>
      </c>
      <c r="C63" t="s">
        <v>14</v>
      </c>
      <c r="D63">
        <v>0</v>
      </c>
      <c r="E63">
        <v>76.206999999999994</v>
      </c>
      <c r="F63">
        <v>76.144000000000005</v>
      </c>
      <c r="G63">
        <v>76.149000000000001</v>
      </c>
      <c r="H63">
        <v>76.153000000000006</v>
      </c>
      <c r="I63">
        <v>76.159000000000006</v>
      </c>
      <c r="J63">
        <v>76.167000000000002</v>
      </c>
      <c r="K63">
        <v>76.174999999999997</v>
      </c>
      <c r="L63">
        <v>76.182000000000002</v>
      </c>
      <c r="M63">
        <v>76.186000000000007</v>
      </c>
      <c r="N63">
        <v>76.191000000000003</v>
      </c>
      <c r="O63">
        <v>76.195999999999998</v>
      </c>
      <c r="P63">
        <v>76.198999999999998</v>
      </c>
      <c r="Q63">
        <v>76.201999999999998</v>
      </c>
      <c r="R63">
        <v>76.204999999999998</v>
      </c>
      <c r="S63">
        <v>76.207999999999998</v>
      </c>
      <c r="T63">
        <v>76.212000000000003</v>
      </c>
      <c r="U63">
        <v>76.215000000000003</v>
      </c>
      <c r="V63">
        <v>76.218999999999994</v>
      </c>
      <c r="W63">
        <v>76.222999999999999</v>
      </c>
      <c r="X63">
        <v>76.227000000000004</v>
      </c>
      <c r="Y63">
        <v>76.231999999999999</v>
      </c>
      <c r="Z63">
        <v>76.236999999999995</v>
      </c>
      <c r="AA63">
        <v>76.242000000000004</v>
      </c>
      <c r="AB63">
        <v>76.247</v>
      </c>
      <c r="AC63">
        <v>74.91</v>
      </c>
      <c r="AD63">
        <v>73.527000000000001</v>
      </c>
      <c r="AE63">
        <v>72.185000000000002</v>
      </c>
      <c r="AF63">
        <v>70.805999999999997</v>
      </c>
      <c r="AG63">
        <v>69.11</v>
      </c>
      <c r="AH63">
        <v>67.418000000000006</v>
      </c>
      <c r="AI63">
        <v>65.331000000000003</v>
      </c>
      <c r="AJ63">
        <v>63.985999999999997</v>
      </c>
      <c r="AK63">
        <v>62.753999999999998</v>
      </c>
      <c r="AL63">
        <v>62.664999999999999</v>
      </c>
      <c r="AM63">
        <v>62.438000000000002</v>
      </c>
      <c r="AN63">
        <v>61.841000000000001</v>
      </c>
    </row>
    <row r="64" spans="1:40" x14ac:dyDescent="0.25">
      <c r="A64" t="s">
        <v>133</v>
      </c>
      <c r="B64" t="s">
        <v>134</v>
      </c>
      <c r="C64" t="s">
        <v>9</v>
      </c>
      <c r="D64">
        <v>0</v>
      </c>
      <c r="E64">
        <v>66.414000000000001</v>
      </c>
      <c r="F64">
        <v>65.549000000000007</v>
      </c>
      <c r="G64">
        <v>65.528000000000006</v>
      </c>
      <c r="H64">
        <v>65.165999999999997</v>
      </c>
      <c r="I64">
        <v>65.522999999999996</v>
      </c>
      <c r="J64">
        <v>65.432000000000002</v>
      </c>
      <c r="K64">
        <v>65.266000000000005</v>
      </c>
      <c r="L64">
        <v>64.748000000000005</v>
      </c>
      <c r="M64">
        <v>65.066000000000003</v>
      </c>
      <c r="N64">
        <v>64.177999999999997</v>
      </c>
      <c r="O64">
        <v>63.914000000000001</v>
      </c>
      <c r="P64">
        <v>63.201000000000001</v>
      </c>
      <c r="Q64">
        <v>63.228000000000002</v>
      </c>
      <c r="R64">
        <v>63.415999999999997</v>
      </c>
      <c r="S64">
        <v>63.466999999999999</v>
      </c>
      <c r="T64">
        <v>63.527000000000001</v>
      </c>
      <c r="U64">
        <v>63.725999999999999</v>
      </c>
      <c r="V64">
        <v>63.567</v>
      </c>
      <c r="W64">
        <v>63.667999999999999</v>
      </c>
      <c r="X64">
        <v>63.442</v>
      </c>
      <c r="Y64">
        <v>63.122</v>
      </c>
      <c r="Z64">
        <v>61.808999999999997</v>
      </c>
      <c r="AA64">
        <v>61.005000000000003</v>
      </c>
      <c r="AB64">
        <v>60.622</v>
      </c>
      <c r="AC64">
        <v>59.607999999999997</v>
      </c>
      <c r="AD64">
        <v>59.031999999999996</v>
      </c>
      <c r="AE64">
        <v>58.863</v>
      </c>
      <c r="AF64">
        <v>58.878999999999998</v>
      </c>
      <c r="AG64">
        <v>58.887</v>
      </c>
      <c r="AH64">
        <v>58.837000000000003</v>
      </c>
      <c r="AI64">
        <v>58.006</v>
      </c>
      <c r="AJ64">
        <v>57.997999999999998</v>
      </c>
      <c r="AK64">
        <v>59.87</v>
      </c>
      <c r="AL64">
        <v>59.56</v>
      </c>
      <c r="AM64">
        <v>60.253</v>
      </c>
      <c r="AN64">
        <v>59.856000000000002</v>
      </c>
    </row>
    <row r="65" spans="1:40" x14ac:dyDescent="0.25">
      <c r="A65" t="s">
        <v>135</v>
      </c>
      <c r="B65" t="s">
        <v>136</v>
      </c>
      <c r="C65" t="s">
        <v>17</v>
      </c>
      <c r="D65">
        <v>0</v>
      </c>
      <c r="E65">
        <v>88.841999999999999</v>
      </c>
      <c r="F65">
        <v>88.831999999999994</v>
      </c>
      <c r="G65">
        <v>88.811999999999998</v>
      </c>
      <c r="H65">
        <v>88.790999999999997</v>
      </c>
      <c r="I65">
        <v>88.778999999999996</v>
      </c>
      <c r="J65">
        <v>88.766999999999996</v>
      </c>
      <c r="K65">
        <v>88.751000000000005</v>
      </c>
      <c r="L65">
        <v>88.709000000000003</v>
      </c>
      <c r="M65">
        <v>88.644999999999996</v>
      </c>
      <c r="N65">
        <v>88.575000000000003</v>
      </c>
      <c r="O65">
        <v>88.51</v>
      </c>
      <c r="P65">
        <v>88.447999999999993</v>
      </c>
      <c r="Q65">
        <v>88.356999999999999</v>
      </c>
      <c r="R65">
        <v>88.340999999999994</v>
      </c>
      <c r="S65">
        <v>85.001000000000005</v>
      </c>
      <c r="T65">
        <v>84.213999999999999</v>
      </c>
      <c r="U65">
        <v>83.412000000000006</v>
      </c>
      <c r="V65">
        <v>82.596000000000004</v>
      </c>
      <c r="W65">
        <v>81.765000000000001</v>
      </c>
      <c r="X65">
        <v>80.92</v>
      </c>
      <c r="Y65">
        <v>80.06</v>
      </c>
      <c r="Z65">
        <v>83.537999999999997</v>
      </c>
      <c r="AA65">
        <v>86.031999999999996</v>
      </c>
      <c r="AB65">
        <v>81.543000000000006</v>
      </c>
      <c r="AC65">
        <v>82.28</v>
      </c>
      <c r="AD65">
        <v>83.596000000000004</v>
      </c>
      <c r="AE65">
        <v>82.653000000000006</v>
      </c>
      <c r="AF65">
        <v>84.064999999999998</v>
      </c>
      <c r="AG65">
        <v>83.42</v>
      </c>
      <c r="AH65">
        <v>82.045000000000002</v>
      </c>
      <c r="AI65">
        <v>79.984999999999999</v>
      </c>
      <c r="AJ65">
        <v>84.162999999999997</v>
      </c>
      <c r="AK65">
        <v>80.745999999999995</v>
      </c>
      <c r="AL65">
        <v>81.858999999999995</v>
      </c>
      <c r="AM65">
        <v>81.799000000000007</v>
      </c>
      <c r="AN65">
        <v>81.713999999999999</v>
      </c>
    </row>
    <row r="66" spans="1:40" x14ac:dyDescent="0.25">
      <c r="A66" t="s">
        <v>137</v>
      </c>
      <c r="B66" t="s">
        <v>138</v>
      </c>
      <c r="C66" t="s">
        <v>14</v>
      </c>
      <c r="D66">
        <v>0</v>
      </c>
      <c r="E66">
        <v>64.013999999999996</v>
      </c>
      <c r="F66">
        <v>64.099999999999994</v>
      </c>
      <c r="G66">
        <v>64.210999999999999</v>
      </c>
      <c r="H66">
        <v>64.322999999999993</v>
      </c>
      <c r="I66">
        <v>64.444000000000003</v>
      </c>
      <c r="J66">
        <v>64.546999999999997</v>
      </c>
      <c r="K66">
        <v>64.632999999999996</v>
      </c>
      <c r="L66">
        <v>64.963999999999999</v>
      </c>
      <c r="M66">
        <v>65.305000000000007</v>
      </c>
      <c r="N66">
        <v>65.45</v>
      </c>
      <c r="O66">
        <v>65.662000000000006</v>
      </c>
      <c r="P66">
        <v>66.061999999999998</v>
      </c>
      <c r="Q66">
        <v>66.290000000000006</v>
      </c>
      <c r="R66">
        <v>66.19</v>
      </c>
      <c r="S66">
        <v>66.093999999999994</v>
      </c>
      <c r="T66">
        <v>66.001999999999995</v>
      </c>
      <c r="U66">
        <v>65.912000000000006</v>
      </c>
      <c r="V66">
        <v>65.816000000000003</v>
      </c>
      <c r="W66">
        <v>65.715999999999994</v>
      </c>
      <c r="X66">
        <v>65.614000000000004</v>
      </c>
      <c r="Y66">
        <v>65.509</v>
      </c>
      <c r="Z66">
        <v>65.399000000000001</v>
      </c>
      <c r="AA66">
        <v>65.286000000000001</v>
      </c>
      <c r="AB66">
        <v>65.168999999999997</v>
      </c>
      <c r="AC66">
        <v>65.045000000000002</v>
      </c>
      <c r="AD66">
        <v>64.91</v>
      </c>
      <c r="AE66">
        <v>64.766000000000005</v>
      </c>
      <c r="AF66">
        <v>64.614000000000004</v>
      </c>
      <c r="AG66">
        <v>64.453000000000003</v>
      </c>
      <c r="AH66">
        <v>64.278999999999996</v>
      </c>
      <c r="AI66">
        <v>63.643999999999998</v>
      </c>
      <c r="AJ66">
        <v>63.972000000000001</v>
      </c>
      <c r="AK66">
        <v>63.762999999999998</v>
      </c>
      <c r="AL66">
        <v>63.487000000000002</v>
      </c>
      <c r="AM66">
        <v>63.261000000000003</v>
      </c>
      <c r="AN66">
        <v>63.104999999999997</v>
      </c>
    </row>
    <row r="67" spans="1:40" x14ac:dyDescent="0.25">
      <c r="A67" t="s">
        <v>139</v>
      </c>
      <c r="B67" t="s">
        <v>140</v>
      </c>
      <c r="C67" t="s">
        <v>14</v>
      </c>
      <c r="D67">
        <v>0</v>
      </c>
      <c r="E67">
        <v>74.016999999999996</v>
      </c>
      <c r="F67">
        <v>73.915999999999997</v>
      </c>
      <c r="G67">
        <v>73.852999999999994</v>
      </c>
      <c r="H67">
        <v>73.825999999999993</v>
      </c>
      <c r="I67">
        <v>73.81</v>
      </c>
      <c r="J67">
        <v>73.75</v>
      </c>
      <c r="K67">
        <v>73.644000000000005</v>
      </c>
      <c r="L67">
        <v>73.507999999999996</v>
      </c>
      <c r="M67">
        <v>73.378</v>
      </c>
      <c r="N67">
        <v>73.251999999999995</v>
      </c>
      <c r="O67">
        <v>73.097999999999999</v>
      </c>
      <c r="P67">
        <v>72.930000000000007</v>
      </c>
      <c r="Q67">
        <v>72.77</v>
      </c>
      <c r="R67">
        <v>72.62</v>
      </c>
      <c r="S67">
        <v>72.465999999999994</v>
      </c>
      <c r="T67">
        <v>72.326999999999998</v>
      </c>
      <c r="U67">
        <v>72.210999999999999</v>
      </c>
      <c r="V67">
        <v>72.091999999999999</v>
      </c>
      <c r="W67">
        <v>71.956999999999994</v>
      </c>
      <c r="X67">
        <v>71.802999999999997</v>
      </c>
      <c r="Y67">
        <v>71.638999999999996</v>
      </c>
      <c r="Z67">
        <v>71.478999999999999</v>
      </c>
      <c r="AA67">
        <v>71.316999999999993</v>
      </c>
      <c r="AB67">
        <v>71.144999999999996</v>
      </c>
      <c r="AC67">
        <v>70.953000000000003</v>
      </c>
      <c r="AD67">
        <v>70.730999999999995</v>
      </c>
      <c r="AE67">
        <v>70.478999999999999</v>
      </c>
      <c r="AF67">
        <v>70.182000000000002</v>
      </c>
      <c r="AG67">
        <v>69.841999999999999</v>
      </c>
      <c r="AH67">
        <v>68.668000000000006</v>
      </c>
      <c r="AI67">
        <v>68.596000000000004</v>
      </c>
      <c r="AJ67">
        <v>69.484999999999999</v>
      </c>
      <c r="AK67">
        <v>69.991</v>
      </c>
      <c r="AL67">
        <v>69.775999999999996</v>
      </c>
      <c r="AM67">
        <v>69.584000000000003</v>
      </c>
      <c r="AN67">
        <v>69.581999999999994</v>
      </c>
    </row>
    <row r="68" spans="1:40" x14ac:dyDescent="0.25">
      <c r="A68" t="s">
        <v>141</v>
      </c>
      <c r="B68" t="s">
        <v>142</v>
      </c>
      <c r="C68" t="s">
        <v>17</v>
      </c>
      <c r="D68">
        <v>0</v>
      </c>
      <c r="E68">
        <v>82.201999999999998</v>
      </c>
      <c r="F68">
        <v>82.066000000000003</v>
      </c>
      <c r="G68">
        <v>81.861000000000004</v>
      </c>
      <c r="H68">
        <v>81.634</v>
      </c>
      <c r="I68">
        <v>81.350999999999999</v>
      </c>
      <c r="J68">
        <v>81.066999999999993</v>
      </c>
      <c r="K68">
        <v>80.784000000000006</v>
      </c>
      <c r="L68">
        <v>80.494</v>
      </c>
      <c r="M68">
        <v>80.188000000000002</v>
      </c>
      <c r="N68">
        <v>79.858999999999995</v>
      </c>
      <c r="O68">
        <v>79.504999999999995</v>
      </c>
      <c r="P68">
        <v>79.117000000000004</v>
      </c>
      <c r="Q68">
        <v>78.688000000000002</v>
      </c>
      <c r="R68">
        <v>78.269000000000005</v>
      </c>
      <c r="S68">
        <v>77.793000000000006</v>
      </c>
      <c r="T68">
        <v>77.275000000000006</v>
      </c>
      <c r="U68">
        <v>76.709000000000003</v>
      </c>
      <c r="V68">
        <v>76.100999999999999</v>
      </c>
      <c r="W68">
        <v>75.456999999999994</v>
      </c>
      <c r="X68">
        <v>74.777000000000001</v>
      </c>
      <c r="Y68">
        <v>74.061999999999998</v>
      </c>
      <c r="Z68">
        <v>73.316000000000003</v>
      </c>
      <c r="AA68">
        <v>72.546999999999997</v>
      </c>
      <c r="AB68">
        <v>71.760999999999996</v>
      </c>
      <c r="AC68">
        <v>70.971999999999994</v>
      </c>
      <c r="AD68">
        <v>70.195999999999998</v>
      </c>
      <c r="AE68">
        <v>69.444999999999993</v>
      </c>
      <c r="AF68">
        <v>68.713999999999999</v>
      </c>
      <c r="AG68">
        <v>68.152000000000001</v>
      </c>
      <c r="AH68">
        <v>63.506999999999998</v>
      </c>
      <c r="AI68">
        <v>62.048999999999999</v>
      </c>
      <c r="AJ68">
        <v>62.52</v>
      </c>
      <c r="AK68">
        <v>63.689</v>
      </c>
      <c r="AL68">
        <v>63.656999999999996</v>
      </c>
      <c r="AM68">
        <v>63.597000000000001</v>
      </c>
      <c r="AN68">
        <v>63.320999999999998</v>
      </c>
    </row>
    <row r="69" spans="1:40" x14ac:dyDescent="0.25">
      <c r="A69" t="s">
        <v>143</v>
      </c>
      <c r="B69" t="s">
        <v>144</v>
      </c>
      <c r="C69" t="s">
        <v>17</v>
      </c>
      <c r="D69">
        <v>0</v>
      </c>
      <c r="E69">
        <v>77.248000000000005</v>
      </c>
      <c r="F69">
        <v>76.488</v>
      </c>
      <c r="G69">
        <v>75.721000000000004</v>
      </c>
      <c r="H69">
        <v>74.944999999999993</v>
      </c>
      <c r="I69">
        <v>74.161000000000001</v>
      </c>
      <c r="J69">
        <v>73.37</v>
      </c>
      <c r="K69">
        <v>72.491</v>
      </c>
      <c r="L69">
        <v>71.602000000000004</v>
      </c>
      <c r="M69">
        <v>70.703000000000003</v>
      </c>
      <c r="N69">
        <v>69.795000000000002</v>
      </c>
      <c r="O69">
        <v>68.876999999999995</v>
      </c>
      <c r="P69">
        <v>68.981999999999999</v>
      </c>
      <c r="Q69">
        <v>69.087999999999994</v>
      </c>
      <c r="R69">
        <v>69.194000000000003</v>
      </c>
      <c r="S69">
        <v>69.3</v>
      </c>
      <c r="T69">
        <v>69.406000000000006</v>
      </c>
      <c r="U69">
        <v>69.683999999999997</v>
      </c>
      <c r="V69">
        <v>69.960999999999999</v>
      </c>
      <c r="W69">
        <v>70.236000000000004</v>
      </c>
      <c r="X69">
        <v>70.510000000000005</v>
      </c>
      <c r="Y69">
        <v>70.778999999999996</v>
      </c>
      <c r="Z69">
        <v>70.606999999999999</v>
      </c>
      <c r="AA69">
        <v>70.534999999999997</v>
      </c>
      <c r="AB69">
        <v>70.381</v>
      </c>
      <c r="AC69">
        <v>70.256</v>
      </c>
      <c r="AD69">
        <v>70.16</v>
      </c>
      <c r="AE69">
        <v>70.055999999999997</v>
      </c>
      <c r="AF69">
        <v>69.942999999999998</v>
      </c>
      <c r="AG69">
        <v>69.846999999999994</v>
      </c>
      <c r="AH69">
        <v>69.820999999999998</v>
      </c>
      <c r="AI69">
        <v>69.16</v>
      </c>
      <c r="AJ69">
        <v>69.433000000000007</v>
      </c>
      <c r="AK69">
        <v>69.819999999999993</v>
      </c>
      <c r="AL69">
        <v>69.813000000000002</v>
      </c>
      <c r="AM69">
        <v>69.83</v>
      </c>
      <c r="AN69">
        <v>69.742999999999995</v>
      </c>
    </row>
    <row r="70" spans="1:40" x14ac:dyDescent="0.25">
      <c r="A70" t="s">
        <v>145</v>
      </c>
      <c r="B70" t="s">
        <v>146</v>
      </c>
      <c r="C70" t="s">
        <v>17</v>
      </c>
      <c r="D70">
        <v>0</v>
      </c>
      <c r="E70">
        <v>87.350999999999999</v>
      </c>
      <c r="F70">
        <v>87.344999999999999</v>
      </c>
      <c r="G70">
        <v>87.287999999999997</v>
      </c>
      <c r="H70">
        <v>87.22</v>
      </c>
      <c r="I70">
        <v>87.17</v>
      </c>
      <c r="J70">
        <v>87.084000000000003</v>
      </c>
      <c r="K70">
        <v>87.009</v>
      </c>
      <c r="L70">
        <v>86.912999999999997</v>
      </c>
      <c r="M70">
        <v>86.801000000000002</v>
      </c>
      <c r="N70">
        <v>86.707999999999998</v>
      </c>
      <c r="O70">
        <v>85.408000000000001</v>
      </c>
      <c r="P70">
        <v>84.748999999999995</v>
      </c>
      <c r="Q70">
        <v>84.075000000000003</v>
      </c>
      <c r="R70">
        <v>83.387</v>
      </c>
      <c r="S70">
        <v>82.685000000000002</v>
      </c>
      <c r="T70">
        <v>81.968999999999994</v>
      </c>
      <c r="U70">
        <v>81.277000000000001</v>
      </c>
      <c r="V70">
        <v>80.108000000000004</v>
      </c>
      <c r="W70">
        <v>79.727999999999994</v>
      </c>
      <c r="X70">
        <v>80.706999999999994</v>
      </c>
      <c r="Y70">
        <v>81.180000000000007</v>
      </c>
      <c r="Z70">
        <v>79.783000000000001</v>
      </c>
      <c r="AA70">
        <v>78.507999999999996</v>
      </c>
      <c r="AB70">
        <v>81.912000000000006</v>
      </c>
      <c r="AC70">
        <v>82.296999999999997</v>
      </c>
      <c r="AD70">
        <v>81.628</v>
      </c>
      <c r="AE70">
        <v>80.725999999999999</v>
      </c>
      <c r="AF70">
        <v>82.953000000000003</v>
      </c>
      <c r="AG70">
        <v>82.954999999999998</v>
      </c>
      <c r="AH70">
        <v>81.822000000000003</v>
      </c>
      <c r="AI70">
        <v>71.950999999999993</v>
      </c>
      <c r="AJ70">
        <v>73.311000000000007</v>
      </c>
      <c r="AK70">
        <v>73.680000000000007</v>
      </c>
      <c r="AL70">
        <v>73.622</v>
      </c>
      <c r="AM70">
        <v>73.588999999999999</v>
      </c>
      <c r="AN70">
        <v>73.540999999999997</v>
      </c>
    </row>
    <row r="71" spans="1:40" x14ac:dyDescent="0.25">
      <c r="A71" t="s">
        <v>147</v>
      </c>
      <c r="B71" t="s">
        <v>148</v>
      </c>
      <c r="C71" t="s">
        <v>22</v>
      </c>
      <c r="D71">
        <v>0</v>
      </c>
      <c r="E71">
        <v>79.14</v>
      </c>
      <c r="F71">
        <v>78.811000000000007</v>
      </c>
      <c r="G71">
        <v>78.052999999999997</v>
      </c>
      <c r="H71">
        <v>77.771000000000001</v>
      </c>
      <c r="I71">
        <v>77.013999999999996</v>
      </c>
      <c r="J71">
        <v>76.325000000000003</v>
      </c>
      <c r="K71">
        <v>75.619</v>
      </c>
      <c r="L71">
        <v>75.102000000000004</v>
      </c>
      <c r="M71">
        <v>74.573999999999998</v>
      </c>
      <c r="N71">
        <v>73.938000000000002</v>
      </c>
      <c r="O71">
        <v>73.298000000000002</v>
      </c>
      <c r="P71">
        <v>72.528000000000006</v>
      </c>
      <c r="Q71">
        <v>71.995000000000005</v>
      </c>
      <c r="R71">
        <v>71.52</v>
      </c>
      <c r="S71">
        <v>71.197000000000003</v>
      </c>
      <c r="T71">
        <v>70.641999999999996</v>
      </c>
      <c r="U71">
        <v>70.272999999999996</v>
      </c>
      <c r="V71">
        <v>69.847999999999999</v>
      </c>
      <c r="W71">
        <v>68.94</v>
      </c>
      <c r="X71">
        <v>68.667000000000002</v>
      </c>
      <c r="Y71">
        <v>67.765000000000001</v>
      </c>
      <c r="Z71">
        <v>67.668999999999997</v>
      </c>
      <c r="AA71">
        <v>67.963999999999999</v>
      </c>
      <c r="AB71">
        <v>68.492999999999995</v>
      </c>
      <c r="AC71">
        <v>68.093999999999994</v>
      </c>
      <c r="AD71">
        <v>68.117000000000004</v>
      </c>
      <c r="AE71">
        <v>67.924000000000007</v>
      </c>
      <c r="AF71">
        <v>67.66</v>
      </c>
      <c r="AG71">
        <v>67.965999999999994</v>
      </c>
      <c r="AH71">
        <v>66.825999999999993</v>
      </c>
      <c r="AI71">
        <v>65.534000000000006</v>
      </c>
      <c r="AJ71">
        <v>65.033000000000001</v>
      </c>
      <c r="AK71">
        <v>64.186999999999998</v>
      </c>
      <c r="AL71">
        <v>63.411999999999999</v>
      </c>
      <c r="AM71">
        <v>62.585000000000001</v>
      </c>
      <c r="AN71">
        <v>62.073</v>
      </c>
    </row>
    <row r="72" spans="1:40" x14ac:dyDescent="0.25">
      <c r="A72" t="s">
        <v>149</v>
      </c>
      <c r="B72" t="s">
        <v>150</v>
      </c>
      <c r="C72" t="s">
        <v>9</v>
      </c>
      <c r="D72">
        <v>0</v>
      </c>
      <c r="E72">
        <v>57.604999999999997</v>
      </c>
      <c r="F72">
        <v>57.500999999999998</v>
      </c>
      <c r="G72">
        <v>57.445999999999998</v>
      </c>
      <c r="H72">
        <v>57.424999999999997</v>
      </c>
      <c r="I72">
        <v>57.356999999999999</v>
      </c>
      <c r="J72">
        <v>57.298999999999999</v>
      </c>
      <c r="K72">
        <v>57.271999999999998</v>
      </c>
      <c r="L72">
        <v>57.223999999999997</v>
      </c>
      <c r="M72">
        <v>57.189</v>
      </c>
      <c r="N72">
        <v>57.277999999999999</v>
      </c>
      <c r="O72">
        <v>57.51</v>
      </c>
      <c r="P72">
        <v>57.828000000000003</v>
      </c>
      <c r="Q72">
        <v>58.097999999999999</v>
      </c>
      <c r="R72">
        <v>58.287999999999997</v>
      </c>
      <c r="S72">
        <v>58.473999999999997</v>
      </c>
      <c r="T72">
        <v>58.584000000000003</v>
      </c>
      <c r="U72">
        <v>58.634</v>
      </c>
      <c r="V72">
        <v>58.576000000000001</v>
      </c>
      <c r="W72">
        <v>58.463000000000001</v>
      </c>
      <c r="X72">
        <v>58.048000000000002</v>
      </c>
      <c r="Y72">
        <v>58.057000000000002</v>
      </c>
      <c r="Z72">
        <v>58.341999999999999</v>
      </c>
      <c r="AA72">
        <v>58.987000000000002</v>
      </c>
      <c r="AB72">
        <v>60.055999999999997</v>
      </c>
      <c r="AC72">
        <v>61.918999999999997</v>
      </c>
      <c r="AD72">
        <v>63.314999999999998</v>
      </c>
      <c r="AE72">
        <v>64.552999999999997</v>
      </c>
      <c r="AF72">
        <v>65.429000000000002</v>
      </c>
      <c r="AG72">
        <v>65.869</v>
      </c>
      <c r="AH72">
        <v>66.421999999999997</v>
      </c>
      <c r="AI72">
        <v>66.350999999999999</v>
      </c>
      <c r="AJ72">
        <v>66.787000000000006</v>
      </c>
      <c r="AK72">
        <v>67.405000000000001</v>
      </c>
      <c r="AL72">
        <v>67.944999999999993</v>
      </c>
      <c r="AM72">
        <v>67.594999999999999</v>
      </c>
      <c r="AN72">
        <v>67.507000000000005</v>
      </c>
    </row>
    <row r="73" spans="1:40" x14ac:dyDescent="0.25">
      <c r="A73" t="s">
        <v>151</v>
      </c>
      <c r="B73" t="s">
        <v>152</v>
      </c>
      <c r="C73" t="s">
        <v>9</v>
      </c>
      <c r="D73">
        <v>0</v>
      </c>
      <c r="E73">
        <v>79.180999999999997</v>
      </c>
      <c r="F73">
        <v>79.305000000000007</v>
      </c>
      <c r="G73">
        <v>79.474000000000004</v>
      </c>
      <c r="H73">
        <v>78.484999999999999</v>
      </c>
      <c r="I73">
        <v>78.527000000000001</v>
      </c>
      <c r="J73">
        <v>81.266999999999996</v>
      </c>
      <c r="K73">
        <v>80.117999999999995</v>
      </c>
      <c r="L73">
        <v>79.477999999999994</v>
      </c>
      <c r="M73">
        <v>80.680999999999997</v>
      </c>
      <c r="N73">
        <v>81.367000000000004</v>
      </c>
      <c r="O73">
        <v>82.299000000000007</v>
      </c>
      <c r="P73">
        <v>83.055000000000007</v>
      </c>
      <c r="Q73">
        <v>81.754000000000005</v>
      </c>
      <c r="R73">
        <v>82.45</v>
      </c>
      <c r="S73">
        <v>82.222999999999999</v>
      </c>
      <c r="T73">
        <v>80.543000000000006</v>
      </c>
      <c r="U73">
        <v>81.94</v>
      </c>
      <c r="V73">
        <v>82.781000000000006</v>
      </c>
      <c r="W73">
        <v>81.981999999999999</v>
      </c>
      <c r="X73">
        <v>79.361000000000004</v>
      </c>
      <c r="Y73">
        <v>78.864000000000004</v>
      </c>
      <c r="Z73">
        <v>78.328999999999994</v>
      </c>
      <c r="AA73">
        <v>77.950999999999993</v>
      </c>
      <c r="AB73">
        <v>78.739999999999995</v>
      </c>
      <c r="AC73">
        <v>80.054000000000002</v>
      </c>
      <c r="AD73">
        <v>80.561000000000007</v>
      </c>
      <c r="AE73">
        <v>81.789000000000001</v>
      </c>
      <c r="AF73">
        <v>81.078000000000003</v>
      </c>
      <c r="AG73">
        <v>80.180000000000007</v>
      </c>
      <c r="AH73">
        <v>79.731999999999999</v>
      </c>
      <c r="AI73">
        <v>77.590999999999994</v>
      </c>
      <c r="AJ73">
        <v>77.475999999999999</v>
      </c>
      <c r="AK73">
        <v>78.185000000000002</v>
      </c>
      <c r="AL73">
        <v>78.930000000000007</v>
      </c>
      <c r="AM73">
        <v>79.831999999999994</v>
      </c>
      <c r="AN73">
        <v>79.611000000000004</v>
      </c>
    </row>
    <row r="74" spans="1:40" x14ac:dyDescent="0.25">
      <c r="A74" t="s">
        <v>153</v>
      </c>
      <c r="B74" t="s">
        <v>154</v>
      </c>
      <c r="C74" t="s">
        <v>22</v>
      </c>
      <c r="D74">
        <v>0</v>
      </c>
      <c r="E74">
        <v>84.006</v>
      </c>
      <c r="F74">
        <v>83.980999999999995</v>
      </c>
      <c r="G74">
        <v>83.944000000000003</v>
      </c>
      <c r="H74">
        <v>83.9</v>
      </c>
      <c r="I74">
        <v>83.843000000000004</v>
      </c>
      <c r="J74">
        <v>83.927000000000007</v>
      </c>
      <c r="K74">
        <v>84.004999999999995</v>
      </c>
      <c r="L74">
        <v>84.084000000000003</v>
      </c>
      <c r="M74">
        <v>84.16</v>
      </c>
      <c r="N74">
        <v>84.233999999999995</v>
      </c>
      <c r="O74">
        <v>84.302000000000007</v>
      </c>
      <c r="P74">
        <v>83.92</v>
      </c>
      <c r="Q74">
        <v>83.534000000000006</v>
      </c>
      <c r="R74">
        <v>83.144000000000005</v>
      </c>
      <c r="S74">
        <v>82.751000000000005</v>
      </c>
      <c r="T74">
        <v>82.363</v>
      </c>
      <c r="U74">
        <v>81.813000000000002</v>
      </c>
      <c r="V74">
        <v>81.266000000000005</v>
      </c>
      <c r="W74">
        <v>80.724000000000004</v>
      </c>
      <c r="X74">
        <v>80.192999999999998</v>
      </c>
      <c r="Y74">
        <v>79.668999999999997</v>
      </c>
      <c r="Z74">
        <v>79.230999999999995</v>
      </c>
      <c r="AA74">
        <v>78.796999999999997</v>
      </c>
      <c r="AB74">
        <v>78.605000000000004</v>
      </c>
      <c r="AC74">
        <v>78.353999999999999</v>
      </c>
      <c r="AD74">
        <v>78.034999999999997</v>
      </c>
      <c r="AE74">
        <v>77.691999999999993</v>
      </c>
      <c r="AF74">
        <v>77.335999999999999</v>
      </c>
      <c r="AG74">
        <v>76.974000000000004</v>
      </c>
      <c r="AH74">
        <v>76.613</v>
      </c>
      <c r="AI74">
        <v>75.692999999999998</v>
      </c>
      <c r="AJ74">
        <v>75.963999999999999</v>
      </c>
      <c r="AK74">
        <v>76.503</v>
      </c>
      <c r="AL74">
        <v>77.114999999999995</v>
      </c>
      <c r="AM74">
        <v>77.593999999999994</v>
      </c>
      <c r="AN74">
        <v>77.623000000000005</v>
      </c>
    </row>
    <row r="75" spans="1:40" x14ac:dyDescent="0.25">
      <c r="A75" t="s">
        <v>155</v>
      </c>
      <c r="B75" t="s">
        <v>156</v>
      </c>
      <c r="C75" t="s">
        <v>22</v>
      </c>
      <c r="D75">
        <v>0</v>
      </c>
      <c r="E75">
        <v>82.706000000000003</v>
      </c>
      <c r="F75">
        <v>82.816999999999993</v>
      </c>
      <c r="G75">
        <v>82.69</v>
      </c>
      <c r="H75">
        <v>82.253</v>
      </c>
      <c r="I75">
        <v>83.334000000000003</v>
      </c>
      <c r="J75">
        <v>83.385999999999996</v>
      </c>
      <c r="K75">
        <v>83.438000000000002</v>
      </c>
      <c r="L75">
        <v>83.204999999999998</v>
      </c>
      <c r="M75">
        <v>83.090999999999994</v>
      </c>
      <c r="N75">
        <v>83.582999999999998</v>
      </c>
      <c r="O75">
        <v>84.135000000000005</v>
      </c>
      <c r="P75">
        <v>84.567999999999998</v>
      </c>
      <c r="Q75">
        <v>84.197999999999993</v>
      </c>
      <c r="R75">
        <v>83.771000000000001</v>
      </c>
      <c r="S75">
        <v>84.376999999999995</v>
      </c>
      <c r="T75">
        <v>82.96</v>
      </c>
      <c r="U75">
        <v>82.632999999999996</v>
      </c>
      <c r="V75">
        <v>82.805000000000007</v>
      </c>
      <c r="W75">
        <v>82.531999999999996</v>
      </c>
      <c r="X75">
        <v>81.951999999999998</v>
      </c>
      <c r="Y75">
        <v>82.337000000000003</v>
      </c>
      <c r="Z75">
        <v>82.974000000000004</v>
      </c>
      <c r="AA75">
        <v>83.468999999999994</v>
      </c>
      <c r="AB75">
        <v>82.918999999999997</v>
      </c>
      <c r="AC75">
        <v>82.718999999999994</v>
      </c>
      <c r="AD75">
        <v>82.488</v>
      </c>
      <c r="AE75">
        <v>81.772000000000006</v>
      </c>
      <c r="AF75">
        <v>81.528999999999996</v>
      </c>
      <c r="AG75">
        <v>82.251000000000005</v>
      </c>
      <c r="AH75">
        <v>82.6</v>
      </c>
      <c r="AI75">
        <v>81.673000000000002</v>
      </c>
      <c r="AJ75">
        <v>79.741</v>
      </c>
      <c r="AK75">
        <v>81.549000000000007</v>
      </c>
      <c r="AL75">
        <v>82.382000000000005</v>
      </c>
      <c r="AM75">
        <v>82.335999999999999</v>
      </c>
      <c r="AN75">
        <v>82.278000000000006</v>
      </c>
    </row>
    <row r="76" spans="1:40" x14ac:dyDescent="0.25">
      <c r="A76" t="s">
        <v>157</v>
      </c>
      <c r="B76" t="s">
        <v>158</v>
      </c>
      <c r="C76" t="s">
        <v>6</v>
      </c>
      <c r="D76">
        <v>0</v>
      </c>
      <c r="E76">
        <v>82.524000000000001</v>
      </c>
      <c r="F76">
        <v>81.710999999999999</v>
      </c>
      <c r="G76">
        <v>80.722999999999999</v>
      </c>
      <c r="H76">
        <v>79.63</v>
      </c>
      <c r="I76">
        <v>78.415999999999997</v>
      </c>
      <c r="J76">
        <v>77.108999999999995</v>
      </c>
      <c r="K76">
        <v>75.724999999999994</v>
      </c>
      <c r="L76">
        <v>75.165999999999997</v>
      </c>
      <c r="M76">
        <v>74.597999999999999</v>
      </c>
      <c r="N76">
        <v>74.067999999999998</v>
      </c>
      <c r="O76">
        <v>73.599000000000004</v>
      </c>
      <c r="P76">
        <v>73.212999999999994</v>
      </c>
      <c r="Q76">
        <v>72.869</v>
      </c>
      <c r="R76">
        <v>72.637</v>
      </c>
      <c r="S76">
        <v>72.548000000000002</v>
      </c>
      <c r="T76">
        <v>72.515000000000001</v>
      </c>
      <c r="U76">
        <v>71.37</v>
      </c>
      <c r="V76">
        <v>70.647999999999996</v>
      </c>
      <c r="W76">
        <v>68.63</v>
      </c>
      <c r="X76">
        <v>69.298000000000002</v>
      </c>
      <c r="Y76">
        <v>68.451999999999998</v>
      </c>
      <c r="Z76">
        <v>66.703000000000003</v>
      </c>
      <c r="AA76">
        <v>67.75</v>
      </c>
      <c r="AB76">
        <v>68.039000000000001</v>
      </c>
      <c r="AC76">
        <v>67.873999999999995</v>
      </c>
      <c r="AD76">
        <v>68.628</v>
      </c>
      <c r="AE76">
        <v>69.296000000000006</v>
      </c>
      <c r="AF76">
        <v>70.274000000000001</v>
      </c>
      <c r="AG76">
        <v>70.614999999999995</v>
      </c>
      <c r="AH76">
        <v>70.430999999999997</v>
      </c>
      <c r="AI76">
        <v>68.191999999999993</v>
      </c>
      <c r="AJ76">
        <v>68.213999999999999</v>
      </c>
      <c r="AK76">
        <v>66.918999999999997</v>
      </c>
      <c r="AL76">
        <v>68.182000000000002</v>
      </c>
      <c r="AM76">
        <v>67.69</v>
      </c>
      <c r="AN76">
        <v>67.239000000000004</v>
      </c>
    </row>
    <row r="77" spans="1:40" x14ac:dyDescent="0.25">
      <c r="A77" t="s">
        <v>159</v>
      </c>
      <c r="B77" t="s">
        <v>160</v>
      </c>
      <c r="C77" t="s">
        <v>6</v>
      </c>
      <c r="D77">
        <v>0</v>
      </c>
      <c r="E77">
        <v>79.665000000000006</v>
      </c>
      <c r="F77">
        <v>79.584000000000003</v>
      </c>
      <c r="G77">
        <v>79.215999999999994</v>
      </c>
      <c r="H77">
        <v>79.037000000000006</v>
      </c>
      <c r="I77">
        <v>78.875</v>
      </c>
      <c r="J77">
        <v>78.66</v>
      </c>
      <c r="K77">
        <v>78.480999999999995</v>
      </c>
      <c r="L77">
        <v>78.167000000000002</v>
      </c>
      <c r="M77">
        <v>77.611999999999995</v>
      </c>
      <c r="N77">
        <v>77.05</v>
      </c>
      <c r="O77">
        <v>76.486999999999995</v>
      </c>
      <c r="P77">
        <v>75.923000000000002</v>
      </c>
      <c r="Q77">
        <v>75.356999999999999</v>
      </c>
      <c r="R77">
        <v>74.81</v>
      </c>
      <c r="S77">
        <v>74.286000000000001</v>
      </c>
      <c r="T77">
        <v>73.762</v>
      </c>
      <c r="U77">
        <v>73.245999999999995</v>
      </c>
      <c r="V77">
        <v>72.734999999999999</v>
      </c>
      <c r="W77">
        <v>72.495999999999995</v>
      </c>
      <c r="X77">
        <v>72.212000000000003</v>
      </c>
      <c r="Y77">
        <v>71.912000000000006</v>
      </c>
      <c r="Z77">
        <v>71.614999999999995</v>
      </c>
      <c r="AA77">
        <v>71.320999999999998</v>
      </c>
      <c r="AB77">
        <v>72.289000000000001</v>
      </c>
      <c r="AC77">
        <v>73.218000000000004</v>
      </c>
      <c r="AD77">
        <v>72.894999999999996</v>
      </c>
      <c r="AE77">
        <v>72.585999999999999</v>
      </c>
      <c r="AF77">
        <v>73.415999999999997</v>
      </c>
      <c r="AG77">
        <v>71.924999999999997</v>
      </c>
      <c r="AH77">
        <v>70.247</v>
      </c>
      <c r="AI77">
        <v>70.471999999999994</v>
      </c>
      <c r="AJ77">
        <v>69.094999999999999</v>
      </c>
      <c r="AK77">
        <v>72.411000000000001</v>
      </c>
      <c r="AL77">
        <v>72.924000000000007</v>
      </c>
      <c r="AM77">
        <v>72.62</v>
      </c>
      <c r="AN77">
        <v>72.578999999999994</v>
      </c>
    </row>
    <row r="78" spans="1:40" x14ac:dyDescent="0.25">
      <c r="A78" t="s">
        <v>161</v>
      </c>
      <c r="B78" t="s">
        <v>162</v>
      </c>
      <c r="C78" t="s">
        <v>9</v>
      </c>
      <c r="D78">
        <v>0</v>
      </c>
      <c r="E78">
        <v>79.929000000000002</v>
      </c>
      <c r="F78">
        <v>80.010999999999996</v>
      </c>
      <c r="G78">
        <v>78.051000000000002</v>
      </c>
      <c r="H78">
        <v>77.808999999999997</v>
      </c>
      <c r="I78">
        <v>77.876000000000005</v>
      </c>
      <c r="J78">
        <v>77.683999999999997</v>
      </c>
      <c r="K78">
        <v>78.227999999999994</v>
      </c>
      <c r="L78">
        <v>76.933000000000007</v>
      </c>
      <c r="M78">
        <v>77.331999999999994</v>
      </c>
      <c r="N78">
        <v>77.058999999999997</v>
      </c>
      <c r="O78">
        <v>77.159000000000006</v>
      </c>
      <c r="P78">
        <v>76.850999999999999</v>
      </c>
      <c r="Q78">
        <v>76.067999999999998</v>
      </c>
      <c r="R78">
        <v>75.706000000000003</v>
      </c>
      <c r="S78">
        <v>75.677999999999997</v>
      </c>
      <c r="T78">
        <v>76.542000000000002</v>
      </c>
      <c r="U78">
        <v>76.561000000000007</v>
      </c>
      <c r="V78">
        <v>76.38</v>
      </c>
      <c r="W78">
        <v>75.212999999999994</v>
      </c>
      <c r="X78">
        <v>72.260999999999996</v>
      </c>
      <c r="Y78">
        <v>70.168999999999997</v>
      </c>
      <c r="Z78">
        <v>69.162000000000006</v>
      </c>
      <c r="AA78">
        <v>68.707999999999998</v>
      </c>
      <c r="AB78">
        <v>68.83</v>
      </c>
      <c r="AC78">
        <v>68.792000000000002</v>
      </c>
      <c r="AD78">
        <v>69.024000000000001</v>
      </c>
      <c r="AE78">
        <v>68.957999999999998</v>
      </c>
      <c r="AF78">
        <v>68.489999999999995</v>
      </c>
      <c r="AG78">
        <v>68.510999999999996</v>
      </c>
      <c r="AH78">
        <v>68.64</v>
      </c>
      <c r="AI78">
        <v>67.346999999999994</v>
      </c>
      <c r="AJ78">
        <v>69.448999999999998</v>
      </c>
      <c r="AK78">
        <v>69.965999999999994</v>
      </c>
      <c r="AL78">
        <v>72.430000000000007</v>
      </c>
      <c r="AM78">
        <v>70.373999999999995</v>
      </c>
      <c r="AN78">
        <v>70.113</v>
      </c>
    </row>
    <row r="79" spans="1:40" x14ac:dyDescent="0.25">
      <c r="A79" t="s">
        <v>163</v>
      </c>
      <c r="B79" t="s">
        <v>164</v>
      </c>
      <c r="C79" t="s">
        <v>9</v>
      </c>
      <c r="D79">
        <v>0</v>
      </c>
      <c r="E79">
        <v>71.856999999999999</v>
      </c>
      <c r="F79">
        <v>71.905000000000001</v>
      </c>
      <c r="G79">
        <v>71.566000000000003</v>
      </c>
      <c r="H79">
        <v>73.277000000000001</v>
      </c>
      <c r="I79">
        <v>73.304000000000002</v>
      </c>
      <c r="J79">
        <v>73.167000000000002</v>
      </c>
      <c r="K79">
        <v>71.995000000000005</v>
      </c>
      <c r="L79">
        <v>71.209000000000003</v>
      </c>
      <c r="M79">
        <v>70.096999999999994</v>
      </c>
      <c r="N79">
        <v>69.555000000000007</v>
      </c>
      <c r="O79">
        <v>69.686000000000007</v>
      </c>
      <c r="P79">
        <v>69.369</v>
      </c>
      <c r="Q79">
        <v>68.244</v>
      </c>
      <c r="R79">
        <v>67.956999999999994</v>
      </c>
      <c r="S79">
        <v>68.44</v>
      </c>
      <c r="T79">
        <v>68.671000000000006</v>
      </c>
      <c r="U79">
        <v>69.141000000000005</v>
      </c>
      <c r="V79">
        <v>69.731999999999999</v>
      </c>
      <c r="W79">
        <v>69.77</v>
      </c>
      <c r="X79">
        <v>68.908000000000001</v>
      </c>
      <c r="Y79">
        <v>69.337000000000003</v>
      </c>
      <c r="Z79">
        <v>69.236000000000004</v>
      </c>
      <c r="AA79">
        <v>71.471999999999994</v>
      </c>
      <c r="AB79">
        <v>71.319000000000003</v>
      </c>
      <c r="AC79">
        <v>71.346999999999994</v>
      </c>
      <c r="AD79">
        <v>71.233999999999995</v>
      </c>
      <c r="AE79">
        <v>71.090999999999994</v>
      </c>
      <c r="AF79">
        <v>70.924000000000007</v>
      </c>
      <c r="AG79">
        <v>70.197000000000003</v>
      </c>
      <c r="AH79">
        <v>69.548000000000002</v>
      </c>
      <c r="AI79">
        <v>67.56</v>
      </c>
      <c r="AJ79">
        <v>67.072999999999993</v>
      </c>
      <c r="AK79">
        <v>68.492999999999995</v>
      </c>
      <c r="AL79">
        <v>68.896000000000001</v>
      </c>
      <c r="AM79">
        <v>68.897999999999996</v>
      </c>
      <c r="AN79">
        <v>68.796999999999997</v>
      </c>
    </row>
    <row r="80" spans="1:40" x14ac:dyDescent="0.25">
      <c r="A80" t="s">
        <v>165</v>
      </c>
      <c r="B80" t="s">
        <v>166</v>
      </c>
      <c r="C80" t="s">
        <v>9</v>
      </c>
      <c r="D80">
        <v>0</v>
      </c>
      <c r="E80">
        <v>66.432000000000002</v>
      </c>
      <c r="F80">
        <v>66.388999999999996</v>
      </c>
      <c r="G80">
        <v>64.36</v>
      </c>
      <c r="H80">
        <v>63.835999999999999</v>
      </c>
      <c r="I80">
        <v>62.576999999999998</v>
      </c>
      <c r="J80">
        <v>61.756999999999998</v>
      </c>
      <c r="K80">
        <v>61.874000000000002</v>
      </c>
      <c r="L80">
        <v>61.713000000000001</v>
      </c>
      <c r="M80">
        <v>61.753</v>
      </c>
      <c r="N80">
        <v>61.511000000000003</v>
      </c>
      <c r="O80">
        <v>61.301000000000002</v>
      </c>
      <c r="P80">
        <v>60.929000000000002</v>
      </c>
      <c r="Q80">
        <v>61.177</v>
      </c>
      <c r="R80">
        <v>61.444000000000003</v>
      </c>
      <c r="S80">
        <v>61.795999999999999</v>
      </c>
      <c r="T80">
        <v>60.997999999999998</v>
      </c>
      <c r="U80">
        <v>60.779000000000003</v>
      </c>
      <c r="V80">
        <v>60.387</v>
      </c>
      <c r="W80">
        <v>60.328000000000003</v>
      </c>
      <c r="X80">
        <v>59.488999999999997</v>
      </c>
      <c r="Y80">
        <v>58.972000000000001</v>
      </c>
      <c r="Z80">
        <v>58.539000000000001</v>
      </c>
      <c r="AA80">
        <v>59.052999999999997</v>
      </c>
      <c r="AB80">
        <v>58.430999999999997</v>
      </c>
      <c r="AC80">
        <v>58.454000000000001</v>
      </c>
      <c r="AD80">
        <v>58.591000000000001</v>
      </c>
      <c r="AE80">
        <v>58.957999999999998</v>
      </c>
      <c r="AF80">
        <v>59.073999999999998</v>
      </c>
      <c r="AG80">
        <v>59.076000000000001</v>
      </c>
      <c r="AH80">
        <v>58.856000000000002</v>
      </c>
      <c r="AI80">
        <v>57.512</v>
      </c>
      <c r="AJ80">
        <v>57.555999999999997</v>
      </c>
      <c r="AK80">
        <v>58.091999999999999</v>
      </c>
      <c r="AL80">
        <v>58.816000000000003</v>
      </c>
      <c r="AM80">
        <v>58.664000000000001</v>
      </c>
      <c r="AN80">
        <v>58.295000000000002</v>
      </c>
    </row>
    <row r="81" spans="1:40" x14ac:dyDescent="0.25">
      <c r="A81" t="s">
        <v>167</v>
      </c>
      <c r="B81" t="s">
        <v>168</v>
      </c>
      <c r="C81" t="s">
        <v>17</v>
      </c>
      <c r="D81">
        <v>0</v>
      </c>
      <c r="E81">
        <v>79.131</v>
      </c>
      <c r="F81">
        <v>78.864999999999995</v>
      </c>
      <c r="G81">
        <v>78.581999999999994</v>
      </c>
      <c r="H81">
        <v>78.263999999999996</v>
      </c>
      <c r="I81">
        <v>77.921000000000006</v>
      </c>
      <c r="J81">
        <v>77.561000000000007</v>
      </c>
      <c r="K81">
        <v>77.188000000000002</v>
      </c>
      <c r="L81">
        <v>76.793999999999997</v>
      </c>
      <c r="M81">
        <v>76.403999999999996</v>
      </c>
      <c r="N81">
        <v>75.873999999999995</v>
      </c>
      <c r="O81">
        <v>75.573999999999998</v>
      </c>
      <c r="P81">
        <v>75.281000000000006</v>
      </c>
      <c r="Q81">
        <v>74.954999999999998</v>
      </c>
      <c r="R81">
        <v>74.622</v>
      </c>
      <c r="S81">
        <v>74.5</v>
      </c>
      <c r="T81">
        <v>74.293999999999997</v>
      </c>
      <c r="U81">
        <v>74.031000000000006</v>
      </c>
      <c r="V81">
        <v>73.725999999999999</v>
      </c>
      <c r="W81">
        <v>73.397999999999996</v>
      </c>
      <c r="X81">
        <v>70.900999999999996</v>
      </c>
      <c r="Y81">
        <v>68.927000000000007</v>
      </c>
      <c r="Z81">
        <v>69.272999999999996</v>
      </c>
      <c r="AA81">
        <v>68.704999999999998</v>
      </c>
      <c r="AB81">
        <v>70.016000000000005</v>
      </c>
      <c r="AC81">
        <v>70.897999999999996</v>
      </c>
      <c r="AD81">
        <v>72.697000000000003</v>
      </c>
      <c r="AE81">
        <v>72.427000000000007</v>
      </c>
      <c r="AF81">
        <v>72.974000000000004</v>
      </c>
      <c r="AG81">
        <v>72.894000000000005</v>
      </c>
      <c r="AH81">
        <v>74.337000000000003</v>
      </c>
      <c r="AI81">
        <v>72.331999999999994</v>
      </c>
      <c r="AJ81">
        <v>73.242000000000004</v>
      </c>
      <c r="AK81">
        <v>74.744</v>
      </c>
      <c r="AL81">
        <v>76.117000000000004</v>
      </c>
      <c r="AM81">
        <v>76.207999999999998</v>
      </c>
      <c r="AN81">
        <v>76.337000000000003</v>
      </c>
    </row>
    <row r="82" spans="1:40" x14ac:dyDescent="0.25">
      <c r="A82" t="s">
        <v>169</v>
      </c>
      <c r="B82" t="s">
        <v>170</v>
      </c>
      <c r="C82" t="s">
        <v>22</v>
      </c>
      <c r="D82">
        <v>0</v>
      </c>
      <c r="E82">
        <v>77.308999999999997</v>
      </c>
      <c r="F82">
        <v>77.534000000000006</v>
      </c>
      <c r="G82">
        <v>77.894000000000005</v>
      </c>
      <c r="H82">
        <v>77.948999999999998</v>
      </c>
      <c r="I82">
        <v>77.703999999999994</v>
      </c>
      <c r="J82">
        <v>77.524000000000001</v>
      </c>
      <c r="K82">
        <v>77.614000000000004</v>
      </c>
      <c r="L82">
        <v>77.635999999999996</v>
      </c>
      <c r="M82">
        <v>77.204999999999998</v>
      </c>
      <c r="N82">
        <v>76.796999999999997</v>
      </c>
      <c r="O82">
        <v>76.328000000000003</v>
      </c>
      <c r="P82">
        <v>75.564999999999998</v>
      </c>
      <c r="Q82">
        <v>74.646000000000001</v>
      </c>
      <c r="R82">
        <v>74.016000000000005</v>
      </c>
      <c r="S82">
        <v>73.316000000000003</v>
      </c>
      <c r="T82">
        <v>73.200999999999993</v>
      </c>
      <c r="U82">
        <v>73.106999999999999</v>
      </c>
      <c r="V82">
        <v>73.076999999999998</v>
      </c>
      <c r="W82">
        <v>72.628</v>
      </c>
      <c r="X82">
        <v>71.959999999999994</v>
      </c>
      <c r="Y82">
        <v>71.491</v>
      </c>
      <c r="Z82">
        <v>71.084999999999994</v>
      </c>
      <c r="AA82">
        <v>70.665000000000006</v>
      </c>
      <c r="AB82">
        <v>70.394999999999996</v>
      </c>
      <c r="AC82">
        <v>70.340999999999994</v>
      </c>
      <c r="AD82">
        <v>70.209000000000003</v>
      </c>
      <c r="AE82">
        <v>70.364000000000004</v>
      </c>
      <c r="AF82">
        <v>70.436999999999998</v>
      </c>
      <c r="AG82">
        <v>71.084000000000003</v>
      </c>
      <c r="AH82">
        <v>71.316999999999993</v>
      </c>
      <c r="AI82">
        <v>71.352000000000004</v>
      </c>
      <c r="AJ82">
        <v>71.180000000000007</v>
      </c>
      <c r="AK82">
        <v>71.353999999999999</v>
      </c>
      <c r="AL82">
        <v>71.460999999999999</v>
      </c>
      <c r="AM82">
        <v>71.495000000000005</v>
      </c>
      <c r="AN82">
        <v>71.477999999999994</v>
      </c>
    </row>
    <row r="83" spans="1:40" x14ac:dyDescent="0.25">
      <c r="A83" t="s">
        <v>171</v>
      </c>
      <c r="B83" t="s">
        <v>172</v>
      </c>
      <c r="C83" t="s">
        <v>6</v>
      </c>
      <c r="D83">
        <v>0</v>
      </c>
      <c r="E83">
        <v>65.302000000000007</v>
      </c>
      <c r="F83">
        <v>64.638000000000005</v>
      </c>
      <c r="G83">
        <v>63.844000000000001</v>
      </c>
      <c r="H83">
        <v>63.573999999999998</v>
      </c>
      <c r="I83">
        <v>63.353000000000002</v>
      </c>
      <c r="J83">
        <v>63.164000000000001</v>
      </c>
      <c r="K83">
        <v>63.271999999999998</v>
      </c>
      <c r="L83">
        <v>63.375</v>
      </c>
      <c r="M83">
        <v>63.509</v>
      </c>
      <c r="N83">
        <v>63.613999999999997</v>
      </c>
      <c r="O83">
        <v>63.656999999999996</v>
      </c>
      <c r="P83">
        <v>63.198999999999998</v>
      </c>
      <c r="Q83">
        <v>62.067999999999998</v>
      </c>
      <c r="R83">
        <v>61.238</v>
      </c>
      <c r="S83">
        <v>61.953000000000003</v>
      </c>
      <c r="T83">
        <v>62.648000000000003</v>
      </c>
      <c r="U83">
        <v>61.398000000000003</v>
      </c>
      <c r="V83">
        <v>62.94</v>
      </c>
      <c r="W83">
        <v>62.825000000000003</v>
      </c>
      <c r="X83">
        <v>63.447000000000003</v>
      </c>
      <c r="Y83">
        <v>62.48</v>
      </c>
      <c r="Z83">
        <v>61.62</v>
      </c>
      <c r="AA83">
        <v>60.274999999999999</v>
      </c>
      <c r="AB83">
        <v>59.238999999999997</v>
      </c>
      <c r="AC83">
        <v>58.198999999999998</v>
      </c>
      <c r="AD83">
        <v>59.314</v>
      </c>
      <c r="AE83">
        <v>60.503999999999998</v>
      </c>
      <c r="AF83">
        <v>61.622999999999998</v>
      </c>
      <c r="AG83">
        <v>61.478000000000002</v>
      </c>
      <c r="AH83">
        <v>62.561</v>
      </c>
      <c r="AI83">
        <v>62.814999999999998</v>
      </c>
      <c r="AJ83">
        <v>61.381</v>
      </c>
      <c r="AK83">
        <v>61.284999999999997</v>
      </c>
      <c r="AL83">
        <v>62.524000000000001</v>
      </c>
      <c r="AM83">
        <v>62.313000000000002</v>
      </c>
      <c r="AN83">
        <v>62.472999999999999</v>
      </c>
    </row>
    <row r="84" spans="1:40" x14ac:dyDescent="0.25">
      <c r="A84" t="s">
        <v>173</v>
      </c>
      <c r="B84" t="s">
        <v>174</v>
      </c>
      <c r="C84" t="s">
        <v>6</v>
      </c>
      <c r="D84">
        <v>0</v>
      </c>
      <c r="E84">
        <v>75.757999999999996</v>
      </c>
      <c r="F84">
        <v>76.210999999999999</v>
      </c>
      <c r="G84">
        <v>76.447000000000003</v>
      </c>
      <c r="H84">
        <v>76.861000000000004</v>
      </c>
      <c r="I84">
        <v>77.456000000000003</v>
      </c>
      <c r="J84">
        <v>77.816999999999993</v>
      </c>
      <c r="K84">
        <v>77.704999999999998</v>
      </c>
      <c r="L84">
        <v>77.518000000000001</v>
      </c>
      <c r="M84">
        <v>77.507000000000005</v>
      </c>
      <c r="N84">
        <v>77.325999999999993</v>
      </c>
      <c r="O84">
        <v>76.900000000000006</v>
      </c>
      <c r="P84">
        <v>76.376000000000005</v>
      </c>
      <c r="Q84">
        <v>76.036000000000001</v>
      </c>
      <c r="R84">
        <v>75.727000000000004</v>
      </c>
      <c r="S84">
        <v>75.668000000000006</v>
      </c>
      <c r="T84">
        <v>75.003</v>
      </c>
      <c r="U84">
        <v>75.034999999999997</v>
      </c>
      <c r="V84">
        <v>75.584000000000003</v>
      </c>
      <c r="W84">
        <v>76.150999999999996</v>
      </c>
      <c r="X84">
        <v>76.209999999999994</v>
      </c>
      <c r="Y84">
        <v>76.162000000000006</v>
      </c>
      <c r="Z84">
        <v>76.102000000000004</v>
      </c>
      <c r="AA84">
        <v>76.091999999999999</v>
      </c>
      <c r="AB84">
        <v>76.048000000000002</v>
      </c>
      <c r="AC84">
        <v>76.043000000000006</v>
      </c>
      <c r="AD84">
        <v>76.114000000000004</v>
      </c>
      <c r="AE84">
        <v>76.188999999999993</v>
      </c>
      <c r="AF84">
        <v>76.183999999999997</v>
      </c>
      <c r="AG84">
        <v>76.159000000000006</v>
      </c>
      <c r="AH84">
        <v>76.155000000000001</v>
      </c>
      <c r="AI84">
        <v>75.388999999999996</v>
      </c>
      <c r="AJ84">
        <v>75.179000000000002</v>
      </c>
      <c r="AK84">
        <v>76.185000000000002</v>
      </c>
      <c r="AL84">
        <v>76.293999999999997</v>
      </c>
      <c r="AM84">
        <v>76.388000000000005</v>
      </c>
      <c r="AN84">
        <v>73.373000000000005</v>
      </c>
    </row>
    <row r="85" spans="1:40" x14ac:dyDescent="0.25">
      <c r="A85" t="s">
        <v>175</v>
      </c>
      <c r="B85" t="s">
        <v>176</v>
      </c>
      <c r="C85" t="s">
        <v>14</v>
      </c>
      <c r="D85">
        <v>1</v>
      </c>
      <c r="E85">
        <v>76.391999999999996</v>
      </c>
      <c r="F85">
        <v>76.207999999999998</v>
      </c>
      <c r="G85">
        <v>76.018000000000001</v>
      </c>
      <c r="H85">
        <v>75.805999999999997</v>
      </c>
      <c r="I85">
        <v>75.572999999999993</v>
      </c>
      <c r="J85">
        <v>75.34</v>
      </c>
      <c r="K85">
        <v>75.119</v>
      </c>
      <c r="L85">
        <v>74.893000000000001</v>
      </c>
      <c r="M85">
        <v>74.67</v>
      </c>
      <c r="N85">
        <v>74.418000000000006</v>
      </c>
      <c r="O85">
        <v>74.600999999999999</v>
      </c>
      <c r="P85">
        <v>74.784000000000006</v>
      </c>
      <c r="Q85">
        <v>74.965999999999994</v>
      </c>
      <c r="R85">
        <v>75.147000000000006</v>
      </c>
      <c r="S85">
        <v>75.326999999999998</v>
      </c>
      <c r="T85">
        <v>75.507000000000005</v>
      </c>
      <c r="U85">
        <v>75.686999999999998</v>
      </c>
      <c r="V85">
        <v>75.866</v>
      </c>
      <c r="W85">
        <v>76.045000000000002</v>
      </c>
      <c r="X85">
        <v>76.222999999999999</v>
      </c>
      <c r="Y85">
        <v>76.400000000000006</v>
      </c>
      <c r="Z85">
        <v>76.576999999999998</v>
      </c>
      <c r="AA85">
        <v>76.754000000000005</v>
      </c>
      <c r="AB85">
        <v>76.930000000000007</v>
      </c>
      <c r="AC85">
        <v>77.105000000000004</v>
      </c>
      <c r="AD85">
        <v>77.28</v>
      </c>
      <c r="AE85">
        <v>77.453999999999994</v>
      </c>
      <c r="AF85">
        <v>76.004000000000005</v>
      </c>
      <c r="AG85">
        <v>74.486999999999995</v>
      </c>
      <c r="AH85">
        <v>72.903999999999996</v>
      </c>
      <c r="AI85">
        <v>72.111999999999995</v>
      </c>
      <c r="AJ85">
        <v>72.376000000000005</v>
      </c>
      <c r="AK85">
        <v>72.295000000000002</v>
      </c>
      <c r="AL85">
        <v>72.097999999999999</v>
      </c>
      <c r="AM85">
        <v>71.94</v>
      </c>
      <c r="AN85">
        <v>71.849999999999994</v>
      </c>
    </row>
    <row r="86" spans="1:40" x14ac:dyDescent="0.25">
      <c r="A86" t="s">
        <v>177</v>
      </c>
      <c r="B86" t="s">
        <v>178</v>
      </c>
      <c r="C86" t="s">
        <v>22</v>
      </c>
      <c r="D86">
        <v>0</v>
      </c>
      <c r="E86">
        <v>86.858000000000004</v>
      </c>
      <c r="F86">
        <v>86.875</v>
      </c>
      <c r="G86">
        <v>86.894000000000005</v>
      </c>
      <c r="H86">
        <v>86.897999999999996</v>
      </c>
      <c r="I86">
        <v>86.897000000000006</v>
      </c>
      <c r="J86">
        <v>86.893000000000001</v>
      </c>
      <c r="K86">
        <v>86.885000000000005</v>
      </c>
      <c r="L86">
        <v>86.867999999999995</v>
      </c>
      <c r="M86">
        <v>86.86</v>
      </c>
      <c r="N86">
        <v>86.869</v>
      </c>
      <c r="O86">
        <v>86.864999999999995</v>
      </c>
      <c r="P86">
        <v>86.867000000000004</v>
      </c>
      <c r="Q86">
        <v>86.866</v>
      </c>
      <c r="R86">
        <v>86.864999999999995</v>
      </c>
      <c r="S86">
        <v>86.864000000000004</v>
      </c>
      <c r="T86">
        <v>86.863</v>
      </c>
      <c r="U86">
        <v>86.861000000000004</v>
      </c>
      <c r="V86">
        <v>86.856999999999999</v>
      </c>
      <c r="W86">
        <v>86.855999999999995</v>
      </c>
      <c r="X86">
        <v>86.850999999999999</v>
      </c>
      <c r="Y86">
        <v>86.846000000000004</v>
      </c>
      <c r="Z86">
        <v>86.84</v>
      </c>
      <c r="AA86">
        <v>86.834999999999994</v>
      </c>
      <c r="AB86">
        <v>86.828000000000003</v>
      </c>
      <c r="AC86">
        <v>86.820999999999998</v>
      </c>
      <c r="AD86">
        <v>86.813000000000002</v>
      </c>
      <c r="AE86">
        <v>86.807000000000002</v>
      </c>
      <c r="AF86">
        <v>86.801000000000002</v>
      </c>
      <c r="AG86">
        <v>86.792000000000002</v>
      </c>
      <c r="AH86">
        <v>86.787999999999997</v>
      </c>
      <c r="AI86">
        <v>85.135999999999996</v>
      </c>
      <c r="AJ86">
        <v>85.132999999999996</v>
      </c>
      <c r="AK86">
        <v>86.799000000000007</v>
      </c>
      <c r="AL86">
        <v>86.783000000000001</v>
      </c>
      <c r="AM86">
        <v>86.777000000000001</v>
      </c>
      <c r="AN86">
        <v>86.757000000000005</v>
      </c>
    </row>
    <row r="87" spans="1:40" x14ac:dyDescent="0.25">
      <c r="A87" t="s">
        <v>179</v>
      </c>
      <c r="B87" t="s">
        <v>180</v>
      </c>
      <c r="C87" t="s">
        <v>22</v>
      </c>
      <c r="D87">
        <v>0</v>
      </c>
      <c r="E87">
        <v>71.412000000000006</v>
      </c>
      <c r="F87">
        <v>72.825000000000003</v>
      </c>
      <c r="G87">
        <v>73.403999999999996</v>
      </c>
      <c r="H87">
        <v>73.465999999999994</v>
      </c>
      <c r="I87">
        <v>74.147000000000006</v>
      </c>
      <c r="J87">
        <v>74.253</v>
      </c>
      <c r="K87">
        <v>74.171999999999997</v>
      </c>
      <c r="L87">
        <v>74.007999999999996</v>
      </c>
      <c r="M87">
        <v>73.073999999999998</v>
      </c>
      <c r="N87">
        <v>72.459999999999994</v>
      </c>
      <c r="O87">
        <v>71.947999999999993</v>
      </c>
      <c r="P87">
        <v>72.018000000000001</v>
      </c>
      <c r="Q87">
        <v>72.676000000000002</v>
      </c>
      <c r="R87">
        <v>72.566000000000003</v>
      </c>
      <c r="S87">
        <v>72.823999999999998</v>
      </c>
      <c r="T87">
        <v>72.293000000000006</v>
      </c>
      <c r="U87">
        <v>71.941999999999993</v>
      </c>
      <c r="V87">
        <v>71.834000000000003</v>
      </c>
      <c r="W87">
        <v>71.119</v>
      </c>
      <c r="X87">
        <v>70.713999999999999</v>
      </c>
      <c r="Y87">
        <v>70.741</v>
      </c>
      <c r="Z87">
        <v>71.138999999999996</v>
      </c>
      <c r="AA87">
        <v>71.468999999999994</v>
      </c>
      <c r="AB87">
        <v>71.942999999999998</v>
      </c>
      <c r="AC87">
        <v>72.709000000000003</v>
      </c>
      <c r="AD87">
        <v>72.802000000000007</v>
      </c>
      <c r="AE87">
        <v>72.739000000000004</v>
      </c>
      <c r="AF87">
        <v>72.81</v>
      </c>
      <c r="AG87">
        <v>72.358999999999995</v>
      </c>
      <c r="AH87">
        <v>72.293000000000006</v>
      </c>
      <c r="AI87">
        <v>71.503</v>
      </c>
      <c r="AJ87">
        <v>71.554000000000002</v>
      </c>
      <c r="AK87">
        <v>72.658000000000001</v>
      </c>
      <c r="AL87">
        <v>72.58</v>
      </c>
      <c r="AM87">
        <v>72.180999999999997</v>
      </c>
      <c r="AN87">
        <v>72.001999999999995</v>
      </c>
    </row>
    <row r="88" spans="1:40" x14ac:dyDescent="0.25">
      <c r="A88" t="s">
        <v>181</v>
      </c>
      <c r="B88" t="s">
        <v>182</v>
      </c>
      <c r="C88" t="s">
        <v>6</v>
      </c>
      <c r="D88">
        <v>0</v>
      </c>
      <c r="E88">
        <v>80.962000000000003</v>
      </c>
      <c r="F88">
        <v>80.034999999999997</v>
      </c>
      <c r="G88">
        <v>79.275000000000006</v>
      </c>
      <c r="H88">
        <v>79.584999999999994</v>
      </c>
      <c r="I88">
        <v>81.491</v>
      </c>
      <c r="J88">
        <v>82.83</v>
      </c>
      <c r="K88">
        <v>82.454999999999998</v>
      </c>
      <c r="L88">
        <v>81.459000000000003</v>
      </c>
      <c r="M88">
        <v>80.576999999999998</v>
      </c>
      <c r="N88">
        <v>79.921999999999997</v>
      </c>
      <c r="O88">
        <v>79.573999999999998</v>
      </c>
      <c r="P88">
        <v>79.572000000000003</v>
      </c>
      <c r="Q88">
        <v>79.905000000000001</v>
      </c>
      <c r="R88">
        <v>80.525000000000006</v>
      </c>
      <c r="S88">
        <v>81.582999999999998</v>
      </c>
      <c r="T88">
        <v>82.228999999999999</v>
      </c>
      <c r="U88">
        <v>82.287000000000006</v>
      </c>
      <c r="V88">
        <v>82.353999999999999</v>
      </c>
      <c r="W88">
        <v>82.655000000000001</v>
      </c>
      <c r="X88">
        <v>83.174999999999997</v>
      </c>
      <c r="Y88">
        <v>83.88</v>
      </c>
      <c r="Z88">
        <v>84.99</v>
      </c>
      <c r="AA88">
        <v>85.995999999999995</v>
      </c>
      <c r="AB88">
        <v>86.561000000000007</v>
      </c>
      <c r="AC88">
        <v>86.935000000000002</v>
      </c>
      <c r="AD88">
        <v>87.188000000000002</v>
      </c>
      <c r="AE88">
        <v>87.302999999999997</v>
      </c>
      <c r="AF88">
        <v>87.516000000000005</v>
      </c>
      <c r="AG88">
        <v>87.39</v>
      </c>
      <c r="AH88">
        <v>87.114999999999995</v>
      </c>
      <c r="AI88">
        <v>82.65</v>
      </c>
      <c r="AJ88">
        <v>84.278999999999996</v>
      </c>
      <c r="AK88">
        <v>88.622</v>
      </c>
      <c r="AL88">
        <v>88.831999999999994</v>
      </c>
      <c r="AM88">
        <v>88.736999999999995</v>
      </c>
      <c r="AN88">
        <v>88.558999999999997</v>
      </c>
    </row>
    <row r="89" spans="1:40" x14ac:dyDescent="0.25">
      <c r="A89" t="s">
        <v>183</v>
      </c>
      <c r="B89" t="s">
        <v>184</v>
      </c>
      <c r="C89" t="s">
        <v>6</v>
      </c>
      <c r="D89">
        <v>0</v>
      </c>
      <c r="E89">
        <v>72.159000000000006</v>
      </c>
      <c r="F89">
        <v>73.134</v>
      </c>
      <c r="G89">
        <v>74.757999999999996</v>
      </c>
      <c r="H89">
        <v>76.507999999999996</v>
      </c>
      <c r="I89">
        <v>78.831000000000003</v>
      </c>
      <c r="J89">
        <v>79.498999999999995</v>
      </c>
      <c r="K89">
        <v>78.944000000000003</v>
      </c>
      <c r="L89">
        <v>78.114999999999995</v>
      </c>
      <c r="M89">
        <v>78.049000000000007</v>
      </c>
      <c r="N89">
        <v>77.828999999999994</v>
      </c>
      <c r="O89">
        <v>77.391999999999996</v>
      </c>
      <c r="P89">
        <v>76.927000000000007</v>
      </c>
      <c r="Q89">
        <v>76.995999999999995</v>
      </c>
      <c r="R89">
        <v>76.367000000000004</v>
      </c>
      <c r="S89">
        <v>75.751999999999995</v>
      </c>
      <c r="T89">
        <v>75.852999999999994</v>
      </c>
      <c r="U89">
        <v>75.582999999999998</v>
      </c>
      <c r="V89">
        <v>74.733000000000004</v>
      </c>
      <c r="W89">
        <v>73.888999999999996</v>
      </c>
      <c r="X89">
        <v>73.668000000000006</v>
      </c>
      <c r="Y89">
        <v>73.846999999999994</v>
      </c>
      <c r="Z89">
        <v>75.052000000000007</v>
      </c>
      <c r="AA89">
        <v>73.515000000000001</v>
      </c>
      <c r="AB89">
        <v>71.697000000000003</v>
      </c>
      <c r="AC89">
        <v>71.221000000000004</v>
      </c>
      <c r="AD89">
        <v>72.028000000000006</v>
      </c>
      <c r="AE89">
        <v>72.784999999999997</v>
      </c>
      <c r="AF89">
        <v>71.947000000000003</v>
      </c>
      <c r="AG89">
        <v>73.626999999999995</v>
      </c>
      <c r="AH89">
        <v>74.492999999999995</v>
      </c>
      <c r="AI89">
        <v>71.513999999999996</v>
      </c>
      <c r="AJ89">
        <v>74.962999999999994</v>
      </c>
      <c r="AK89">
        <v>73.986000000000004</v>
      </c>
      <c r="AL89">
        <v>71.171999999999997</v>
      </c>
      <c r="AM89">
        <v>71.5</v>
      </c>
      <c r="AN89">
        <v>71.396000000000001</v>
      </c>
    </row>
    <row r="90" spans="1:40" x14ac:dyDescent="0.25">
      <c r="A90" t="s">
        <v>185</v>
      </c>
      <c r="B90" t="s">
        <v>186</v>
      </c>
      <c r="C90" t="s">
        <v>22</v>
      </c>
      <c r="D90">
        <v>0</v>
      </c>
      <c r="E90">
        <v>64.650000000000006</v>
      </c>
      <c r="F90">
        <v>64.665000000000006</v>
      </c>
      <c r="G90">
        <v>64.694000000000003</v>
      </c>
      <c r="H90">
        <v>64.724999999999994</v>
      </c>
      <c r="I90">
        <v>64.772999999999996</v>
      </c>
      <c r="J90">
        <v>64.805999999999997</v>
      </c>
      <c r="K90">
        <v>64.832999999999998</v>
      </c>
      <c r="L90">
        <v>64.853999999999999</v>
      </c>
      <c r="M90">
        <v>64.861000000000004</v>
      </c>
      <c r="N90">
        <v>64.873999999999995</v>
      </c>
      <c r="O90">
        <v>64.878</v>
      </c>
      <c r="P90">
        <v>64.876999999999995</v>
      </c>
      <c r="Q90">
        <v>64.870999999999995</v>
      </c>
      <c r="R90">
        <v>64.858999999999995</v>
      </c>
      <c r="S90">
        <v>64.84</v>
      </c>
      <c r="T90">
        <v>64.811000000000007</v>
      </c>
      <c r="U90">
        <v>64.760999999999996</v>
      </c>
      <c r="V90">
        <v>64.706000000000003</v>
      </c>
      <c r="W90">
        <v>64.638000000000005</v>
      </c>
      <c r="X90">
        <v>64.563000000000002</v>
      </c>
      <c r="Y90">
        <v>64.462000000000003</v>
      </c>
      <c r="Z90">
        <v>64.353999999999999</v>
      </c>
      <c r="AA90">
        <v>64.233999999999995</v>
      </c>
      <c r="AB90">
        <v>64.100999999999999</v>
      </c>
      <c r="AC90">
        <v>63.962000000000003</v>
      </c>
      <c r="AD90">
        <v>63.823999999999998</v>
      </c>
      <c r="AE90">
        <v>63.685000000000002</v>
      </c>
      <c r="AF90">
        <v>63.542000000000002</v>
      </c>
      <c r="AG90">
        <v>64.911000000000001</v>
      </c>
      <c r="AH90">
        <v>66.290000000000006</v>
      </c>
      <c r="AI90">
        <v>67.147000000000006</v>
      </c>
      <c r="AJ90">
        <v>68.92</v>
      </c>
      <c r="AK90">
        <v>70.641999999999996</v>
      </c>
      <c r="AL90">
        <v>70.584999999999994</v>
      </c>
      <c r="AM90">
        <v>70.527000000000001</v>
      </c>
      <c r="AN90">
        <v>70.629000000000005</v>
      </c>
    </row>
    <row r="91" spans="1:40" x14ac:dyDescent="0.25">
      <c r="A91" t="s">
        <v>187</v>
      </c>
      <c r="B91" t="s">
        <v>188</v>
      </c>
      <c r="C91" t="s">
        <v>9</v>
      </c>
      <c r="D91">
        <v>0</v>
      </c>
      <c r="E91">
        <v>68.983999999999995</v>
      </c>
      <c r="F91">
        <v>69.302999999999997</v>
      </c>
      <c r="G91">
        <v>70.956999999999994</v>
      </c>
      <c r="H91">
        <v>70.724000000000004</v>
      </c>
      <c r="I91">
        <v>70.138999999999996</v>
      </c>
      <c r="J91">
        <v>69.896000000000001</v>
      </c>
      <c r="K91">
        <v>69.484999999999999</v>
      </c>
      <c r="L91">
        <v>68.712000000000003</v>
      </c>
      <c r="M91">
        <v>68.16</v>
      </c>
      <c r="N91">
        <v>67.332999999999998</v>
      </c>
      <c r="O91">
        <v>64.945999999999998</v>
      </c>
      <c r="P91">
        <v>64.361999999999995</v>
      </c>
      <c r="Q91">
        <v>65.980999999999995</v>
      </c>
      <c r="R91">
        <v>64.733999999999995</v>
      </c>
      <c r="S91">
        <v>65.521000000000001</v>
      </c>
      <c r="T91">
        <v>65.540999999999997</v>
      </c>
      <c r="U91">
        <v>67.507000000000005</v>
      </c>
      <c r="V91">
        <v>69.087999999999994</v>
      </c>
      <c r="W91">
        <v>69.649000000000001</v>
      </c>
      <c r="X91">
        <v>67.072000000000003</v>
      </c>
      <c r="Y91">
        <v>65.076999999999998</v>
      </c>
      <c r="Z91">
        <v>65.384</v>
      </c>
      <c r="AA91">
        <v>66.557000000000002</v>
      </c>
      <c r="AB91">
        <v>66.117000000000004</v>
      </c>
      <c r="AC91">
        <v>66.515000000000001</v>
      </c>
      <c r="AD91">
        <v>67.399000000000001</v>
      </c>
      <c r="AE91">
        <v>67.073999999999998</v>
      </c>
      <c r="AF91">
        <v>67.802000000000007</v>
      </c>
      <c r="AG91">
        <v>68.305000000000007</v>
      </c>
      <c r="AH91">
        <v>67.917000000000002</v>
      </c>
      <c r="AI91">
        <v>68.509</v>
      </c>
      <c r="AJ91">
        <v>67.233999999999995</v>
      </c>
      <c r="AK91">
        <v>67.748999999999995</v>
      </c>
      <c r="AL91">
        <v>67.677000000000007</v>
      </c>
      <c r="AM91">
        <v>67.242000000000004</v>
      </c>
      <c r="AN91">
        <v>66.844999999999999</v>
      </c>
    </row>
    <row r="92" spans="1:40" x14ac:dyDescent="0.25">
      <c r="A92" t="s">
        <v>189</v>
      </c>
      <c r="B92" t="s">
        <v>190</v>
      </c>
      <c r="C92" t="s">
        <v>6</v>
      </c>
      <c r="D92">
        <v>0</v>
      </c>
      <c r="E92">
        <v>73.543000000000006</v>
      </c>
      <c r="F92">
        <v>73.430999999999997</v>
      </c>
      <c r="G92">
        <v>72.421000000000006</v>
      </c>
      <c r="H92">
        <v>71.745999999999995</v>
      </c>
      <c r="I92">
        <v>71.222999999999999</v>
      </c>
      <c r="J92">
        <v>70.802000000000007</v>
      </c>
      <c r="K92">
        <v>70.084999999999994</v>
      </c>
      <c r="L92">
        <v>70.016000000000005</v>
      </c>
      <c r="M92">
        <v>69.774000000000001</v>
      </c>
      <c r="N92">
        <v>69.81</v>
      </c>
      <c r="O92">
        <v>69.724000000000004</v>
      </c>
      <c r="P92">
        <v>69.477000000000004</v>
      </c>
      <c r="Q92">
        <v>69.241</v>
      </c>
      <c r="R92">
        <v>69.013999999999996</v>
      </c>
      <c r="S92">
        <v>68.578000000000003</v>
      </c>
      <c r="T92">
        <v>67.88</v>
      </c>
      <c r="U92">
        <v>67.19</v>
      </c>
      <c r="V92">
        <v>66.5</v>
      </c>
      <c r="W92">
        <v>66.772000000000006</v>
      </c>
      <c r="X92">
        <v>67.037999999999997</v>
      </c>
      <c r="Y92">
        <v>67.296999999999997</v>
      </c>
      <c r="Z92">
        <v>67.549000000000007</v>
      </c>
      <c r="AA92">
        <v>67.793999999999997</v>
      </c>
      <c r="AB92">
        <v>68.031999999999996</v>
      </c>
      <c r="AC92">
        <v>68.265000000000001</v>
      </c>
      <c r="AD92">
        <v>68.605999999999995</v>
      </c>
      <c r="AE92">
        <v>69.058000000000007</v>
      </c>
      <c r="AF92">
        <v>69.509</v>
      </c>
      <c r="AG92">
        <v>69.957999999999998</v>
      </c>
      <c r="AH92">
        <v>70.409000000000006</v>
      </c>
      <c r="AI92">
        <v>71.236999999999995</v>
      </c>
      <c r="AJ92">
        <v>69.415000000000006</v>
      </c>
      <c r="AK92">
        <v>66.614999999999995</v>
      </c>
      <c r="AL92">
        <v>66.721000000000004</v>
      </c>
    </row>
    <row r="93" spans="1:40" x14ac:dyDescent="0.25">
      <c r="A93" t="s">
        <v>191</v>
      </c>
      <c r="B93" t="s">
        <v>192</v>
      </c>
      <c r="C93" t="s">
        <v>14</v>
      </c>
      <c r="D93">
        <v>0</v>
      </c>
      <c r="E93">
        <v>81.316000000000003</v>
      </c>
      <c r="F93">
        <v>81.305000000000007</v>
      </c>
      <c r="G93">
        <v>81.224000000000004</v>
      </c>
      <c r="H93">
        <v>81.070999999999998</v>
      </c>
      <c r="I93">
        <v>80.847999999999999</v>
      </c>
      <c r="J93">
        <v>80.575000000000003</v>
      </c>
      <c r="K93">
        <v>80.284999999999997</v>
      </c>
      <c r="L93">
        <v>79.930999999999997</v>
      </c>
      <c r="M93">
        <v>79.486000000000004</v>
      </c>
      <c r="N93">
        <v>79.004000000000005</v>
      </c>
      <c r="O93">
        <v>78.673000000000002</v>
      </c>
      <c r="P93">
        <v>78.337999999999994</v>
      </c>
      <c r="Q93">
        <v>77.997</v>
      </c>
      <c r="R93">
        <v>77.650999999999996</v>
      </c>
      <c r="S93">
        <v>77.302999999999997</v>
      </c>
      <c r="T93">
        <v>76.950999999999993</v>
      </c>
      <c r="U93">
        <v>76.593000000000004</v>
      </c>
      <c r="V93">
        <v>76.231999999999999</v>
      </c>
      <c r="W93">
        <v>75.870999999999995</v>
      </c>
      <c r="X93">
        <v>75.504999999999995</v>
      </c>
      <c r="Y93">
        <v>75.132999999999996</v>
      </c>
      <c r="Z93">
        <v>74.756</v>
      </c>
      <c r="AA93">
        <v>74.373999999999995</v>
      </c>
      <c r="AB93">
        <v>73.986000000000004</v>
      </c>
      <c r="AC93">
        <v>72.921000000000006</v>
      </c>
      <c r="AD93">
        <v>71.826999999999998</v>
      </c>
      <c r="AE93">
        <v>70.703999999999994</v>
      </c>
      <c r="AF93">
        <v>69.552000000000007</v>
      </c>
      <c r="AG93">
        <v>68.373999999999995</v>
      </c>
      <c r="AH93">
        <v>67.171000000000006</v>
      </c>
      <c r="AI93">
        <v>66.527000000000001</v>
      </c>
      <c r="AJ93">
        <v>66.126999999999995</v>
      </c>
      <c r="AK93">
        <v>67.382999999999996</v>
      </c>
      <c r="AL93">
        <v>67.301000000000002</v>
      </c>
      <c r="AM93">
        <v>67.173000000000002</v>
      </c>
      <c r="AN93">
        <v>66.917000000000002</v>
      </c>
    </row>
    <row r="94" spans="1:40" x14ac:dyDescent="0.25">
      <c r="A94" t="s">
        <v>193</v>
      </c>
      <c r="B94" t="s">
        <v>194</v>
      </c>
      <c r="C94" t="s">
        <v>14</v>
      </c>
      <c r="D94">
        <v>0</v>
      </c>
      <c r="E94">
        <v>83.21</v>
      </c>
      <c r="F94">
        <v>83.293999999999997</v>
      </c>
      <c r="G94">
        <v>83.233000000000004</v>
      </c>
      <c r="H94">
        <v>83.153999999999996</v>
      </c>
      <c r="I94">
        <v>83.055999999999997</v>
      </c>
      <c r="J94">
        <v>82.953999999999994</v>
      </c>
      <c r="K94">
        <v>82.864999999999995</v>
      </c>
      <c r="L94">
        <v>82.783000000000001</v>
      </c>
      <c r="M94">
        <v>82.718999999999994</v>
      </c>
      <c r="N94">
        <v>82.664000000000001</v>
      </c>
      <c r="O94">
        <v>82.614000000000004</v>
      </c>
      <c r="P94">
        <v>82.569000000000003</v>
      </c>
      <c r="Q94">
        <v>82.539000000000001</v>
      </c>
      <c r="R94">
        <v>82.531000000000006</v>
      </c>
      <c r="S94">
        <v>82.543000000000006</v>
      </c>
      <c r="T94">
        <v>82.575000000000003</v>
      </c>
      <c r="U94">
        <v>82.629000000000005</v>
      </c>
      <c r="V94">
        <v>82.69</v>
      </c>
      <c r="W94">
        <v>82.686999999999998</v>
      </c>
      <c r="X94">
        <v>82.658000000000001</v>
      </c>
      <c r="Y94">
        <v>82.641000000000005</v>
      </c>
      <c r="Z94">
        <v>82.364000000000004</v>
      </c>
      <c r="AA94">
        <v>82.167000000000002</v>
      </c>
      <c r="AB94">
        <v>82.224999999999994</v>
      </c>
      <c r="AC94">
        <v>82.228999999999999</v>
      </c>
      <c r="AD94">
        <v>82.168999999999997</v>
      </c>
      <c r="AE94">
        <v>82.078000000000003</v>
      </c>
      <c r="AF94">
        <v>81.986000000000004</v>
      </c>
      <c r="AG94">
        <v>81.864000000000004</v>
      </c>
      <c r="AH94">
        <v>81.7</v>
      </c>
      <c r="AI94">
        <v>80.921000000000006</v>
      </c>
      <c r="AJ94">
        <v>81.093999999999994</v>
      </c>
      <c r="AK94">
        <v>81.569999999999993</v>
      </c>
      <c r="AL94">
        <v>81.436999999999998</v>
      </c>
      <c r="AM94">
        <v>81.301000000000002</v>
      </c>
      <c r="AN94">
        <v>81.228999999999999</v>
      </c>
    </row>
    <row r="95" spans="1:40" x14ac:dyDescent="0.25">
      <c r="A95" t="s">
        <v>195</v>
      </c>
      <c r="B95" t="s">
        <v>196</v>
      </c>
      <c r="C95" t="s">
        <v>6</v>
      </c>
      <c r="D95">
        <v>0</v>
      </c>
      <c r="E95">
        <v>60.365000000000002</v>
      </c>
      <c r="F95">
        <v>60.265000000000001</v>
      </c>
      <c r="G95">
        <v>60.152000000000001</v>
      </c>
      <c r="H95">
        <v>60.040999999999997</v>
      </c>
      <c r="I95">
        <v>59.945</v>
      </c>
      <c r="J95">
        <v>59.881</v>
      </c>
      <c r="K95">
        <v>59.863999999999997</v>
      </c>
      <c r="L95">
        <v>59.893000000000001</v>
      </c>
      <c r="M95">
        <v>59.987000000000002</v>
      </c>
      <c r="N95">
        <v>60.154000000000003</v>
      </c>
      <c r="O95">
        <v>60.142000000000003</v>
      </c>
      <c r="P95">
        <v>59.973999999999997</v>
      </c>
      <c r="Q95">
        <v>59.915999999999997</v>
      </c>
      <c r="R95">
        <v>59.97</v>
      </c>
      <c r="S95">
        <v>60.106999999999999</v>
      </c>
      <c r="T95">
        <v>60.295999999999999</v>
      </c>
      <c r="U95">
        <v>60.710999999999999</v>
      </c>
      <c r="V95">
        <v>61.276000000000003</v>
      </c>
      <c r="W95">
        <v>61.795000000000002</v>
      </c>
      <c r="X95">
        <v>62.316000000000003</v>
      </c>
      <c r="Y95">
        <v>62.847999999999999</v>
      </c>
      <c r="Z95">
        <v>63.31</v>
      </c>
      <c r="AA95">
        <v>63.651000000000003</v>
      </c>
      <c r="AB95">
        <v>63.872</v>
      </c>
      <c r="AC95">
        <v>64.013000000000005</v>
      </c>
      <c r="AD95">
        <v>64.076999999999998</v>
      </c>
      <c r="AE95">
        <v>64.093000000000004</v>
      </c>
      <c r="AF95">
        <v>64.067999999999998</v>
      </c>
      <c r="AG95">
        <v>64.015000000000001</v>
      </c>
      <c r="AH95">
        <v>63.936999999999998</v>
      </c>
      <c r="AI95">
        <v>58.625999999999998</v>
      </c>
      <c r="AJ95">
        <v>59.186</v>
      </c>
      <c r="AK95">
        <v>63.421999999999997</v>
      </c>
      <c r="AL95">
        <v>63.158000000000001</v>
      </c>
      <c r="AM95">
        <v>62.86</v>
      </c>
      <c r="AN95">
        <v>62.545000000000002</v>
      </c>
    </row>
    <row r="96" spans="1:40" x14ac:dyDescent="0.25">
      <c r="A96" t="s">
        <v>197</v>
      </c>
      <c r="B96" t="s">
        <v>198</v>
      </c>
      <c r="C96" t="s">
        <v>9</v>
      </c>
      <c r="D96">
        <v>0</v>
      </c>
      <c r="E96">
        <v>74.772999999999996</v>
      </c>
      <c r="F96">
        <v>74.316000000000003</v>
      </c>
      <c r="G96">
        <v>73.775999999999996</v>
      </c>
      <c r="H96">
        <v>73.155000000000001</v>
      </c>
      <c r="I96">
        <v>72.578000000000003</v>
      </c>
      <c r="J96">
        <v>72.034999999999997</v>
      </c>
      <c r="K96">
        <v>71.417000000000002</v>
      </c>
      <c r="L96">
        <v>70.725999999999999</v>
      </c>
      <c r="M96">
        <v>69.97</v>
      </c>
      <c r="N96">
        <v>68.33</v>
      </c>
      <c r="O96">
        <v>66.444000000000003</v>
      </c>
      <c r="P96">
        <v>65.272999999999996</v>
      </c>
      <c r="Q96">
        <v>64.989999999999995</v>
      </c>
      <c r="R96">
        <v>66.152000000000001</v>
      </c>
      <c r="S96">
        <v>63.771999999999998</v>
      </c>
      <c r="T96">
        <v>62.752000000000002</v>
      </c>
      <c r="U96">
        <v>61.207999999999998</v>
      </c>
      <c r="V96">
        <v>61.86</v>
      </c>
      <c r="W96">
        <v>62.186999999999998</v>
      </c>
      <c r="X96">
        <v>61.987000000000002</v>
      </c>
      <c r="Y96">
        <v>61.860999999999997</v>
      </c>
      <c r="Z96">
        <v>63.113999999999997</v>
      </c>
      <c r="AA96">
        <v>63.268000000000001</v>
      </c>
      <c r="AB96">
        <v>64.138999999999996</v>
      </c>
      <c r="AC96">
        <v>65.075000000000003</v>
      </c>
      <c r="AD96">
        <v>64.882000000000005</v>
      </c>
      <c r="AE96">
        <v>66.013999999999996</v>
      </c>
      <c r="AF96">
        <v>66.415999999999997</v>
      </c>
      <c r="AG96">
        <v>67.620999999999995</v>
      </c>
      <c r="AH96">
        <v>67.828999999999994</v>
      </c>
      <c r="AI96">
        <v>68.867000000000004</v>
      </c>
      <c r="AJ96">
        <v>68.036000000000001</v>
      </c>
      <c r="AK96">
        <v>68.206999999999994</v>
      </c>
      <c r="AL96">
        <v>68.623000000000005</v>
      </c>
      <c r="AM96">
        <v>69.138000000000005</v>
      </c>
      <c r="AN96">
        <v>68.950999999999993</v>
      </c>
    </row>
    <row r="97" spans="1:40" x14ac:dyDescent="0.25">
      <c r="A97" t="s">
        <v>199</v>
      </c>
      <c r="B97" t="s">
        <v>200</v>
      </c>
      <c r="C97" t="s">
        <v>9</v>
      </c>
      <c r="D97">
        <v>0</v>
      </c>
      <c r="E97">
        <v>68.277000000000001</v>
      </c>
      <c r="F97">
        <v>68.897000000000006</v>
      </c>
      <c r="G97">
        <v>68.358999999999995</v>
      </c>
      <c r="H97">
        <v>68.381</v>
      </c>
      <c r="I97">
        <v>67.352000000000004</v>
      </c>
      <c r="J97">
        <v>66.147999999999996</v>
      </c>
      <c r="K97">
        <v>66.242999999999995</v>
      </c>
      <c r="L97">
        <v>65.673000000000002</v>
      </c>
      <c r="M97">
        <v>65.706000000000003</v>
      </c>
      <c r="N97">
        <v>65.248000000000005</v>
      </c>
      <c r="O97">
        <v>65.933999999999997</v>
      </c>
      <c r="P97">
        <v>65.328999999999994</v>
      </c>
      <c r="Q97">
        <v>66.245999999999995</v>
      </c>
      <c r="R97">
        <v>64.733000000000004</v>
      </c>
      <c r="S97">
        <v>64.649000000000001</v>
      </c>
      <c r="T97">
        <v>64.98</v>
      </c>
      <c r="U97">
        <v>64.495000000000005</v>
      </c>
      <c r="V97">
        <v>64.025000000000006</v>
      </c>
      <c r="W97">
        <v>63.529000000000003</v>
      </c>
      <c r="X97">
        <v>66.108999999999995</v>
      </c>
      <c r="Y97">
        <v>65.472999999999999</v>
      </c>
      <c r="Z97">
        <v>64.426000000000002</v>
      </c>
      <c r="AA97">
        <v>65.334000000000003</v>
      </c>
      <c r="AB97">
        <v>65.673000000000002</v>
      </c>
      <c r="AC97">
        <v>65.792000000000002</v>
      </c>
      <c r="AD97">
        <v>65.516000000000005</v>
      </c>
      <c r="AE97">
        <v>64.597999999999999</v>
      </c>
      <c r="AF97">
        <v>63.462000000000003</v>
      </c>
      <c r="AG97">
        <v>63.771000000000001</v>
      </c>
      <c r="AH97">
        <v>65.125</v>
      </c>
      <c r="AI97">
        <v>64.253</v>
      </c>
      <c r="AJ97">
        <v>65.997</v>
      </c>
      <c r="AK97">
        <v>64.855000000000004</v>
      </c>
      <c r="AL97">
        <v>65.849000000000004</v>
      </c>
      <c r="AM97">
        <v>65.852000000000004</v>
      </c>
      <c r="AN97">
        <v>65.497</v>
      </c>
    </row>
    <row r="98" spans="1:40" x14ac:dyDescent="0.25">
      <c r="A98" t="s">
        <v>201</v>
      </c>
      <c r="B98" t="s">
        <v>202</v>
      </c>
      <c r="C98" t="s">
        <v>22</v>
      </c>
      <c r="D98">
        <v>0</v>
      </c>
      <c r="E98">
        <v>71.180999999999997</v>
      </c>
      <c r="F98">
        <v>71.646000000000001</v>
      </c>
      <c r="G98">
        <v>71.106999999999999</v>
      </c>
      <c r="H98">
        <v>73.447000000000003</v>
      </c>
      <c r="I98">
        <v>75.213999999999999</v>
      </c>
      <c r="J98">
        <v>76.540000000000006</v>
      </c>
      <c r="K98">
        <v>77.501000000000005</v>
      </c>
      <c r="L98">
        <v>78.132999999999996</v>
      </c>
      <c r="M98">
        <v>77.947999999999993</v>
      </c>
      <c r="N98">
        <v>77.319999999999993</v>
      </c>
      <c r="O98">
        <v>75.808000000000007</v>
      </c>
      <c r="P98">
        <v>74.59</v>
      </c>
      <c r="Q98">
        <v>73.013000000000005</v>
      </c>
      <c r="R98">
        <v>70.938999999999993</v>
      </c>
      <c r="S98">
        <v>71.427999999999997</v>
      </c>
      <c r="T98">
        <v>71.692999999999998</v>
      </c>
      <c r="U98">
        <v>73.644999999999996</v>
      </c>
      <c r="V98">
        <v>75.293999999999997</v>
      </c>
      <c r="W98">
        <v>76.373000000000005</v>
      </c>
      <c r="X98">
        <v>75.850999999999999</v>
      </c>
      <c r="Y98">
        <v>76.224999999999994</v>
      </c>
      <c r="Z98">
        <v>76.600999999999999</v>
      </c>
      <c r="AA98">
        <v>76.856999999999999</v>
      </c>
      <c r="AB98">
        <v>76.379000000000005</v>
      </c>
      <c r="AC98">
        <v>77.191000000000003</v>
      </c>
      <c r="AD98">
        <v>76.174000000000007</v>
      </c>
      <c r="AE98">
        <v>75.221000000000004</v>
      </c>
      <c r="AF98">
        <v>75.631</v>
      </c>
      <c r="AG98">
        <v>76.055000000000007</v>
      </c>
      <c r="AH98">
        <v>75.789000000000001</v>
      </c>
      <c r="AI98">
        <v>74.638999999999996</v>
      </c>
      <c r="AJ98">
        <v>74.721000000000004</v>
      </c>
      <c r="AK98">
        <v>74.599000000000004</v>
      </c>
      <c r="AL98">
        <v>74.418999999999997</v>
      </c>
      <c r="AM98">
        <v>74.055999999999997</v>
      </c>
      <c r="AN98">
        <v>73.611999999999995</v>
      </c>
    </row>
    <row r="99" spans="1:40" x14ac:dyDescent="0.25">
      <c r="A99" t="s">
        <v>203</v>
      </c>
      <c r="B99" t="s">
        <v>204</v>
      </c>
      <c r="C99" t="s">
        <v>14</v>
      </c>
      <c r="D99">
        <v>0</v>
      </c>
      <c r="E99">
        <v>88.606999999999999</v>
      </c>
      <c r="F99">
        <v>88.563999999999993</v>
      </c>
      <c r="G99">
        <v>88.483000000000004</v>
      </c>
      <c r="H99">
        <v>88.412999999999997</v>
      </c>
      <c r="I99">
        <v>88.382999999999996</v>
      </c>
      <c r="J99">
        <v>88.379000000000005</v>
      </c>
      <c r="K99">
        <v>88.418999999999997</v>
      </c>
      <c r="L99">
        <v>88.481999999999999</v>
      </c>
      <c r="M99">
        <v>88.563999999999993</v>
      </c>
      <c r="N99">
        <v>88.643000000000001</v>
      </c>
      <c r="O99">
        <v>88.71</v>
      </c>
      <c r="P99">
        <v>88.766999999999996</v>
      </c>
      <c r="Q99">
        <v>88.938000000000002</v>
      </c>
      <c r="R99">
        <v>88.947000000000003</v>
      </c>
      <c r="S99">
        <v>88.947999999999993</v>
      </c>
      <c r="T99">
        <v>88.908000000000001</v>
      </c>
      <c r="U99">
        <v>88.977999999999994</v>
      </c>
      <c r="V99">
        <v>89.031000000000006</v>
      </c>
      <c r="W99">
        <v>89.069000000000003</v>
      </c>
      <c r="X99">
        <v>89.088999999999999</v>
      </c>
      <c r="Y99">
        <v>89.090999999999994</v>
      </c>
      <c r="Z99">
        <v>89.072000000000003</v>
      </c>
      <c r="AA99">
        <v>89.034000000000006</v>
      </c>
      <c r="AB99">
        <v>88.984999999999999</v>
      </c>
      <c r="AC99">
        <v>88.921000000000006</v>
      </c>
      <c r="AD99">
        <v>88.850999999999999</v>
      </c>
      <c r="AE99">
        <v>88.539000000000001</v>
      </c>
      <c r="AF99">
        <v>88.263999999999996</v>
      </c>
      <c r="AG99">
        <v>88.034999999999997</v>
      </c>
      <c r="AH99">
        <v>87.831000000000003</v>
      </c>
      <c r="AI99">
        <v>87.04</v>
      </c>
      <c r="AJ99">
        <v>87.271000000000001</v>
      </c>
      <c r="AK99">
        <v>88.082999999999998</v>
      </c>
      <c r="AL99">
        <v>88.081000000000003</v>
      </c>
      <c r="AM99">
        <v>88.051000000000002</v>
      </c>
      <c r="AN99">
        <v>88.093999999999994</v>
      </c>
    </row>
    <row r="100" spans="1:40" x14ac:dyDescent="0.25">
      <c r="A100" t="s">
        <v>205</v>
      </c>
      <c r="B100" t="s">
        <v>206</v>
      </c>
      <c r="C100" t="s">
        <v>14</v>
      </c>
      <c r="D100">
        <v>1</v>
      </c>
      <c r="E100">
        <v>83.192999999999998</v>
      </c>
      <c r="F100">
        <v>83.366</v>
      </c>
      <c r="G100">
        <v>83.528000000000006</v>
      </c>
      <c r="H100">
        <v>83.662000000000006</v>
      </c>
      <c r="I100">
        <v>83.76</v>
      </c>
      <c r="J100">
        <v>83.813999999999993</v>
      </c>
      <c r="K100">
        <v>83.83</v>
      </c>
      <c r="L100">
        <v>83.84</v>
      </c>
      <c r="M100">
        <v>83.875</v>
      </c>
      <c r="N100">
        <v>83.876000000000005</v>
      </c>
      <c r="O100">
        <v>83.828000000000003</v>
      </c>
      <c r="P100">
        <v>83.793000000000006</v>
      </c>
      <c r="Q100">
        <v>83.771000000000001</v>
      </c>
      <c r="R100">
        <v>83.744</v>
      </c>
      <c r="S100">
        <v>83.724000000000004</v>
      </c>
      <c r="T100">
        <v>83.73</v>
      </c>
      <c r="U100">
        <v>82.935000000000002</v>
      </c>
      <c r="V100">
        <v>82.106999999999999</v>
      </c>
      <c r="W100">
        <v>81.245000000000005</v>
      </c>
      <c r="X100">
        <v>80.347999999999999</v>
      </c>
      <c r="Y100">
        <v>79.415999999999997</v>
      </c>
      <c r="Z100">
        <v>78.448999999999998</v>
      </c>
      <c r="AA100">
        <v>76.966999999999999</v>
      </c>
      <c r="AB100">
        <v>75.418000000000006</v>
      </c>
      <c r="AC100">
        <v>73.802999999999997</v>
      </c>
      <c r="AD100">
        <v>72.125</v>
      </c>
      <c r="AE100">
        <v>70.384</v>
      </c>
      <c r="AF100">
        <v>68.585999999999999</v>
      </c>
      <c r="AG100">
        <v>68.254999999999995</v>
      </c>
      <c r="AH100">
        <v>67.891000000000005</v>
      </c>
      <c r="AI100">
        <v>73.858999999999995</v>
      </c>
      <c r="AJ100">
        <v>67.438999999999993</v>
      </c>
      <c r="AK100">
        <v>67.766999999999996</v>
      </c>
      <c r="AL100">
        <v>67.725999999999999</v>
      </c>
      <c r="AM100">
        <v>67.688999999999993</v>
      </c>
      <c r="AN100">
        <v>67.341999999999999</v>
      </c>
    </row>
    <row r="101" spans="1:40" x14ac:dyDescent="0.25">
      <c r="A101" t="s">
        <v>207</v>
      </c>
      <c r="B101" t="s">
        <v>208</v>
      </c>
      <c r="C101" t="s">
        <v>22</v>
      </c>
      <c r="D101">
        <v>0</v>
      </c>
      <c r="E101">
        <v>76.301000000000002</v>
      </c>
      <c r="F101">
        <v>76.215000000000003</v>
      </c>
      <c r="G101">
        <v>76.41</v>
      </c>
      <c r="H101">
        <v>76.594999999999999</v>
      </c>
      <c r="I101">
        <v>76.777000000000001</v>
      </c>
      <c r="J101">
        <v>76.962000000000003</v>
      </c>
      <c r="K101">
        <v>77.150000000000006</v>
      </c>
      <c r="L101">
        <v>77.338999999999999</v>
      </c>
      <c r="M101">
        <v>77.528000000000006</v>
      </c>
      <c r="N101">
        <v>77.668000000000006</v>
      </c>
      <c r="O101">
        <v>77.674999999999997</v>
      </c>
      <c r="P101">
        <v>77.52</v>
      </c>
      <c r="Q101">
        <v>77.299000000000007</v>
      </c>
      <c r="R101">
        <v>77.094999999999999</v>
      </c>
      <c r="S101">
        <v>76.918000000000006</v>
      </c>
      <c r="T101">
        <v>76.790999999999997</v>
      </c>
      <c r="U101">
        <v>76.733999999999995</v>
      </c>
      <c r="V101">
        <v>76.748000000000005</v>
      </c>
      <c r="W101">
        <v>76.828999999999994</v>
      </c>
      <c r="X101">
        <v>76.966999999999999</v>
      </c>
      <c r="Y101">
        <v>77.122</v>
      </c>
      <c r="Z101">
        <v>77.254000000000005</v>
      </c>
      <c r="AA101">
        <v>77.555999999999997</v>
      </c>
      <c r="AB101">
        <v>77.855000000000004</v>
      </c>
      <c r="AC101">
        <v>78.146000000000001</v>
      </c>
      <c r="AD101">
        <v>78.195999999999998</v>
      </c>
      <c r="AE101">
        <v>77.822000000000003</v>
      </c>
      <c r="AF101">
        <v>77.713999999999999</v>
      </c>
      <c r="AG101">
        <v>78.067999999999998</v>
      </c>
      <c r="AH101">
        <v>78.444000000000003</v>
      </c>
      <c r="AI101">
        <v>78.052999999999997</v>
      </c>
      <c r="AJ101">
        <v>78.364000000000004</v>
      </c>
      <c r="AK101">
        <v>79.347999999999999</v>
      </c>
      <c r="AL101">
        <v>79.305999999999997</v>
      </c>
      <c r="AM101">
        <v>79.180999999999997</v>
      </c>
      <c r="AN101">
        <v>79.210999999999999</v>
      </c>
    </row>
    <row r="102" spans="1:40" x14ac:dyDescent="0.25">
      <c r="A102" t="s">
        <v>209</v>
      </c>
      <c r="B102" t="s">
        <v>210</v>
      </c>
      <c r="C102" t="s">
        <v>22</v>
      </c>
      <c r="D102">
        <v>0</v>
      </c>
      <c r="E102">
        <v>76.016999999999996</v>
      </c>
      <c r="F102">
        <v>75.537000000000006</v>
      </c>
      <c r="G102">
        <v>74.986999999999995</v>
      </c>
      <c r="H102">
        <v>74.378</v>
      </c>
      <c r="I102">
        <v>73.72</v>
      </c>
      <c r="J102">
        <v>72.956000000000003</v>
      </c>
      <c r="K102">
        <v>72.646000000000001</v>
      </c>
      <c r="L102">
        <v>72.274000000000001</v>
      </c>
      <c r="M102">
        <v>71.864000000000004</v>
      </c>
      <c r="N102">
        <v>71.424000000000007</v>
      </c>
      <c r="O102">
        <v>70.975999999999999</v>
      </c>
      <c r="P102">
        <v>70.436999999999998</v>
      </c>
      <c r="Q102">
        <v>69.897999999999996</v>
      </c>
      <c r="R102">
        <v>69.352999999999994</v>
      </c>
      <c r="S102">
        <v>68.802999999999997</v>
      </c>
      <c r="T102">
        <v>68.244</v>
      </c>
      <c r="U102">
        <v>67.486000000000004</v>
      </c>
      <c r="V102">
        <v>66.513999999999996</v>
      </c>
      <c r="W102">
        <v>65.536000000000001</v>
      </c>
      <c r="X102">
        <v>64.608999999999995</v>
      </c>
      <c r="Y102">
        <v>65.08</v>
      </c>
      <c r="Z102">
        <v>65.570999999999998</v>
      </c>
      <c r="AA102">
        <v>66.08</v>
      </c>
      <c r="AB102">
        <v>66.602999999999994</v>
      </c>
      <c r="AC102">
        <v>67.132000000000005</v>
      </c>
      <c r="AD102">
        <v>67.650999999999996</v>
      </c>
      <c r="AE102">
        <v>68.159000000000006</v>
      </c>
      <c r="AF102">
        <v>71.037999999999997</v>
      </c>
      <c r="AG102">
        <v>73.947000000000003</v>
      </c>
      <c r="AH102">
        <v>76.891000000000005</v>
      </c>
      <c r="AI102">
        <v>70.308000000000007</v>
      </c>
      <c r="AJ102">
        <v>71.856999999999999</v>
      </c>
      <c r="AK102">
        <v>76.23</v>
      </c>
      <c r="AL102">
        <v>76.108000000000004</v>
      </c>
      <c r="AM102">
        <v>75.968000000000004</v>
      </c>
      <c r="AN102">
        <v>76.427999999999997</v>
      </c>
    </row>
    <row r="103" spans="1:40" x14ac:dyDescent="0.25">
      <c r="A103" t="s">
        <v>211</v>
      </c>
      <c r="B103" t="s">
        <v>212</v>
      </c>
      <c r="C103" t="s">
        <v>14</v>
      </c>
      <c r="D103">
        <v>0</v>
      </c>
      <c r="E103">
        <v>80.224000000000004</v>
      </c>
      <c r="F103">
        <v>80.311999999999998</v>
      </c>
      <c r="G103">
        <v>80.381</v>
      </c>
      <c r="H103">
        <v>80.414000000000001</v>
      </c>
      <c r="I103">
        <v>80.41</v>
      </c>
      <c r="J103">
        <v>80.372</v>
      </c>
      <c r="K103">
        <v>80.316999999999993</v>
      </c>
      <c r="L103">
        <v>80.251000000000005</v>
      </c>
      <c r="M103">
        <v>80.158000000000001</v>
      </c>
      <c r="N103">
        <v>80.057000000000002</v>
      </c>
      <c r="O103">
        <v>79.965999999999994</v>
      </c>
      <c r="P103">
        <v>79.878</v>
      </c>
      <c r="Q103">
        <v>79.808000000000007</v>
      </c>
      <c r="R103">
        <v>79.77</v>
      </c>
      <c r="S103">
        <v>79.772000000000006</v>
      </c>
      <c r="T103">
        <v>79.820999999999998</v>
      </c>
      <c r="U103">
        <v>79.896000000000001</v>
      </c>
      <c r="V103">
        <v>79.977000000000004</v>
      </c>
      <c r="W103">
        <v>80.076999999999998</v>
      </c>
      <c r="X103">
        <v>80.194000000000003</v>
      </c>
      <c r="Y103">
        <v>80.332999999999998</v>
      </c>
      <c r="Z103">
        <v>80.483999999999995</v>
      </c>
      <c r="AA103">
        <v>80.700999999999993</v>
      </c>
      <c r="AB103">
        <v>80.876999999999995</v>
      </c>
      <c r="AC103">
        <v>80.933999999999997</v>
      </c>
      <c r="AD103">
        <v>79.757999999999996</v>
      </c>
      <c r="AE103">
        <v>80.010000000000005</v>
      </c>
      <c r="AF103">
        <v>80.259</v>
      </c>
      <c r="AG103">
        <v>80.742000000000004</v>
      </c>
      <c r="AH103">
        <v>81.173000000000002</v>
      </c>
      <c r="AI103">
        <v>80.956999999999994</v>
      </c>
      <c r="AJ103">
        <v>80.334000000000003</v>
      </c>
      <c r="AK103">
        <v>81.242000000000004</v>
      </c>
      <c r="AL103">
        <v>81.141000000000005</v>
      </c>
      <c r="AM103">
        <v>81.045000000000002</v>
      </c>
      <c r="AN103">
        <v>81.022000000000006</v>
      </c>
    </row>
    <row r="104" spans="1:40" x14ac:dyDescent="0.25">
      <c r="A104" t="s">
        <v>213</v>
      </c>
      <c r="B104" t="s">
        <v>214</v>
      </c>
      <c r="C104" t="s">
        <v>9</v>
      </c>
      <c r="D104">
        <v>0</v>
      </c>
      <c r="E104">
        <v>74.272999999999996</v>
      </c>
      <c r="F104">
        <v>73.936999999999998</v>
      </c>
      <c r="G104">
        <v>73.542000000000002</v>
      </c>
      <c r="H104">
        <v>73.05</v>
      </c>
      <c r="I104">
        <v>72.647000000000006</v>
      </c>
      <c r="J104">
        <v>72.364999999999995</v>
      </c>
      <c r="K104">
        <v>72.212999999999994</v>
      </c>
      <c r="L104">
        <v>71.816999999999993</v>
      </c>
      <c r="M104">
        <v>71.721000000000004</v>
      </c>
      <c r="N104">
        <v>71.260999999999996</v>
      </c>
      <c r="O104">
        <v>70.388999999999996</v>
      </c>
      <c r="P104">
        <v>71.825999999999993</v>
      </c>
      <c r="Q104">
        <v>70.156999999999996</v>
      </c>
      <c r="R104">
        <v>70.016999999999996</v>
      </c>
      <c r="S104">
        <v>69.484999999999999</v>
      </c>
      <c r="T104">
        <v>68.076999999999998</v>
      </c>
      <c r="U104">
        <v>68.018000000000001</v>
      </c>
      <c r="V104">
        <v>67.555000000000007</v>
      </c>
      <c r="W104">
        <v>66.722999999999999</v>
      </c>
      <c r="X104">
        <v>66.828999999999994</v>
      </c>
      <c r="Y104">
        <v>67.277000000000001</v>
      </c>
      <c r="Z104">
        <v>67.540000000000006</v>
      </c>
      <c r="AA104">
        <v>66.881</v>
      </c>
      <c r="AB104">
        <v>67.608000000000004</v>
      </c>
      <c r="AC104">
        <v>68.171999999999997</v>
      </c>
      <c r="AD104">
        <v>68.254999999999995</v>
      </c>
      <c r="AE104">
        <v>68.462999999999994</v>
      </c>
      <c r="AF104">
        <v>69.033000000000001</v>
      </c>
      <c r="AG104">
        <v>70</v>
      </c>
      <c r="AH104">
        <v>70.692999999999998</v>
      </c>
      <c r="AI104">
        <v>71.006</v>
      </c>
      <c r="AJ104">
        <v>71.852000000000004</v>
      </c>
      <c r="AK104">
        <v>72.049000000000007</v>
      </c>
      <c r="AL104">
        <v>72.397000000000006</v>
      </c>
      <c r="AM104">
        <v>71.823999999999998</v>
      </c>
      <c r="AN104">
        <v>71.55</v>
      </c>
    </row>
    <row r="105" spans="1:40" x14ac:dyDescent="0.25">
      <c r="A105" t="s">
        <v>215</v>
      </c>
      <c r="B105" t="s">
        <v>216</v>
      </c>
      <c r="C105" t="s">
        <v>6</v>
      </c>
      <c r="D105">
        <v>0</v>
      </c>
      <c r="E105">
        <v>68.450999999999993</v>
      </c>
      <c r="F105">
        <v>68.02</v>
      </c>
      <c r="G105">
        <v>67.58</v>
      </c>
      <c r="H105">
        <v>67.138000000000005</v>
      </c>
      <c r="I105">
        <v>66.700999999999993</v>
      </c>
      <c r="J105">
        <v>66.268000000000001</v>
      </c>
      <c r="K105">
        <v>65.837000000000003</v>
      </c>
      <c r="L105">
        <v>65.402000000000001</v>
      </c>
      <c r="M105">
        <v>64.963999999999999</v>
      </c>
      <c r="N105">
        <v>64.527000000000001</v>
      </c>
      <c r="O105">
        <v>64.085999999999999</v>
      </c>
      <c r="P105">
        <v>63.832000000000001</v>
      </c>
      <c r="Q105">
        <v>63.624000000000002</v>
      </c>
      <c r="R105">
        <v>63.406999999999996</v>
      </c>
      <c r="S105">
        <v>63.186</v>
      </c>
      <c r="T105">
        <v>62.959000000000003</v>
      </c>
      <c r="U105">
        <v>62.725000000000001</v>
      </c>
      <c r="V105">
        <v>62.481999999999999</v>
      </c>
      <c r="W105">
        <v>62.225999999999999</v>
      </c>
      <c r="X105">
        <v>61.968000000000004</v>
      </c>
      <c r="Y105">
        <v>61.723999999999997</v>
      </c>
      <c r="Z105">
        <v>61.493000000000002</v>
      </c>
      <c r="AA105">
        <v>61.274000000000001</v>
      </c>
      <c r="AB105">
        <v>60.555999999999997</v>
      </c>
      <c r="AC105">
        <v>59.802</v>
      </c>
      <c r="AD105">
        <v>59.042999999999999</v>
      </c>
      <c r="AE105">
        <v>58.277999999999999</v>
      </c>
      <c r="AF105">
        <v>57.508000000000003</v>
      </c>
      <c r="AG105">
        <v>57.427</v>
      </c>
      <c r="AH105">
        <v>57.304000000000002</v>
      </c>
      <c r="AI105">
        <v>56.668999999999997</v>
      </c>
      <c r="AJ105">
        <v>56.753</v>
      </c>
      <c r="AK105">
        <v>57.231000000000002</v>
      </c>
      <c r="AL105">
        <v>57.002000000000002</v>
      </c>
      <c r="AM105">
        <v>56.850999999999999</v>
      </c>
      <c r="AN105">
        <v>56.613</v>
      </c>
    </row>
    <row r="106" spans="1:40" x14ac:dyDescent="0.25">
      <c r="A106" t="s">
        <v>217</v>
      </c>
      <c r="B106" t="s">
        <v>218</v>
      </c>
      <c r="C106" t="s">
        <v>14</v>
      </c>
      <c r="D106">
        <v>0</v>
      </c>
      <c r="E106">
        <v>81.739000000000004</v>
      </c>
      <c r="F106">
        <v>81.534000000000006</v>
      </c>
      <c r="G106">
        <v>81.271000000000001</v>
      </c>
      <c r="H106">
        <v>80.981999999999999</v>
      </c>
      <c r="I106">
        <v>80.656999999999996</v>
      </c>
      <c r="J106">
        <v>80.290999999999997</v>
      </c>
      <c r="K106">
        <v>79.981999999999999</v>
      </c>
      <c r="L106">
        <v>79.679000000000002</v>
      </c>
      <c r="M106">
        <v>79.363</v>
      </c>
      <c r="N106">
        <v>79.025000000000006</v>
      </c>
      <c r="O106">
        <v>78.683000000000007</v>
      </c>
      <c r="P106">
        <v>78.563999999999993</v>
      </c>
      <c r="Q106">
        <v>78.367999999999995</v>
      </c>
      <c r="R106">
        <v>79.638999999999996</v>
      </c>
      <c r="S106">
        <v>77.694000000000003</v>
      </c>
      <c r="T106">
        <v>77.138999999999996</v>
      </c>
      <c r="U106">
        <v>76.406999999999996</v>
      </c>
      <c r="V106">
        <v>75.790000000000006</v>
      </c>
      <c r="W106">
        <v>75.073999999999998</v>
      </c>
      <c r="X106">
        <v>74.89</v>
      </c>
      <c r="Y106">
        <v>74.912999999999997</v>
      </c>
      <c r="Z106">
        <v>74.245999999999995</v>
      </c>
      <c r="AA106">
        <v>74.361000000000004</v>
      </c>
      <c r="AB106">
        <v>74.448999999999998</v>
      </c>
      <c r="AC106">
        <v>74.692999999999998</v>
      </c>
      <c r="AD106">
        <v>74.256</v>
      </c>
      <c r="AE106">
        <v>73.819000000000003</v>
      </c>
      <c r="AF106">
        <v>73.953000000000003</v>
      </c>
      <c r="AG106">
        <v>72.822000000000003</v>
      </c>
      <c r="AH106">
        <v>72.932000000000002</v>
      </c>
      <c r="AI106">
        <v>68.174000000000007</v>
      </c>
      <c r="AJ106">
        <v>64.466999999999999</v>
      </c>
      <c r="AK106">
        <v>68.477000000000004</v>
      </c>
      <c r="AL106">
        <v>70.301000000000002</v>
      </c>
      <c r="AM106">
        <v>69.876999999999995</v>
      </c>
      <c r="AN106">
        <v>69.671000000000006</v>
      </c>
    </row>
    <row r="107" spans="1:40" x14ac:dyDescent="0.25">
      <c r="A107" t="s">
        <v>219</v>
      </c>
      <c r="B107" t="s">
        <v>220</v>
      </c>
      <c r="C107" t="s">
        <v>17</v>
      </c>
      <c r="D107">
        <v>0</v>
      </c>
      <c r="E107">
        <v>84.013000000000005</v>
      </c>
      <c r="F107">
        <v>83.956000000000003</v>
      </c>
      <c r="G107">
        <v>84.194000000000003</v>
      </c>
      <c r="H107">
        <v>84.495999999999995</v>
      </c>
      <c r="I107">
        <v>84.037999999999997</v>
      </c>
      <c r="J107">
        <v>82.897999999999996</v>
      </c>
      <c r="K107">
        <v>83.004999999999995</v>
      </c>
      <c r="L107">
        <v>83.688999999999993</v>
      </c>
      <c r="M107">
        <v>83.447999999999993</v>
      </c>
      <c r="N107">
        <v>82.734999999999999</v>
      </c>
      <c r="O107">
        <v>82.128</v>
      </c>
      <c r="P107">
        <v>81.495999999999995</v>
      </c>
      <c r="Q107">
        <v>80.381</v>
      </c>
      <c r="R107">
        <v>80.385999999999996</v>
      </c>
      <c r="S107">
        <v>80.313000000000002</v>
      </c>
      <c r="T107">
        <v>80.706000000000003</v>
      </c>
      <c r="U107">
        <v>80.98</v>
      </c>
      <c r="V107">
        <v>80.644000000000005</v>
      </c>
      <c r="W107">
        <v>80.203000000000003</v>
      </c>
      <c r="X107">
        <v>79.465999999999994</v>
      </c>
      <c r="Y107">
        <v>79.257999999999996</v>
      </c>
      <c r="Z107">
        <v>79.027000000000001</v>
      </c>
      <c r="AA107">
        <v>79.322000000000003</v>
      </c>
      <c r="AB107">
        <v>78.935000000000002</v>
      </c>
      <c r="AC107">
        <v>78.796000000000006</v>
      </c>
      <c r="AD107">
        <v>78.567999999999998</v>
      </c>
      <c r="AE107">
        <v>78.272999999999996</v>
      </c>
      <c r="AF107">
        <v>78.236999999999995</v>
      </c>
      <c r="AG107">
        <v>78.165000000000006</v>
      </c>
      <c r="AH107">
        <v>78.057000000000002</v>
      </c>
      <c r="AI107">
        <v>72.492000000000004</v>
      </c>
      <c r="AJ107">
        <v>76.673000000000002</v>
      </c>
      <c r="AK107">
        <v>77.313999999999993</v>
      </c>
      <c r="AL107">
        <v>77.551000000000002</v>
      </c>
      <c r="AM107">
        <v>77.215000000000003</v>
      </c>
      <c r="AN107">
        <v>77.113</v>
      </c>
    </row>
    <row r="108" spans="1:40" x14ac:dyDescent="0.25">
      <c r="A108" t="s">
        <v>221</v>
      </c>
      <c r="B108" t="s">
        <v>222</v>
      </c>
      <c r="C108" t="s">
        <v>9</v>
      </c>
      <c r="D108">
        <v>0</v>
      </c>
      <c r="E108">
        <v>62.896999999999998</v>
      </c>
      <c r="F108">
        <v>63.234999999999999</v>
      </c>
      <c r="G108">
        <v>63.478000000000002</v>
      </c>
      <c r="H108">
        <v>63.585000000000001</v>
      </c>
      <c r="I108">
        <v>63.686</v>
      </c>
      <c r="J108">
        <v>63.661999999999999</v>
      </c>
      <c r="K108">
        <v>63.872</v>
      </c>
      <c r="L108">
        <v>63.792000000000002</v>
      </c>
      <c r="M108">
        <v>64.055000000000007</v>
      </c>
      <c r="N108">
        <v>64.183999999999997</v>
      </c>
      <c r="O108">
        <v>64.093000000000004</v>
      </c>
      <c r="P108">
        <v>61.716000000000001</v>
      </c>
      <c r="Q108">
        <v>60.101999999999997</v>
      </c>
      <c r="R108">
        <v>58.637</v>
      </c>
      <c r="S108">
        <v>55.75</v>
      </c>
      <c r="T108">
        <v>54.564999999999998</v>
      </c>
      <c r="U108">
        <v>59.087000000000003</v>
      </c>
      <c r="V108">
        <v>58.819000000000003</v>
      </c>
      <c r="W108">
        <v>59.997</v>
      </c>
      <c r="X108">
        <v>61.585000000000001</v>
      </c>
      <c r="Y108">
        <v>64.173000000000002</v>
      </c>
      <c r="Z108">
        <v>64.430000000000007</v>
      </c>
      <c r="AA108">
        <v>64.206999999999994</v>
      </c>
      <c r="AB108">
        <v>64.849000000000004</v>
      </c>
      <c r="AC108">
        <v>69.334000000000003</v>
      </c>
      <c r="AD108">
        <v>71.17</v>
      </c>
      <c r="AE108">
        <v>71.078000000000003</v>
      </c>
      <c r="AF108">
        <v>69.417000000000002</v>
      </c>
      <c r="AG108">
        <v>67.822000000000003</v>
      </c>
      <c r="AH108">
        <v>70.543000000000006</v>
      </c>
      <c r="AI108">
        <v>71.63</v>
      </c>
      <c r="AJ108">
        <v>74.778000000000006</v>
      </c>
      <c r="AK108">
        <v>73.748999999999995</v>
      </c>
      <c r="AL108">
        <v>71.679000000000002</v>
      </c>
      <c r="AM108">
        <v>72.137</v>
      </c>
      <c r="AN108">
        <v>72.241</v>
      </c>
    </row>
    <row r="109" spans="1:40" x14ac:dyDescent="0.25">
      <c r="A109" t="s">
        <v>223</v>
      </c>
      <c r="B109" t="s">
        <v>224</v>
      </c>
      <c r="C109" t="s">
        <v>22</v>
      </c>
      <c r="D109">
        <v>0</v>
      </c>
      <c r="E109">
        <v>63.191000000000003</v>
      </c>
      <c r="F109">
        <v>63.938000000000002</v>
      </c>
      <c r="G109">
        <v>64.563000000000002</v>
      </c>
      <c r="H109">
        <v>64.856999999999999</v>
      </c>
      <c r="I109">
        <v>64.953999999999994</v>
      </c>
      <c r="J109">
        <v>64.888999999999996</v>
      </c>
      <c r="K109">
        <v>65.028000000000006</v>
      </c>
      <c r="L109">
        <v>65.097999999999999</v>
      </c>
      <c r="M109">
        <v>65.2</v>
      </c>
      <c r="N109">
        <v>65.313000000000002</v>
      </c>
      <c r="O109">
        <v>65.486999999999995</v>
      </c>
      <c r="P109">
        <v>65.545000000000002</v>
      </c>
      <c r="Q109">
        <v>65.507999999999996</v>
      </c>
      <c r="R109">
        <v>65.356999999999999</v>
      </c>
      <c r="S109">
        <v>65.037999999999997</v>
      </c>
      <c r="T109">
        <v>64.867999999999995</v>
      </c>
      <c r="U109">
        <v>64.668000000000006</v>
      </c>
      <c r="V109">
        <v>64.438999999999993</v>
      </c>
      <c r="W109">
        <v>63.732999999999997</v>
      </c>
      <c r="X109">
        <v>64</v>
      </c>
      <c r="Y109">
        <v>64.605999999999995</v>
      </c>
      <c r="Z109">
        <v>65.911000000000001</v>
      </c>
      <c r="AA109">
        <v>65.739000000000004</v>
      </c>
      <c r="AB109">
        <v>65.576999999999998</v>
      </c>
      <c r="AC109">
        <v>66.001000000000005</v>
      </c>
      <c r="AD109">
        <v>66.168000000000006</v>
      </c>
      <c r="AE109">
        <v>64.947999999999993</v>
      </c>
      <c r="AF109">
        <v>65.828999999999994</v>
      </c>
      <c r="AG109">
        <v>68.051000000000002</v>
      </c>
      <c r="AH109">
        <v>73.531999999999996</v>
      </c>
      <c r="AI109">
        <v>71.039000000000001</v>
      </c>
      <c r="AJ109">
        <v>69.498000000000005</v>
      </c>
      <c r="AK109">
        <v>70.867000000000004</v>
      </c>
      <c r="AL109">
        <v>69.492999999999995</v>
      </c>
      <c r="AM109">
        <v>68.817999999999998</v>
      </c>
      <c r="AN109">
        <v>68.216999999999999</v>
      </c>
    </row>
    <row r="110" spans="1:40" x14ac:dyDescent="0.25">
      <c r="A110" t="s">
        <v>225</v>
      </c>
      <c r="B110" t="s">
        <v>226</v>
      </c>
      <c r="C110" t="s">
        <v>9</v>
      </c>
      <c r="D110">
        <v>0</v>
      </c>
      <c r="E110">
        <v>58.668999999999997</v>
      </c>
      <c r="F110">
        <v>58.88</v>
      </c>
      <c r="G110">
        <v>58.939</v>
      </c>
      <c r="H110">
        <v>58.848999999999997</v>
      </c>
      <c r="I110">
        <v>58.505000000000003</v>
      </c>
      <c r="J110">
        <v>58.087000000000003</v>
      </c>
      <c r="K110">
        <v>57.734000000000002</v>
      </c>
      <c r="L110">
        <v>57.444000000000003</v>
      </c>
      <c r="M110">
        <v>57.085000000000001</v>
      </c>
      <c r="N110">
        <v>57.305999999999997</v>
      </c>
      <c r="O110">
        <v>56.98</v>
      </c>
      <c r="P110">
        <v>56.776000000000003</v>
      </c>
      <c r="Q110">
        <v>56.512999999999998</v>
      </c>
      <c r="R110">
        <v>56.22</v>
      </c>
      <c r="S110">
        <v>55.936999999999998</v>
      </c>
      <c r="T110">
        <v>55.755000000000003</v>
      </c>
      <c r="U110">
        <v>55.527000000000001</v>
      </c>
      <c r="V110">
        <v>55.456000000000003</v>
      </c>
      <c r="W110">
        <v>55.457999999999998</v>
      </c>
      <c r="X110">
        <v>55.606999999999999</v>
      </c>
      <c r="Y110">
        <v>55.651000000000003</v>
      </c>
      <c r="Z110">
        <v>55.655999999999999</v>
      </c>
      <c r="AA110">
        <v>56.774000000000001</v>
      </c>
      <c r="AB110">
        <v>56.667000000000002</v>
      </c>
      <c r="AC110">
        <v>58.97</v>
      </c>
      <c r="AD110">
        <v>59.292000000000002</v>
      </c>
      <c r="AE110">
        <v>60.555</v>
      </c>
      <c r="AF110">
        <v>60.780999999999999</v>
      </c>
      <c r="AG110">
        <v>62.491999999999997</v>
      </c>
      <c r="AH110">
        <v>63.075000000000003</v>
      </c>
      <c r="AI110">
        <v>58.194000000000003</v>
      </c>
      <c r="AJ110">
        <v>55.534999999999997</v>
      </c>
      <c r="AK110">
        <v>63.286000000000001</v>
      </c>
      <c r="AL110">
        <v>66.13</v>
      </c>
      <c r="AM110">
        <v>65.813000000000002</v>
      </c>
      <c r="AN110">
        <v>65.444999999999993</v>
      </c>
    </row>
    <row r="111" spans="1:40" x14ac:dyDescent="0.25">
      <c r="A111" t="s">
        <v>227</v>
      </c>
      <c r="B111" t="s">
        <v>228</v>
      </c>
      <c r="C111" t="s">
        <v>6</v>
      </c>
      <c r="D111">
        <v>0</v>
      </c>
      <c r="E111">
        <v>80.296000000000006</v>
      </c>
      <c r="F111">
        <v>79.823999999999998</v>
      </c>
      <c r="G111">
        <v>80.03</v>
      </c>
      <c r="H111">
        <v>80.12</v>
      </c>
      <c r="I111">
        <v>79.381</v>
      </c>
      <c r="J111">
        <v>79.801000000000002</v>
      </c>
      <c r="K111">
        <v>78.900999999999996</v>
      </c>
      <c r="L111">
        <v>79.009</v>
      </c>
      <c r="M111">
        <v>78.477000000000004</v>
      </c>
      <c r="N111">
        <v>78.358000000000004</v>
      </c>
      <c r="O111">
        <v>78.177999999999997</v>
      </c>
      <c r="P111">
        <v>77.629000000000005</v>
      </c>
      <c r="Q111">
        <v>77.043000000000006</v>
      </c>
      <c r="R111">
        <v>76.744</v>
      </c>
      <c r="S111">
        <v>76.435000000000002</v>
      </c>
      <c r="T111">
        <v>76.106999999999999</v>
      </c>
      <c r="U111">
        <v>75.763999999999996</v>
      </c>
      <c r="V111">
        <v>75.423000000000002</v>
      </c>
      <c r="W111">
        <v>75.084000000000003</v>
      </c>
      <c r="X111">
        <v>74.421000000000006</v>
      </c>
      <c r="Y111">
        <v>73.756</v>
      </c>
      <c r="Z111">
        <v>73.244</v>
      </c>
      <c r="AA111">
        <v>72.465000000000003</v>
      </c>
      <c r="AB111">
        <v>71.87</v>
      </c>
      <c r="AC111">
        <v>71.272999999999996</v>
      </c>
      <c r="AD111">
        <v>70.471999999999994</v>
      </c>
      <c r="AE111">
        <v>69.688000000000002</v>
      </c>
      <c r="AF111">
        <v>68.393000000000001</v>
      </c>
      <c r="AG111">
        <v>69.248000000000005</v>
      </c>
      <c r="AH111">
        <v>70.117999999999995</v>
      </c>
      <c r="AI111">
        <v>68.192999999999998</v>
      </c>
      <c r="AJ111">
        <v>69.716999999999999</v>
      </c>
      <c r="AK111">
        <v>68.840999999999994</v>
      </c>
      <c r="AL111">
        <v>68.622</v>
      </c>
      <c r="AM111">
        <v>68.290999999999997</v>
      </c>
      <c r="AN111">
        <v>68.058999999999997</v>
      </c>
    </row>
    <row r="112" spans="1:40" x14ac:dyDescent="0.25">
      <c r="A112" t="s">
        <v>229</v>
      </c>
      <c r="B112" t="s">
        <v>230</v>
      </c>
      <c r="C112" t="s">
        <v>14</v>
      </c>
      <c r="D112">
        <v>0</v>
      </c>
      <c r="E112">
        <v>80.989000000000004</v>
      </c>
      <c r="F112">
        <v>80.956000000000003</v>
      </c>
      <c r="G112">
        <v>80.92</v>
      </c>
      <c r="H112">
        <v>80.850999999999999</v>
      </c>
      <c r="I112">
        <v>80.741</v>
      </c>
      <c r="J112">
        <v>80.614999999999995</v>
      </c>
      <c r="K112">
        <v>80.507000000000005</v>
      </c>
      <c r="L112">
        <v>80.478999999999999</v>
      </c>
      <c r="M112">
        <v>81.097999999999999</v>
      </c>
      <c r="N112">
        <v>81.703000000000003</v>
      </c>
      <c r="O112">
        <v>82.293000000000006</v>
      </c>
      <c r="P112">
        <v>82.869</v>
      </c>
      <c r="Q112">
        <v>83.433000000000007</v>
      </c>
      <c r="R112">
        <v>83.983999999999995</v>
      </c>
      <c r="S112">
        <v>83.665999999999997</v>
      </c>
      <c r="T112">
        <v>83.346999999999994</v>
      </c>
      <c r="U112">
        <v>83.027000000000001</v>
      </c>
      <c r="V112">
        <v>82.706000000000003</v>
      </c>
      <c r="W112">
        <v>82.382999999999996</v>
      </c>
      <c r="X112">
        <v>82.058999999999997</v>
      </c>
      <c r="Y112">
        <v>81.733999999999995</v>
      </c>
      <c r="Z112">
        <v>81.409000000000006</v>
      </c>
      <c r="AA112">
        <v>81.081999999999994</v>
      </c>
      <c r="AB112">
        <v>80.754000000000005</v>
      </c>
      <c r="AC112">
        <v>80.424999999999997</v>
      </c>
      <c r="AD112">
        <v>80.093999999999994</v>
      </c>
      <c r="AE112">
        <v>80.135000000000005</v>
      </c>
      <c r="AF112">
        <v>80.168000000000006</v>
      </c>
      <c r="AG112">
        <v>80.207999999999998</v>
      </c>
      <c r="AH112">
        <v>80.257999999999996</v>
      </c>
      <c r="AI112">
        <v>79.594999999999999</v>
      </c>
      <c r="AJ112">
        <v>79.528999999999996</v>
      </c>
      <c r="AK112">
        <v>80.64</v>
      </c>
      <c r="AL112">
        <v>80.543999999999997</v>
      </c>
      <c r="AM112">
        <v>80.55</v>
      </c>
      <c r="AN112">
        <v>80.518000000000001</v>
      </c>
    </row>
    <row r="113" spans="1:40" x14ac:dyDescent="0.25">
      <c r="A113" t="s">
        <v>231</v>
      </c>
      <c r="B113" t="s">
        <v>232</v>
      </c>
      <c r="C113" t="s">
        <v>22</v>
      </c>
      <c r="D113">
        <v>0</v>
      </c>
      <c r="E113">
        <v>76.97</v>
      </c>
      <c r="F113">
        <v>76.888000000000005</v>
      </c>
      <c r="G113">
        <v>77.188999999999993</v>
      </c>
      <c r="H113">
        <v>77.355000000000004</v>
      </c>
      <c r="I113">
        <v>77.561000000000007</v>
      </c>
      <c r="J113">
        <v>77.741</v>
      </c>
      <c r="K113">
        <v>77.900000000000006</v>
      </c>
      <c r="L113">
        <v>78.03</v>
      </c>
      <c r="M113">
        <v>78.161000000000001</v>
      </c>
      <c r="N113">
        <v>78.409000000000006</v>
      </c>
      <c r="O113">
        <v>78.688999999999993</v>
      </c>
      <c r="P113">
        <v>78.89</v>
      </c>
      <c r="Q113">
        <v>79.072999999999993</v>
      </c>
      <c r="R113">
        <v>79.245999999999995</v>
      </c>
      <c r="S113">
        <v>79.375</v>
      </c>
      <c r="T113">
        <v>79.462000000000003</v>
      </c>
      <c r="U113">
        <v>79.507000000000005</v>
      </c>
      <c r="V113">
        <v>79.513000000000005</v>
      </c>
      <c r="W113">
        <v>79.483000000000004</v>
      </c>
      <c r="X113">
        <v>79.427000000000007</v>
      </c>
      <c r="Y113">
        <v>79.361999999999995</v>
      </c>
      <c r="Z113">
        <v>79.319999999999993</v>
      </c>
      <c r="AA113">
        <v>79.251000000000005</v>
      </c>
      <c r="AB113">
        <v>79.156999999999996</v>
      </c>
      <c r="AC113">
        <v>79.051000000000002</v>
      </c>
      <c r="AD113">
        <v>78.950999999999993</v>
      </c>
      <c r="AE113">
        <v>77.864000000000004</v>
      </c>
      <c r="AF113">
        <v>76.736000000000004</v>
      </c>
      <c r="AG113">
        <v>76.629000000000005</v>
      </c>
      <c r="AH113">
        <v>75.070999999999998</v>
      </c>
      <c r="AI113">
        <v>75.972999999999999</v>
      </c>
      <c r="AJ113">
        <v>69.715999999999994</v>
      </c>
      <c r="AK113">
        <v>69.754999999999995</v>
      </c>
      <c r="AL113">
        <v>69.736000000000004</v>
      </c>
      <c r="AM113">
        <v>69.713999999999999</v>
      </c>
      <c r="AN113">
        <v>69.66</v>
      </c>
    </row>
    <row r="114" spans="1:40" x14ac:dyDescent="0.25">
      <c r="A114" t="s">
        <v>233</v>
      </c>
      <c r="B114" t="s">
        <v>234</v>
      </c>
      <c r="C114" t="s">
        <v>14</v>
      </c>
      <c r="D114">
        <v>0</v>
      </c>
      <c r="E114">
        <v>62.805999999999997</v>
      </c>
      <c r="F114">
        <v>62.728000000000002</v>
      </c>
      <c r="G114">
        <v>62.706000000000003</v>
      </c>
      <c r="H114">
        <v>62.686999999999998</v>
      </c>
      <c r="I114">
        <v>62.664000000000001</v>
      </c>
      <c r="J114">
        <v>62.061999999999998</v>
      </c>
      <c r="K114">
        <v>61.454999999999998</v>
      </c>
      <c r="L114">
        <v>60.844999999999999</v>
      </c>
      <c r="M114">
        <v>61.143999999999998</v>
      </c>
      <c r="N114">
        <v>61.444000000000003</v>
      </c>
      <c r="O114">
        <v>61.741999999999997</v>
      </c>
      <c r="P114">
        <v>61.801000000000002</v>
      </c>
      <c r="Q114">
        <v>61.857999999999997</v>
      </c>
      <c r="R114">
        <v>61.912999999999997</v>
      </c>
      <c r="S114">
        <v>61.969000000000001</v>
      </c>
      <c r="T114">
        <v>62.026000000000003</v>
      </c>
      <c r="U114">
        <v>62.082000000000001</v>
      </c>
      <c r="V114">
        <v>62.14</v>
      </c>
      <c r="W114">
        <v>62.198999999999998</v>
      </c>
      <c r="X114">
        <v>62.256999999999998</v>
      </c>
      <c r="Y114">
        <v>62.314</v>
      </c>
      <c r="Z114">
        <v>62.372</v>
      </c>
      <c r="AA114">
        <v>62.424999999999997</v>
      </c>
      <c r="AB114">
        <v>65.144000000000005</v>
      </c>
      <c r="AC114">
        <v>64.796999999999997</v>
      </c>
      <c r="AD114">
        <v>65.328000000000003</v>
      </c>
      <c r="AE114">
        <v>65.855999999999995</v>
      </c>
      <c r="AF114">
        <v>64.27</v>
      </c>
      <c r="AG114">
        <v>62.662999999999997</v>
      </c>
      <c r="AH114">
        <v>62.816000000000003</v>
      </c>
      <c r="AI114">
        <v>59.786999999999999</v>
      </c>
      <c r="AJ114">
        <v>60.104999999999997</v>
      </c>
      <c r="AK114">
        <v>63.38</v>
      </c>
      <c r="AL114">
        <v>63.258000000000003</v>
      </c>
      <c r="AM114">
        <v>63.113999999999997</v>
      </c>
      <c r="AN114">
        <v>63.040999999999997</v>
      </c>
    </row>
    <row r="115" spans="1:40" x14ac:dyDescent="0.25">
      <c r="A115" t="s">
        <v>235</v>
      </c>
      <c r="B115" t="s">
        <v>236</v>
      </c>
      <c r="C115" t="s">
        <v>22</v>
      </c>
      <c r="D115">
        <v>0</v>
      </c>
      <c r="E115">
        <v>62.040999999999997</v>
      </c>
      <c r="F115">
        <v>61.947000000000003</v>
      </c>
      <c r="G115">
        <v>61.86</v>
      </c>
      <c r="H115">
        <v>61.817</v>
      </c>
      <c r="I115">
        <v>61.802</v>
      </c>
      <c r="J115">
        <v>61.808</v>
      </c>
      <c r="K115">
        <v>61.825000000000003</v>
      </c>
      <c r="L115">
        <v>61.801000000000002</v>
      </c>
      <c r="M115">
        <v>61.725999999999999</v>
      </c>
      <c r="N115">
        <v>61.621000000000002</v>
      </c>
      <c r="O115">
        <v>61.505000000000003</v>
      </c>
      <c r="P115">
        <v>61.366</v>
      </c>
      <c r="Q115">
        <v>61.225000000000001</v>
      </c>
      <c r="R115">
        <v>61.088999999999999</v>
      </c>
      <c r="S115">
        <v>60.939</v>
      </c>
      <c r="T115">
        <v>60.716999999999999</v>
      </c>
      <c r="U115">
        <v>60.402999999999999</v>
      </c>
      <c r="V115">
        <v>60.036000000000001</v>
      </c>
      <c r="W115">
        <v>59.601999999999997</v>
      </c>
      <c r="X115">
        <v>59.112000000000002</v>
      </c>
      <c r="Y115">
        <v>58.587000000000003</v>
      </c>
      <c r="Z115">
        <v>57.972000000000001</v>
      </c>
      <c r="AA115">
        <v>57.281999999999996</v>
      </c>
      <c r="AB115">
        <v>56.578000000000003</v>
      </c>
      <c r="AC115">
        <v>55.884999999999998</v>
      </c>
      <c r="AD115">
        <v>55.24</v>
      </c>
      <c r="AE115">
        <v>54.67</v>
      </c>
      <c r="AF115">
        <v>54.2</v>
      </c>
      <c r="AG115">
        <v>53.83</v>
      </c>
      <c r="AH115">
        <v>53.911999999999999</v>
      </c>
      <c r="AI115">
        <v>53.268999999999998</v>
      </c>
      <c r="AJ115">
        <v>53.344000000000001</v>
      </c>
      <c r="AK115">
        <v>53.201000000000001</v>
      </c>
      <c r="AL115">
        <v>53.168999999999997</v>
      </c>
      <c r="AM115">
        <v>53.066000000000003</v>
      </c>
      <c r="AN115">
        <v>52.902000000000001</v>
      </c>
    </row>
    <row r="116" spans="1:40" x14ac:dyDescent="0.25">
      <c r="A116" t="s">
        <v>237</v>
      </c>
      <c r="B116" t="s">
        <v>238</v>
      </c>
      <c r="C116" t="s">
        <v>9</v>
      </c>
      <c r="D116">
        <v>0</v>
      </c>
      <c r="E116">
        <v>78.016999999999996</v>
      </c>
      <c r="F116">
        <v>77.974999999999994</v>
      </c>
      <c r="G116">
        <v>77.802000000000007</v>
      </c>
      <c r="H116">
        <v>77.715999999999994</v>
      </c>
      <c r="I116">
        <v>77.623000000000005</v>
      </c>
      <c r="J116">
        <v>77.647000000000006</v>
      </c>
      <c r="K116">
        <v>77.540999999999997</v>
      </c>
      <c r="L116">
        <v>77.432000000000002</v>
      </c>
      <c r="M116">
        <v>77.334999999999994</v>
      </c>
      <c r="N116">
        <v>77.186000000000007</v>
      </c>
      <c r="O116">
        <v>77.031999999999996</v>
      </c>
      <c r="P116">
        <v>76.709999999999994</v>
      </c>
      <c r="Q116">
        <v>76.227999999999994</v>
      </c>
      <c r="R116">
        <v>75.742000000000004</v>
      </c>
      <c r="S116">
        <v>75.406000000000006</v>
      </c>
      <c r="T116">
        <v>75.210999999999999</v>
      </c>
      <c r="U116">
        <v>74.891999999999996</v>
      </c>
      <c r="V116">
        <v>74.688000000000002</v>
      </c>
      <c r="W116">
        <v>74.358000000000004</v>
      </c>
      <c r="X116">
        <v>73.768000000000001</v>
      </c>
      <c r="Y116">
        <v>72.971999999999994</v>
      </c>
      <c r="Z116">
        <v>72.462999999999994</v>
      </c>
      <c r="AA116">
        <v>72.695999999999998</v>
      </c>
      <c r="AB116">
        <v>72.647000000000006</v>
      </c>
      <c r="AC116">
        <v>72.260000000000005</v>
      </c>
      <c r="AD116">
        <v>72.373999999999995</v>
      </c>
      <c r="AE116">
        <v>71.926000000000002</v>
      </c>
      <c r="AF116">
        <v>71.53</v>
      </c>
      <c r="AG116">
        <v>71.784000000000006</v>
      </c>
      <c r="AH116">
        <v>71.903999999999996</v>
      </c>
      <c r="AI116">
        <v>71.444000000000003</v>
      </c>
      <c r="AJ116">
        <v>71.296000000000006</v>
      </c>
      <c r="AK116">
        <v>72.012</v>
      </c>
      <c r="AL116">
        <v>72.477999999999994</v>
      </c>
      <c r="AM116">
        <v>72.150999999999996</v>
      </c>
      <c r="AN116">
        <v>71.891999999999996</v>
      </c>
    </row>
    <row r="117" spans="1:40" x14ac:dyDescent="0.25">
      <c r="A117" t="s">
        <v>239</v>
      </c>
      <c r="B117" t="s">
        <v>240</v>
      </c>
      <c r="C117" t="s">
        <v>22</v>
      </c>
      <c r="D117">
        <v>0</v>
      </c>
      <c r="E117">
        <v>74.171999999999997</v>
      </c>
      <c r="F117">
        <v>73.728999999999999</v>
      </c>
      <c r="G117">
        <v>73.039000000000001</v>
      </c>
      <c r="H117">
        <v>72.977000000000004</v>
      </c>
      <c r="I117">
        <v>73.453999999999994</v>
      </c>
      <c r="J117">
        <v>73.936000000000007</v>
      </c>
      <c r="K117">
        <v>74.265000000000001</v>
      </c>
      <c r="L117">
        <v>74.084000000000003</v>
      </c>
      <c r="M117">
        <v>73.332999999999998</v>
      </c>
      <c r="N117">
        <v>73.186999999999998</v>
      </c>
      <c r="O117">
        <v>73.331999999999994</v>
      </c>
      <c r="P117">
        <v>73.588999999999999</v>
      </c>
      <c r="Q117">
        <v>74.295000000000002</v>
      </c>
      <c r="R117">
        <v>73.521000000000001</v>
      </c>
      <c r="S117">
        <v>74.239999999999995</v>
      </c>
      <c r="T117">
        <v>74.775000000000006</v>
      </c>
      <c r="U117">
        <v>75.317999999999998</v>
      </c>
      <c r="V117">
        <v>75.353999999999999</v>
      </c>
      <c r="W117">
        <v>74.947999999999993</v>
      </c>
      <c r="X117">
        <v>74.417000000000002</v>
      </c>
      <c r="Y117">
        <v>74.134</v>
      </c>
      <c r="Z117">
        <v>74.364000000000004</v>
      </c>
      <c r="AA117">
        <v>73.662000000000006</v>
      </c>
      <c r="AB117">
        <v>73.268000000000001</v>
      </c>
      <c r="AC117">
        <v>74.126000000000005</v>
      </c>
      <c r="AD117">
        <v>74.233000000000004</v>
      </c>
      <c r="AE117">
        <v>75.289000000000001</v>
      </c>
      <c r="AF117">
        <v>76.248000000000005</v>
      </c>
      <c r="AG117">
        <v>75.974000000000004</v>
      </c>
      <c r="AH117">
        <v>75.19</v>
      </c>
      <c r="AI117">
        <v>75.194000000000003</v>
      </c>
      <c r="AJ117">
        <v>75.343000000000004</v>
      </c>
      <c r="AK117">
        <v>75.626999999999995</v>
      </c>
      <c r="AL117">
        <v>76.215000000000003</v>
      </c>
      <c r="AM117">
        <v>74.968000000000004</v>
      </c>
      <c r="AN117">
        <v>74.739000000000004</v>
      </c>
    </row>
    <row r="118" spans="1:40" x14ac:dyDescent="0.25">
      <c r="A118" t="s">
        <v>241</v>
      </c>
      <c r="B118" t="s">
        <v>242</v>
      </c>
      <c r="C118" t="s">
        <v>17</v>
      </c>
      <c r="D118">
        <v>0</v>
      </c>
      <c r="E118">
        <v>85.096999999999994</v>
      </c>
      <c r="F118">
        <v>84.975999999999999</v>
      </c>
      <c r="G118">
        <v>84.838999999999999</v>
      </c>
      <c r="H118">
        <v>84.688999999999993</v>
      </c>
      <c r="I118">
        <v>84.537000000000006</v>
      </c>
      <c r="J118">
        <v>84.379000000000005</v>
      </c>
      <c r="K118">
        <v>85.135000000000005</v>
      </c>
      <c r="L118">
        <v>85.884</v>
      </c>
      <c r="M118">
        <v>86.62</v>
      </c>
      <c r="N118">
        <v>86.447000000000003</v>
      </c>
      <c r="O118">
        <v>86.272999999999996</v>
      </c>
      <c r="P118">
        <v>86.093999999999994</v>
      </c>
      <c r="Q118">
        <v>85.909000000000006</v>
      </c>
      <c r="R118">
        <v>85.716999999999999</v>
      </c>
      <c r="S118">
        <v>85.518000000000001</v>
      </c>
      <c r="T118">
        <v>85.311000000000007</v>
      </c>
      <c r="U118">
        <v>85.096999999999994</v>
      </c>
      <c r="V118">
        <v>84.876000000000005</v>
      </c>
      <c r="W118">
        <v>84.646000000000001</v>
      </c>
      <c r="X118">
        <v>84.409000000000006</v>
      </c>
      <c r="Y118">
        <v>84.165999999999997</v>
      </c>
      <c r="Z118">
        <v>83.918000000000006</v>
      </c>
      <c r="AA118">
        <v>83.665999999999997</v>
      </c>
      <c r="AB118">
        <v>83.41</v>
      </c>
      <c r="AC118">
        <v>83.15</v>
      </c>
      <c r="AD118">
        <v>82.960999999999999</v>
      </c>
      <c r="AE118">
        <v>82.775999999999996</v>
      </c>
      <c r="AF118">
        <v>82.594999999999999</v>
      </c>
      <c r="AG118">
        <v>82.494</v>
      </c>
      <c r="AH118">
        <v>82.382999999999996</v>
      </c>
      <c r="AI118">
        <v>81.622</v>
      </c>
      <c r="AJ118">
        <v>82.45</v>
      </c>
      <c r="AK118">
        <v>82.096000000000004</v>
      </c>
      <c r="AL118">
        <v>81.974000000000004</v>
      </c>
      <c r="AM118">
        <v>81.873000000000005</v>
      </c>
      <c r="AN118">
        <v>81.757999999999996</v>
      </c>
    </row>
    <row r="119" spans="1:40" x14ac:dyDescent="0.25">
      <c r="A119" t="s">
        <v>243</v>
      </c>
      <c r="B119" t="s">
        <v>244</v>
      </c>
      <c r="C119" t="s">
        <v>14</v>
      </c>
      <c r="D119">
        <v>0</v>
      </c>
      <c r="E119">
        <v>88.814999999999998</v>
      </c>
      <c r="F119">
        <v>88.759</v>
      </c>
      <c r="G119">
        <v>88.712000000000003</v>
      </c>
      <c r="H119">
        <v>88.67</v>
      </c>
      <c r="I119">
        <v>88.635000000000005</v>
      </c>
      <c r="J119">
        <v>88.61</v>
      </c>
      <c r="K119">
        <v>88.617000000000004</v>
      </c>
      <c r="L119">
        <v>88.673000000000002</v>
      </c>
      <c r="M119">
        <v>88.753</v>
      </c>
      <c r="N119">
        <v>88.855000000000004</v>
      </c>
      <c r="O119">
        <v>88.971999999999994</v>
      </c>
      <c r="P119">
        <v>89.099000000000004</v>
      </c>
      <c r="Q119">
        <v>89.236000000000004</v>
      </c>
      <c r="R119">
        <v>89.379000000000005</v>
      </c>
      <c r="S119">
        <v>89.527000000000001</v>
      </c>
      <c r="T119">
        <v>89.671000000000006</v>
      </c>
      <c r="U119">
        <v>89.808000000000007</v>
      </c>
      <c r="V119">
        <v>89.933000000000007</v>
      </c>
      <c r="W119">
        <v>90.043999999999997</v>
      </c>
      <c r="X119">
        <v>90.137</v>
      </c>
      <c r="Y119">
        <v>90.204999999999998</v>
      </c>
      <c r="Z119">
        <v>90.244</v>
      </c>
      <c r="AA119">
        <v>88.608000000000004</v>
      </c>
      <c r="AB119">
        <v>86.781999999999996</v>
      </c>
      <c r="AC119">
        <v>84.757999999999996</v>
      </c>
      <c r="AD119">
        <v>84.671000000000006</v>
      </c>
      <c r="AE119">
        <v>84.584999999999994</v>
      </c>
      <c r="AF119">
        <v>84.497</v>
      </c>
      <c r="AG119">
        <v>84.408000000000001</v>
      </c>
      <c r="AH119">
        <v>84.317999999999998</v>
      </c>
      <c r="AI119">
        <v>84.325000000000003</v>
      </c>
      <c r="AJ119">
        <v>84.986000000000004</v>
      </c>
      <c r="AK119">
        <v>86.417000000000002</v>
      </c>
      <c r="AL119">
        <v>86.417000000000002</v>
      </c>
      <c r="AM119">
        <v>86.14</v>
      </c>
      <c r="AN119">
        <v>86.504000000000005</v>
      </c>
    </row>
    <row r="120" spans="1:40" x14ac:dyDescent="0.25">
      <c r="A120" t="s">
        <v>245</v>
      </c>
      <c r="B120" t="s">
        <v>246</v>
      </c>
      <c r="C120" t="s">
        <v>14</v>
      </c>
      <c r="D120">
        <v>0</v>
      </c>
      <c r="E120">
        <v>89.185000000000002</v>
      </c>
      <c r="F120">
        <v>89.596999999999994</v>
      </c>
      <c r="G120">
        <v>89.972999999999999</v>
      </c>
      <c r="H120">
        <v>90.259</v>
      </c>
      <c r="I120">
        <v>90.546999999999997</v>
      </c>
      <c r="J120">
        <v>90.626000000000005</v>
      </c>
      <c r="K120">
        <v>90.376999999999995</v>
      </c>
      <c r="L120">
        <v>90.111999999999995</v>
      </c>
      <c r="M120">
        <v>89.905000000000001</v>
      </c>
      <c r="N120">
        <v>89.680999999999997</v>
      </c>
      <c r="O120">
        <v>89.278000000000006</v>
      </c>
      <c r="P120">
        <v>89.042000000000002</v>
      </c>
      <c r="Q120">
        <v>88.564999999999998</v>
      </c>
      <c r="R120">
        <v>88.257999999999996</v>
      </c>
      <c r="S120">
        <v>87.915000000000006</v>
      </c>
      <c r="T120">
        <v>87.616</v>
      </c>
      <c r="U120">
        <v>87.215999999999994</v>
      </c>
      <c r="V120">
        <v>86.896000000000001</v>
      </c>
      <c r="W120">
        <v>86.631</v>
      </c>
      <c r="X120">
        <v>86.578000000000003</v>
      </c>
      <c r="Y120">
        <v>86.194999999999993</v>
      </c>
      <c r="Z120">
        <v>86.281999999999996</v>
      </c>
      <c r="AA120">
        <v>86.165999999999997</v>
      </c>
      <c r="AB120">
        <v>85.89</v>
      </c>
      <c r="AC120">
        <v>85.828999999999994</v>
      </c>
      <c r="AD120">
        <v>85.781999999999996</v>
      </c>
      <c r="AE120">
        <v>85.748000000000005</v>
      </c>
      <c r="AF120">
        <v>85.569000000000003</v>
      </c>
      <c r="AG120">
        <v>85.497</v>
      </c>
      <c r="AH120">
        <v>85.344999999999999</v>
      </c>
      <c r="AI120">
        <v>83.67</v>
      </c>
      <c r="AJ120">
        <v>84.326999999999998</v>
      </c>
      <c r="AK120">
        <v>85.537000000000006</v>
      </c>
      <c r="AL120">
        <v>84.391000000000005</v>
      </c>
      <c r="AM120">
        <v>84.385000000000005</v>
      </c>
      <c r="AN120">
        <v>84.296999999999997</v>
      </c>
    </row>
    <row r="121" spans="1:40" x14ac:dyDescent="0.25">
      <c r="A121" t="s">
        <v>247</v>
      </c>
      <c r="B121" t="s">
        <v>248</v>
      </c>
      <c r="C121" t="s">
        <v>9</v>
      </c>
      <c r="D121">
        <v>0</v>
      </c>
      <c r="E121">
        <v>67.718000000000004</v>
      </c>
      <c r="F121">
        <v>67.966999999999999</v>
      </c>
      <c r="G121">
        <v>67.757999999999996</v>
      </c>
      <c r="H121">
        <v>67.55</v>
      </c>
      <c r="I121">
        <v>67.304000000000002</v>
      </c>
      <c r="J121">
        <v>67.087000000000003</v>
      </c>
      <c r="K121">
        <v>66.950999999999993</v>
      </c>
      <c r="L121">
        <v>67.177000000000007</v>
      </c>
      <c r="M121">
        <v>66.58</v>
      </c>
      <c r="N121">
        <v>65.980999999999995</v>
      </c>
      <c r="O121">
        <v>65.564999999999998</v>
      </c>
      <c r="P121">
        <v>65.516000000000005</v>
      </c>
      <c r="Q121">
        <v>65.430999999999997</v>
      </c>
      <c r="R121">
        <v>65.301000000000002</v>
      </c>
      <c r="S121">
        <v>64.998000000000005</v>
      </c>
      <c r="T121">
        <v>64.718000000000004</v>
      </c>
      <c r="U121">
        <v>65.744</v>
      </c>
      <c r="V121">
        <v>66.617999999999995</v>
      </c>
      <c r="W121">
        <v>67.915999999999997</v>
      </c>
      <c r="X121">
        <v>68.021000000000001</v>
      </c>
      <c r="Y121">
        <v>66.471000000000004</v>
      </c>
      <c r="Z121">
        <v>66.977000000000004</v>
      </c>
      <c r="AA121">
        <v>66.867999999999995</v>
      </c>
      <c r="AB121">
        <v>66.456000000000003</v>
      </c>
      <c r="AC121">
        <v>66.936999999999998</v>
      </c>
      <c r="AD121">
        <v>66.418000000000006</v>
      </c>
      <c r="AE121">
        <v>66.537999999999997</v>
      </c>
      <c r="AF121">
        <v>65.840999999999994</v>
      </c>
      <c r="AG121">
        <v>65.082999999999998</v>
      </c>
      <c r="AH121">
        <v>63.896999999999998</v>
      </c>
      <c r="AI121">
        <v>63.106999999999999</v>
      </c>
      <c r="AJ121">
        <v>63.12</v>
      </c>
      <c r="AK121">
        <v>64.48</v>
      </c>
      <c r="AL121">
        <v>62.095999999999997</v>
      </c>
      <c r="AM121">
        <v>62.244</v>
      </c>
      <c r="AN121">
        <v>61.838000000000001</v>
      </c>
    </row>
    <row r="122" spans="1:40" x14ac:dyDescent="0.25">
      <c r="A122" t="s">
        <v>249</v>
      </c>
      <c r="B122" t="s">
        <v>250</v>
      </c>
      <c r="C122" t="s">
        <v>9</v>
      </c>
      <c r="D122">
        <v>0</v>
      </c>
      <c r="E122">
        <v>70.677000000000007</v>
      </c>
      <c r="F122">
        <v>70.855999999999995</v>
      </c>
      <c r="G122">
        <v>71.185000000000002</v>
      </c>
      <c r="H122">
        <v>71.448999999999998</v>
      </c>
      <c r="I122">
        <v>71.587999999999994</v>
      </c>
      <c r="J122">
        <v>72.025999999999996</v>
      </c>
      <c r="K122">
        <v>72.12</v>
      </c>
      <c r="L122">
        <v>72.430000000000007</v>
      </c>
      <c r="M122">
        <v>72.602999999999994</v>
      </c>
      <c r="N122">
        <v>72.436000000000007</v>
      </c>
      <c r="O122">
        <v>72.512</v>
      </c>
      <c r="P122">
        <v>72.691999999999993</v>
      </c>
      <c r="Q122">
        <v>72.521000000000001</v>
      </c>
      <c r="R122">
        <v>72.381</v>
      </c>
      <c r="S122">
        <v>72.346000000000004</v>
      </c>
      <c r="T122">
        <v>72.646000000000001</v>
      </c>
      <c r="U122">
        <v>72.454999999999998</v>
      </c>
      <c r="V122">
        <v>72.438999999999993</v>
      </c>
      <c r="W122">
        <v>72.372</v>
      </c>
      <c r="X122">
        <v>71.783000000000001</v>
      </c>
      <c r="Y122">
        <v>70.933999999999997</v>
      </c>
      <c r="Z122">
        <v>70.546999999999997</v>
      </c>
      <c r="AA122">
        <v>70.619</v>
      </c>
      <c r="AB122">
        <v>70.293999999999997</v>
      </c>
      <c r="AC122">
        <v>69.927000000000007</v>
      </c>
      <c r="AD122">
        <v>69.900999999999996</v>
      </c>
      <c r="AE122">
        <v>69.406999999999996</v>
      </c>
      <c r="AF122">
        <v>68.656999999999996</v>
      </c>
      <c r="AG122">
        <v>69.167000000000002</v>
      </c>
      <c r="AH122">
        <v>69.200999999999993</v>
      </c>
      <c r="AI122">
        <v>68.843999999999994</v>
      </c>
      <c r="AJ122">
        <v>69.14</v>
      </c>
      <c r="AK122">
        <v>69.537999999999997</v>
      </c>
      <c r="AL122">
        <v>69.489000000000004</v>
      </c>
      <c r="AM122">
        <v>69.344999999999999</v>
      </c>
      <c r="AN122">
        <v>69.093000000000004</v>
      </c>
    </row>
    <row r="123" spans="1:40" x14ac:dyDescent="0.25">
      <c r="A123" t="s">
        <v>251</v>
      </c>
      <c r="B123" t="s">
        <v>252</v>
      </c>
      <c r="C123" t="s">
        <v>6</v>
      </c>
      <c r="D123">
        <v>0</v>
      </c>
      <c r="E123">
        <v>76.974000000000004</v>
      </c>
      <c r="F123">
        <v>77.417000000000002</v>
      </c>
      <c r="G123">
        <v>77.741</v>
      </c>
      <c r="H123">
        <v>78.11</v>
      </c>
      <c r="I123">
        <v>78.085999999999999</v>
      </c>
      <c r="J123">
        <v>77.578000000000003</v>
      </c>
      <c r="K123">
        <v>77.161000000000001</v>
      </c>
      <c r="L123">
        <v>76.638000000000005</v>
      </c>
      <c r="M123">
        <v>76.466999999999999</v>
      </c>
      <c r="N123">
        <v>76.349999999999994</v>
      </c>
      <c r="O123">
        <v>76.034999999999997</v>
      </c>
      <c r="P123">
        <v>75.900999999999996</v>
      </c>
      <c r="Q123">
        <v>76.153999999999996</v>
      </c>
      <c r="R123">
        <v>76.557000000000002</v>
      </c>
      <c r="S123">
        <v>76.831000000000003</v>
      </c>
      <c r="T123">
        <v>76.86</v>
      </c>
      <c r="U123">
        <v>77.122</v>
      </c>
      <c r="V123">
        <v>77.674999999999997</v>
      </c>
      <c r="W123">
        <v>78.478999999999999</v>
      </c>
      <c r="X123">
        <v>79.536000000000001</v>
      </c>
      <c r="Y123">
        <v>80.805999999999997</v>
      </c>
      <c r="Z123">
        <v>82.811999999999998</v>
      </c>
      <c r="AA123">
        <v>84.686000000000007</v>
      </c>
      <c r="AB123">
        <v>85.954999999999998</v>
      </c>
      <c r="AC123">
        <v>86.873000000000005</v>
      </c>
      <c r="AD123">
        <v>87.569000000000003</v>
      </c>
      <c r="AE123">
        <v>88.075000000000003</v>
      </c>
      <c r="AF123">
        <v>88.433000000000007</v>
      </c>
      <c r="AG123">
        <v>88.647999999999996</v>
      </c>
      <c r="AH123">
        <v>88.698999999999998</v>
      </c>
      <c r="AI123">
        <v>85.007999999999996</v>
      </c>
      <c r="AJ123">
        <v>85.426000000000002</v>
      </c>
      <c r="AK123">
        <v>88.14</v>
      </c>
      <c r="AL123">
        <v>88.06</v>
      </c>
      <c r="AM123">
        <v>88.06</v>
      </c>
      <c r="AN123">
        <v>88.096000000000004</v>
      </c>
    </row>
    <row r="124" spans="1:40" x14ac:dyDescent="0.25">
      <c r="A124" t="s">
        <v>253</v>
      </c>
      <c r="B124" t="s">
        <v>254</v>
      </c>
      <c r="C124" t="s">
        <v>6</v>
      </c>
      <c r="D124">
        <v>0</v>
      </c>
      <c r="E124">
        <v>84.027000000000001</v>
      </c>
      <c r="F124">
        <v>82.384</v>
      </c>
      <c r="G124">
        <v>82.542000000000002</v>
      </c>
      <c r="H124">
        <v>81.436000000000007</v>
      </c>
      <c r="I124">
        <v>81.167000000000002</v>
      </c>
      <c r="J124">
        <v>81.533000000000001</v>
      </c>
      <c r="K124">
        <v>82.239000000000004</v>
      </c>
      <c r="L124">
        <v>82.872</v>
      </c>
      <c r="M124">
        <v>82.334999999999994</v>
      </c>
      <c r="N124">
        <v>82.441999999999993</v>
      </c>
      <c r="O124">
        <v>82.504999999999995</v>
      </c>
      <c r="P124">
        <v>82.540999999999997</v>
      </c>
      <c r="Q124">
        <v>82.647000000000006</v>
      </c>
      <c r="R124">
        <v>82.3</v>
      </c>
      <c r="S124">
        <v>81.878</v>
      </c>
      <c r="T124">
        <v>80.701999999999998</v>
      </c>
      <c r="U124">
        <v>79.509</v>
      </c>
      <c r="V124">
        <v>79.257000000000005</v>
      </c>
      <c r="W124">
        <v>78.879000000000005</v>
      </c>
      <c r="X124">
        <v>78.736000000000004</v>
      </c>
      <c r="Y124">
        <v>78.671000000000006</v>
      </c>
      <c r="Z124">
        <v>78.087000000000003</v>
      </c>
      <c r="AA124">
        <v>78.507999999999996</v>
      </c>
      <c r="AB124">
        <v>78.923000000000002</v>
      </c>
      <c r="AC124">
        <v>77.866</v>
      </c>
      <c r="AD124">
        <v>78.942999999999998</v>
      </c>
      <c r="AE124">
        <v>79.072000000000003</v>
      </c>
      <c r="AF124">
        <v>79.186000000000007</v>
      </c>
      <c r="AG124">
        <v>79.287999999999997</v>
      </c>
      <c r="AH124">
        <v>78.887</v>
      </c>
      <c r="AI124">
        <v>78.736999999999995</v>
      </c>
      <c r="AJ124">
        <v>80.123000000000005</v>
      </c>
      <c r="AK124">
        <v>79.938999999999993</v>
      </c>
      <c r="AL124">
        <v>80.076999999999998</v>
      </c>
      <c r="AM124">
        <v>80.082999999999998</v>
      </c>
      <c r="AN124">
        <v>80.138999999999996</v>
      </c>
    </row>
    <row r="125" spans="1:40" x14ac:dyDescent="0.25">
      <c r="A125" t="s">
        <v>255</v>
      </c>
      <c r="B125" t="s">
        <v>256</v>
      </c>
      <c r="C125" t="s">
        <v>17</v>
      </c>
      <c r="D125">
        <v>0</v>
      </c>
      <c r="E125">
        <v>76.44</v>
      </c>
      <c r="F125">
        <v>77.89</v>
      </c>
      <c r="G125">
        <v>79.307000000000002</v>
      </c>
      <c r="H125">
        <v>80.641000000000005</v>
      </c>
      <c r="I125">
        <v>80.552000000000007</v>
      </c>
      <c r="J125">
        <v>81.206999999999994</v>
      </c>
      <c r="K125">
        <v>81.099999999999994</v>
      </c>
      <c r="L125">
        <v>80.94</v>
      </c>
      <c r="M125">
        <v>81.581000000000003</v>
      </c>
      <c r="N125">
        <v>81.353999999999999</v>
      </c>
      <c r="O125">
        <v>81.245999999999995</v>
      </c>
      <c r="P125">
        <v>81.123000000000005</v>
      </c>
      <c r="Q125">
        <v>80.984999999999999</v>
      </c>
      <c r="R125">
        <v>80.789000000000001</v>
      </c>
      <c r="S125">
        <v>81.652000000000001</v>
      </c>
      <c r="T125">
        <v>81.259</v>
      </c>
      <c r="U125">
        <v>80.768000000000001</v>
      </c>
      <c r="V125">
        <v>80.744</v>
      </c>
      <c r="W125">
        <v>82.893000000000001</v>
      </c>
      <c r="X125">
        <v>80.200999999999993</v>
      </c>
      <c r="Y125">
        <v>81.58</v>
      </c>
      <c r="Z125">
        <v>80.05</v>
      </c>
      <c r="AA125">
        <v>81.444000000000003</v>
      </c>
      <c r="AB125">
        <v>81.477000000000004</v>
      </c>
      <c r="AC125">
        <v>80.930999999999997</v>
      </c>
      <c r="AD125">
        <v>80.006</v>
      </c>
      <c r="AE125">
        <v>80.403000000000006</v>
      </c>
      <c r="AF125">
        <v>79.685000000000002</v>
      </c>
      <c r="AG125">
        <v>80.825000000000003</v>
      </c>
      <c r="AH125">
        <v>80.849999999999994</v>
      </c>
      <c r="AI125">
        <v>77.025999999999996</v>
      </c>
      <c r="AJ125">
        <v>76.929000000000002</v>
      </c>
      <c r="AK125">
        <v>80.73</v>
      </c>
      <c r="AL125">
        <v>77.802000000000007</v>
      </c>
      <c r="AM125">
        <v>77.998999999999995</v>
      </c>
      <c r="AN125">
        <v>77.864000000000004</v>
      </c>
    </row>
    <row r="126" spans="1:40" x14ac:dyDescent="0.25">
      <c r="A126" t="s">
        <v>257</v>
      </c>
      <c r="B126" t="s">
        <v>258</v>
      </c>
      <c r="C126" t="s">
        <v>22</v>
      </c>
      <c r="D126">
        <v>0</v>
      </c>
      <c r="E126">
        <v>49.023000000000003</v>
      </c>
      <c r="F126">
        <v>48.999000000000002</v>
      </c>
      <c r="G126">
        <v>48.936999999999998</v>
      </c>
      <c r="H126">
        <v>48.804000000000002</v>
      </c>
      <c r="I126">
        <v>48.777999999999999</v>
      </c>
      <c r="J126">
        <v>48.863</v>
      </c>
      <c r="K126">
        <v>48.82</v>
      </c>
      <c r="L126">
        <v>48.902999999999999</v>
      </c>
      <c r="M126">
        <v>48.966000000000001</v>
      </c>
      <c r="N126">
        <v>48.978000000000002</v>
      </c>
      <c r="O126">
        <v>49.012999999999998</v>
      </c>
      <c r="P126">
        <v>49.027999999999999</v>
      </c>
      <c r="Q126">
        <v>49.037999999999997</v>
      </c>
      <c r="R126">
        <v>49.04</v>
      </c>
      <c r="S126">
        <v>49.040999999999997</v>
      </c>
      <c r="T126">
        <v>49.034999999999997</v>
      </c>
      <c r="U126">
        <v>49.029000000000003</v>
      </c>
      <c r="V126">
        <v>49.011000000000003</v>
      </c>
      <c r="W126">
        <v>49.024999999999999</v>
      </c>
      <c r="X126">
        <v>49.01</v>
      </c>
      <c r="Y126">
        <v>48.970999999999997</v>
      </c>
      <c r="Z126">
        <v>49.369</v>
      </c>
      <c r="AA126">
        <v>49.743000000000002</v>
      </c>
      <c r="AB126">
        <v>50.121000000000002</v>
      </c>
      <c r="AC126">
        <v>50.414000000000001</v>
      </c>
      <c r="AD126">
        <v>50.755000000000003</v>
      </c>
      <c r="AE126">
        <v>51.103000000000002</v>
      </c>
      <c r="AF126">
        <v>51.472999999999999</v>
      </c>
      <c r="AG126">
        <v>51.892000000000003</v>
      </c>
      <c r="AH126">
        <v>52.249000000000002</v>
      </c>
      <c r="AI126">
        <v>52.134</v>
      </c>
      <c r="AJ126">
        <v>52.72</v>
      </c>
      <c r="AK126">
        <v>53.265000000000001</v>
      </c>
      <c r="AL126">
        <v>53.215000000000003</v>
      </c>
      <c r="AM126">
        <v>53.162999999999997</v>
      </c>
      <c r="AN126">
        <v>53.262</v>
      </c>
    </row>
    <row r="127" spans="1:40" x14ac:dyDescent="0.25">
      <c r="A127" t="s">
        <v>259</v>
      </c>
      <c r="B127" t="s">
        <v>260</v>
      </c>
      <c r="C127" t="s">
        <v>17</v>
      </c>
      <c r="D127">
        <v>0</v>
      </c>
      <c r="E127">
        <v>86.891000000000005</v>
      </c>
      <c r="F127">
        <v>87.15</v>
      </c>
      <c r="G127">
        <v>87.194999999999993</v>
      </c>
      <c r="H127">
        <v>87.427999999999997</v>
      </c>
      <c r="I127">
        <v>87.644000000000005</v>
      </c>
      <c r="J127">
        <v>87.936000000000007</v>
      </c>
      <c r="K127">
        <v>87.804000000000002</v>
      </c>
      <c r="L127">
        <v>87.849000000000004</v>
      </c>
      <c r="M127">
        <v>87.561000000000007</v>
      </c>
      <c r="N127">
        <v>87.134</v>
      </c>
      <c r="O127">
        <v>86.587000000000003</v>
      </c>
      <c r="P127">
        <v>86.119</v>
      </c>
      <c r="Q127">
        <v>85.694999999999993</v>
      </c>
      <c r="R127">
        <v>83.605999999999995</v>
      </c>
      <c r="S127">
        <v>85.796000000000006</v>
      </c>
      <c r="T127">
        <v>84.840999999999994</v>
      </c>
      <c r="U127">
        <v>83.033000000000001</v>
      </c>
      <c r="V127">
        <v>83.558000000000007</v>
      </c>
      <c r="W127">
        <v>84.796000000000006</v>
      </c>
      <c r="X127">
        <v>84.076999999999998</v>
      </c>
      <c r="Y127">
        <v>82.403000000000006</v>
      </c>
      <c r="Z127">
        <v>81.352999999999994</v>
      </c>
      <c r="AA127">
        <v>82.674999999999997</v>
      </c>
      <c r="AB127">
        <v>82.048000000000002</v>
      </c>
      <c r="AC127">
        <v>81.52</v>
      </c>
      <c r="AD127">
        <v>81.034000000000006</v>
      </c>
      <c r="AE127">
        <v>83.484999999999999</v>
      </c>
      <c r="AF127">
        <v>84.266999999999996</v>
      </c>
      <c r="AG127">
        <v>84.364000000000004</v>
      </c>
      <c r="AH127">
        <v>84.58</v>
      </c>
      <c r="AI127">
        <v>83.200999999999993</v>
      </c>
      <c r="AJ127">
        <v>84.075999999999993</v>
      </c>
      <c r="AK127">
        <v>82.277000000000001</v>
      </c>
      <c r="AL127">
        <v>82.623999999999995</v>
      </c>
      <c r="AM127">
        <v>81.715000000000003</v>
      </c>
      <c r="AN127">
        <v>81.606999999999999</v>
      </c>
    </row>
    <row r="128" spans="1:40" x14ac:dyDescent="0.25">
      <c r="A128" t="s">
        <v>261</v>
      </c>
      <c r="B128" t="s">
        <v>262</v>
      </c>
      <c r="C128" t="s">
        <v>17</v>
      </c>
      <c r="D128">
        <v>0</v>
      </c>
      <c r="E128">
        <v>74.766999999999996</v>
      </c>
      <c r="F128">
        <v>74.825999999999993</v>
      </c>
      <c r="G128">
        <v>74.698999999999998</v>
      </c>
      <c r="H128">
        <v>75.239999999999995</v>
      </c>
      <c r="I128">
        <v>75.760000000000005</v>
      </c>
      <c r="J128">
        <v>76.983999999999995</v>
      </c>
      <c r="K128">
        <v>77.19</v>
      </c>
      <c r="L128">
        <v>77.375</v>
      </c>
      <c r="M128">
        <v>78.893000000000001</v>
      </c>
      <c r="N128">
        <v>78.819000000000003</v>
      </c>
      <c r="O128">
        <v>78.19</v>
      </c>
      <c r="P128">
        <v>79.117999999999995</v>
      </c>
      <c r="Q128">
        <v>79.863</v>
      </c>
      <c r="R128">
        <v>80.582999999999998</v>
      </c>
      <c r="S128">
        <v>81.28</v>
      </c>
      <c r="T128">
        <v>81.954999999999998</v>
      </c>
      <c r="U128">
        <v>84.766999999999996</v>
      </c>
      <c r="V128">
        <v>86.382999999999996</v>
      </c>
      <c r="W128">
        <v>86.197000000000003</v>
      </c>
      <c r="X128">
        <v>86.632999999999996</v>
      </c>
      <c r="Y128">
        <v>86.522999999999996</v>
      </c>
      <c r="Z128">
        <v>86.171999999999997</v>
      </c>
      <c r="AA128">
        <v>86.1</v>
      </c>
      <c r="AB128">
        <v>85.634</v>
      </c>
      <c r="AC128">
        <v>84.951999999999998</v>
      </c>
      <c r="AD128">
        <v>84.293999999999997</v>
      </c>
      <c r="AE128">
        <v>83.173000000000002</v>
      </c>
      <c r="AF128">
        <v>84.748999999999995</v>
      </c>
      <c r="AG128">
        <v>84.653000000000006</v>
      </c>
      <c r="AH128">
        <v>84.828000000000003</v>
      </c>
      <c r="AI128">
        <v>78.185000000000002</v>
      </c>
      <c r="AJ128">
        <v>79.191999999999993</v>
      </c>
      <c r="AK128">
        <v>82.42</v>
      </c>
      <c r="AL128">
        <v>80.483000000000004</v>
      </c>
      <c r="AM128">
        <v>80.88</v>
      </c>
      <c r="AN128">
        <v>80.87</v>
      </c>
    </row>
    <row r="129" spans="1:40" x14ac:dyDescent="0.25">
      <c r="A129" t="s">
        <v>263</v>
      </c>
      <c r="B129" t="s">
        <v>264</v>
      </c>
      <c r="C129" t="s">
        <v>22</v>
      </c>
      <c r="D129">
        <v>0</v>
      </c>
      <c r="E129">
        <v>75.855000000000004</v>
      </c>
      <c r="F129">
        <v>75.888999999999996</v>
      </c>
      <c r="G129">
        <v>75.909000000000006</v>
      </c>
      <c r="H129">
        <v>75.905000000000001</v>
      </c>
      <c r="I129">
        <v>75.891000000000005</v>
      </c>
      <c r="J129">
        <v>75.870999999999995</v>
      </c>
      <c r="K129">
        <v>75.819999999999993</v>
      </c>
      <c r="L129">
        <v>75.775000000000006</v>
      </c>
      <c r="M129">
        <v>75.793999999999997</v>
      </c>
      <c r="N129">
        <v>75.759</v>
      </c>
      <c r="O129">
        <v>75.718999999999994</v>
      </c>
      <c r="P129">
        <v>75.695999999999998</v>
      </c>
      <c r="Q129">
        <v>75.673000000000002</v>
      </c>
      <c r="R129">
        <v>75.626999999999995</v>
      </c>
      <c r="S129">
        <v>76.731999999999999</v>
      </c>
      <c r="T129">
        <v>76.113</v>
      </c>
      <c r="U129">
        <v>75.638000000000005</v>
      </c>
      <c r="V129">
        <v>75.332999999999998</v>
      </c>
      <c r="W129">
        <v>75.513999999999996</v>
      </c>
      <c r="X129">
        <v>75.451999999999998</v>
      </c>
      <c r="Y129">
        <v>75.164000000000001</v>
      </c>
      <c r="Z129">
        <v>75.915000000000006</v>
      </c>
      <c r="AA129">
        <v>75.367000000000004</v>
      </c>
      <c r="AB129">
        <v>74.881</v>
      </c>
      <c r="AC129">
        <v>75.539000000000001</v>
      </c>
      <c r="AD129">
        <v>74.436000000000007</v>
      </c>
      <c r="AE129">
        <v>75.275000000000006</v>
      </c>
      <c r="AF129">
        <v>73.525000000000006</v>
      </c>
      <c r="AG129">
        <v>72.704999999999998</v>
      </c>
      <c r="AH129">
        <v>72.590999999999994</v>
      </c>
      <c r="AI129">
        <v>67.069999999999993</v>
      </c>
      <c r="AJ129">
        <v>69</v>
      </c>
      <c r="AK129">
        <v>72.739000000000004</v>
      </c>
      <c r="AL129">
        <v>72.641000000000005</v>
      </c>
      <c r="AM129">
        <v>72.540000000000006</v>
      </c>
      <c r="AN129">
        <v>72.463999999999999</v>
      </c>
    </row>
    <row r="130" spans="1:40" x14ac:dyDescent="0.25">
      <c r="A130" t="s">
        <v>265</v>
      </c>
      <c r="B130" t="s">
        <v>266</v>
      </c>
      <c r="C130" t="s">
        <v>9</v>
      </c>
      <c r="D130">
        <v>0</v>
      </c>
      <c r="E130">
        <v>69.430000000000007</v>
      </c>
      <c r="F130">
        <v>69.745999999999995</v>
      </c>
      <c r="G130">
        <v>69.427000000000007</v>
      </c>
      <c r="H130">
        <v>68.700999999999993</v>
      </c>
      <c r="I130">
        <v>67.646000000000001</v>
      </c>
      <c r="J130">
        <v>66.573999999999998</v>
      </c>
      <c r="K130">
        <v>65.981999999999999</v>
      </c>
      <c r="L130">
        <v>65.298000000000002</v>
      </c>
      <c r="M130">
        <v>64.606999999999999</v>
      </c>
      <c r="N130">
        <v>63.707999999999998</v>
      </c>
      <c r="O130">
        <v>62.970999999999997</v>
      </c>
      <c r="P130">
        <v>63.542999999999999</v>
      </c>
      <c r="Q130">
        <v>62.679000000000002</v>
      </c>
      <c r="R130">
        <v>62.262999999999998</v>
      </c>
      <c r="S130">
        <v>62.097999999999999</v>
      </c>
      <c r="T130">
        <v>62.595999999999997</v>
      </c>
      <c r="U130">
        <v>62.146999999999998</v>
      </c>
      <c r="V130">
        <v>62.000999999999998</v>
      </c>
      <c r="W130">
        <v>62.762</v>
      </c>
      <c r="X130">
        <v>63.454000000000001</v>
      </c>
      <c r="Y130">
        <v>64.171000000000006</v>
      </c>
      <c r="Z130">
        <v>64.477999999999994</v>
      </c>
      <c r="AA130">
        <v>64.801000000000002</v>
      </c>
      <c r="AB130">
        <v>64.861999999999995</v>
      </c>
      <c r="AC130">
        <v>65.245999999999995</v>
      </c>
      <c r="AD130">
        <v>65.256</v>
      </c>
      <c r="AE130">
        <v>65.614000000000004</v>
      </c>
      <c r="AF130">
        <v>66.016000000000005</v>
      </c>
      <c r="AG130">
        <v>65.846999999999994</v>
      </c>
      <c r="AH130">
        <v>65.995999999999995</v>
      </c>
      <c r="AI130">
        <v>66.132000000000005</v>
      </c>
      <c r="AJ130">
        <v>67.081999999999994</v>
      </c>
      <c r="AK130">
        <v>66.927000000000007</v>
      </c>
      <c r="AL130">
        <v>66.852000000000004</v>
      </c>
      <c r="AM130">
        <v>65.975999999999999</v>
      </c>
      <c r="AN130">
        <v>65.590999999999994</v>
      </c>
    </row>
    <row r="131" spans="1:40" x14ac:dyDescent="0.25">
      <c r="A131" t="s">
        <v>267</v>
      </c>
      <c r="B131" t="s">
        <v>268</v>
      </c>
      <c r="C131" t="s">
        <v>9</v>
      </c>
      <c r="D131">
        <v>0</v>
      </c>
      <c r="E131">
        <v>72.653000000000006</v>
      </c>
      <c r="F131">
        <v>72.992999999999995</v>
      </c>
      <c r="G131">
        <v>70.423000000000002</v>
      </c>
      <c r="H131">
        <v>69.346000000000004</v>
      </c>
      <c r="I131">
        <v>68.856999999999999</v>
      </c>
      <c r="J131">
        <v>68.405000000000001</v>
      </c>
      <c r="K131">
        <v>68.394999999999996</v>
      </c>
      <c r="L131">
        <v>68.706999999999994</v>
      </c>
      <c r="M131">
        <v>70.134</v>
      </c>
      <c r="N131">
        <v>69.849000000000004</v>
      </c>
      <c r="O131">
        <v>69.664000000000001</v>
      </c>
      <c r="P131">
        <v>70.197999999999993</v>
      </c>
      <c r="Q131">
        <v>70.734999999999999</v>
      </c>
      <c r="R131">
        <v>69.909000000000006</v>
      </c>
      <c r="S131">
        <v>69.471999999999994</v>
      </c>
      <c r="T131">
        <v>69.105000000000004</v>
      </c>
      <c r="U131">
        <v>69.272000000000006</v>
      </c>
      <c r="V131">
        <v>69.113</v>
      </c>
      <c r="W131">
        <v>68.906000000000006</v>
      </c>
      <c r="X131">
        <v>67.668999999999997</v>
      </c>
      <c r="Y131">
        <v>67.195999999999998</v>
      </c>
      <c r="Z131">
        <v>67.03</v>
      </c>
      <c r="AA131">
        <v>66.260000000000005</v>
      </c>
      <c r="AB131">
        <v>65.02</v>
      </c>
      <c r="AC131">
        <v>64.441000000000003</v>
      </c>
      <c r="AD131">
        <v>64.064999999999998</v>
      </c>
      <c r="AE131">
        <v>64.010999999999996</v>
      </c>
      <c r="AF131">
        <v>64.39</v>
      </c>
      <c r="AG131">
        <v>64.192999999999998</v>
      </c>
      <c r="AH131">
        <v>64.039000000000001</v>
      </c>
      <c r="AI131">
        <v>62.591999999999999</v>
      </c>
      <c r="AJ131">
        <v>61.268999999999998</v>
      </c>
      <c r="AK131">
        <v>62.259</v>
      </c>
      <c r="AL131">
        <v>62.860999999999997</v>
      </c>
      <c r="AM131">
        <v>62.433999999999997</v>
      </c>
      <c r="AN131">
        <v>62.128999999999998</v>
      </c>
    </row>
    <row r="132" spans="1:40" x14ac:dyDescent="0.25">
      <c r="A132" t="s">
        <v>269</v>
      </c>
      <c r="B132" t="s">
        <v>270</v>
      </c>
      <c r="C132" t="s">
        <v>17</v>
      </c>
      <c r="D132">
        <v>0</v>
      </c>
      <c r="E132">
        <v>60.039000000000001</v>
      </c>
      <c r="F132">
        <v>61.640999999999998</v>
      </c>
      <c r="G132">
        <v>60.679000000000002</v>
      </c>
      <c r="H132">
        <v>61.719000000000001</v>
      </c>
      <c r="I132">
        <v>60.938000000000002</v>
      </c>
      <c r="J132">
        <v>60.154000000000003</v>
      </c>
      <c r="K132">
        <v>61.292999999999999</v>
      </c>
      <c r="L132">
        <v>62.039000000000001</v>
      </c>
      <c r="M132">
        <v>61.872</v>
      </c>
      <c r="N132">
        <v>59.591999999999999</v>
      </c>
      <c r="O132">
        <v>58.481000000000002</v>
      </c>
      <c r="P132">
        <v>58.055</v>
      </c>
      <c r="Q132">
        <v>57.628</v>
      </c>
      <c r="R132">
        <v>57.886000000000003</v>
      </c>
      <c r="S132">
        <v>58.356999999999999</v>
      </c>
      <c r="T132">
        <v>59.046999999999997</v>
      </c>
      <c r="U132">
        <v>57.664000000000001</v>
      </c>
      <c r="V132">
        <v>56.347000000000001</v>
      </c>
      <c r="W132">
        <v>54.488</v>
      </c>
      <c r="X132">
        <v>52.536000000000001</v>
      </c>
      <c r="Y132">
        <v>50.933</v>
      </c>
      <c r="Z132">
        <v>48.898000000000003</v>
      </c>
      <c r="AA132">
        <v>47.932000000000002</v>
      </c>
      <c r="AB132">
        <v>46.975999999999999</v>
      </c>
      <c r="AC132">
        <v>45.546999999999997</v>
      </c>
      <c r="AD132">
        <v>44.97</v>
      </c>
      <c r="AE132">
        <v>44.866999999999997</v>
      </c>
      <c r="AF132">
        <v>44.765000000000001</v>
      </c>
      <c r="AG132">
        <v>44.957999999999998</v>
      </c>
      <c r="AH132">
        <v>44.65</v>
      </c>
      <c r="AI132">
        <v>45.49</v>
      </c>
      <c r="AJ132">
        <v>47.817999999999998</v>
      </c>
      <c r="AK132">
        <v>48.616999999999997</v>
      </c>
      <c r="AL132">
        <v>48.847000000000001</v>
      </c>
      <c r="AM132">
        <v>49.436</v>
      </c>
      <c r="AN132">
        <v>49.595999999999997</v>
      </c>
    </row>
    <row r="133" spans="1:40" x14ac:dyDescent="0.25">
      <c r="A133" t="s">
        <v>271</v>
      </c>
      <c r="B133" t="s">
        <v>272</v>
      </c>
      <c r="C133" t="s">
        <v>6</v>
      </c>
      <c r="D133">
        <v>0</v>
      </c>
      <c r="E133">
        <v>95.23</v>
      </c>
      <c r="F133">
        <v>95.293999999999997</v>
      </c>
      <c r="G133">
        <v>95.174999999999997</v>
      </c>
      <c r="H133">
        <v>95.341999999999999</v>
      </c>
      <c r="I133">
        <v>95.513000000000005</v>
      </c>
      <c r="J133">
        <v>95.707999999999998</v>
      </c>
      <c r="K133">
        <v>95.893000000000001</v>
      </c>
      <c r="L133">
        <v>95.539000000000001</v>
      </c>
      <c r="M133">
        <v>95.274000000000001</v>
      </c>
      <c r="N133">
        <v>95.168000000000006</v>
      </c>
      <c r="O133">
        <v>95.081999999999994</v>
      </c>
      <c r="P133">
        <v>95.162000000000006</v>
      </c>
      <c r="Q133">
        <v>95.259</v>
      </c>
      <c r="R133">
        <v>95.474999999999994</v>
      </c>
      <c r="S133">
        <v>95.349000000000004</v>
      </c>
      <c r="T133">
        <v>95.28</v>
      </c>
      <c r="U133">
        <v>94.828000000000003</v>
      </c>
      <c r="V133">
        <v>94.659000000000006</v>
      </c>
      <c r="W133">
        <v>95.116</v>
      </c>
      <c r="X133">
        <v>95.798000000000002</v>
      </c>
      <c r="Y133">
        <v>95.87</v>
      </c>
      <c r="Z133">
        <v>95.65</v>
      </c>
      <c r="AA133">
        <v>95.585999999999999</v>
      </c>
      <c r="AB133">
        <v>95.596000000000004</v>
      </c>
      <c r="AC133">
        <v>95.525999999999996</v>
      </c>
      <c r="AD133">
        <v>95.498000000000005</v>
      </c>
      <c r="AE133">
        <v>95.503</v>
      </c>
      <c r="AF133">
        <v>95.543000000000006</v>
      </c>
      <c r="AG133">
        <v>95.667000000000002</v>
      </c>
      <c r="AH133">
        <v>95.858000000000004</v>
      </c>
      <c r="AI133">
        <v>95.870999999999995</v>
      </c>
      <c r="AJ133">
        <v>94.686999999999998</v>
      </c>
      <c r="AK133">
        <v>95.364999999999995</v>
      </c>
      <c r="AL133">
        <v>95.584000000000003</v>
      </c>
      <c r="AM133">
        <v>95.769000000000005</v>
      </c>
      <c r="AN133">
        <v>95.555000000000007</v>
      </c>
    </row>
    <row r="134" spans="1:40" x14ac:dyDescent="0.25">
      <c r="A134" t="s">
        <v>273</v>
      </c>
      <c r="B134" t="s">
        <v>274</v>
      </c>
      <c r="C134" t="s">
        <v>9</v>
      </c>
      <c r="D134">
        <v>0</v>
      </c>
      <c r="E134">
        <v>59.48</v>
      </c>
      <c r="F134">
        <v>59.804000000000002</v>
      </c>
      <c r="G134">
        <v>60.259</v>
      </c>
      <c r="H134">
        <v>60.347000000000001</v>
      </c>
      <c r="I134">
        <v>60.238</v>
      </c>
      <c r="J134">
        <v>59.939</v>
      </c>
      <c r="K134">
        <v>59.777999999999999</v>
      </c>
      <c r="L134">
        <v>60.143999999999998</v>
      </c>
      <c r="M134">
        <v>60.430999999999997</v>
      </c>
      <c r="N134">
        <v>60.64</v>
      </c>
      <c r="O134">
        <v>60.676000000000002</v>
      </c>
      <c r="P134">
        <v>60.447000000000003</v>
      </c>
      <c r="Q134">
        <v>60.197000000000003</v>
      </c>
      <c r="R134">
        <v>60.192999999999998</v>
      </c>
      <c r="S134">
        <v>59.926000000000002</v>
      </c>
      <c r="T134">
        <v>59.844999999999999</v>
      </c>
      <c r="U134">
        <v>59.783000000000001</v>
      </c>
      <c r="V134">
        <v>59.774999999999999</v>
      </c>
      <c r="W134">
        <v>59.802</v>
      </c>
      <c r="X134">
        <v>56.305</v>
      </c>
      <c r="Y134">
        <v>59.451999999999998</v>
      </c>
      <c r="Z134">
        <v>58.706000000000003</v>
      </c>
      <c r="AA134">
        <v>59.091999999999999</v>
      </c>
      <c r="AB134">
        <v>59.226999999999997</v>
      </c>
      <c r="AC134">
        <v>59.756</v>
      </c>
      <c r="AD134">
        <v>60.793999999999997</v>
      </c>
      <c r="AE134">
        <v>60.536000000000001</v>
      </c>
      <c r="AF134">
        <v>61.265000000000001</v>
      </c>
      <c r="AG134">
        <v>61.518000000000001</v>
      </c>
      <c r="AH134">
        <v>61.868000000000002</v>
      </c>
      <c r="AI134">
        <v>62.048000000000002</v>
      </c>
      <c r="AJ134">
        <v>63.021000000000001</v>
      </c>
      <c r="AK134">
        <v>62.869</v>
      </c>
      <c r="AL134">
        <v>62.134</v>
      </c>
      <c r="AM134">
        <v>61.845999999999997</v>
      </c>
      <c r="AN134">
        <v>61.68</v>
      </c>
    </row>
    <row r="135" spans="1:40" x14ac:dyDescent="0.25">
      <c r="A135" t="s">
        <v>275</v>
      </c>
      <c r="B135" t="s">
        <v>276</v>
      </c>
      <c r="C135" t="s">
        <v>9</v>
      </c>
      <c r="D135">
        <v>0</v>
      </c>
      <c r="E135">
        <v>76.272000000000006</v>
      </c>
      <c r="F135">
        <v>75.834000000000003</v>
      </c>
      <c r="G135">
        <v>75.173000000000002</v>
      </c>
      <c r="H135">
        <v>73.171000000000006</v>
      </c>
      <c r="I135">
        <v>71.150999999999996</v>
      </c>
      <c r="J135">
        <v>70.677000000000007</v>
      </c>
      <c r="K135">
        <v>69.447000000000003</v>
      </c>
      <c r="L135">
        <v>67.731999999999999</v>
      </c>
      <c r="M135">
        <v>66.498000000000005</v>
      </c>
      <c r="N135">
        <v>69.254999999999995</v>
      </c>
      <c r="O135">
        <v>69.099000000000004</v>
      </c>
      <c r="P135">
        <v>67.582999999999998</v>
      </c>
      <c r="Q135">
        <v>67.402000000000001</v>
      </c>
      <c r="R135">
        <v>66.954999999999998</v>
      </c>
      <c r="S135">
        <v>67.555999999999997</v>
      </c>
      <c r="T135">
        <v>67.802999999999997</v>
      </c>
      <c r="U135">
        <v>67.995999999999995</v>
      </c>
      <c r="V135">
        <v>69.081999999999994</v>
      </c>
      <c r="W135">
        <v>70.236000000000004</v>
      </c>
      <c r="X135">
        <v>70.254000000000005</v>
      </c>
      <c r="Y135">
        <v>70.628</v>
      </c>
      <c r="Z135">
        <v>70.888000000000005</v>
      </c>
      <c r="AA135">
        <v>71.021000000000001</v>
      </c>
      <c r="AB135">
        <v>71.147000000000006</v>
      </c>
      <c r="AC135">
        <v>71.238</v>
      </c>
      <c r="AD135">
        <v>71.311999999999998</v>
      </c>
      <c r="AE135">
        <v>71.528000000000006</v>
      </c>
      <c r="AF135">
        <v>71.116</v>
      </c>
      <c r="AG135">
        <v>70.902000000000001</v>
      </c>
      <c r="AH135">
        <v>70.003</v>
      </c>
      <c r="AI135">
        <v>69.519000000000005</v>
      </c>
      <c r="AJ135">
        <v>70.185000000000002</v>
      </c>
      <c r="AK135">
        <v>69.915000000000006</v>
      </c>
      <c r="AL135">
        <v>70.281999999999996</v>
      </c>
      <c r="AM135">
        <v>69.783000000000001</v>
      </c>
      <c r="AN135">
        <v>69.027000000000001</v>
      </c>
    </row>
    <row r="136" spans="1:40" x14ac:dyDescent="0.25">
      <c r="A136" t="s">
        <v>277</v>
      </c>
      <c r="B136" t="s">
        <v>278</v>
      </c>
      <c r="C136" t="s">
        <v>14</v>
      </c>
      <c r="D136">
        <v>1</v>
      </c>
      <c r="E136">
        <v>74.02</v>
      </c>
      <c r="F136">
        <v>74.012</v>
      </c>
      <c r="G136">
        <v>73.844999999999999</v>
      </c>
      <c r="H136">
        <v>73.626000000000005</v>
      </c>
      <c r="I136">
        <v>75.44</v>
      </c>
      <c r="J136">
        <v>78.078999999999994</v>
      </c>
      <c r="K136">
        <v>77.216999999999999</v>
      </c>
      <c r="L136">
        <v>76.358000000000004</v>
      </c>
      <c r="M136">
        <v>75.23</v>
      </c>
      <c r="N136">
        <v>73.912000000000006</v>
      </c>
      <c r="O136">
        <v>72.649000000000001</v>
      </c>
      <c r="P136">
        <v>71.516999999999996</v>
      </c>
      <c r="Q136">
        <v>70.650999999999996</v>
      </c>
      <c r="R136">
        <v>70.076999999999998</v>
      </c>
      <c r="S136">
        <v>69.683000000000007</v>
      </c>
      <c r="T136">
        <v>69.418999999999997</v>
      </c>
      <c r="U136">
        <v>69.263000000000005</v>
      </c>
      <c r="V136">
        <v>69.167000000000002</v>
      </c>
      <c r="W136">
        <v>69.070999999999998</v>
      </c>
      <c r="X136">
        <v>68.921000000000006</v>
      </c>
      <c r="Y136">
        <v>68.703999999999994</v>
      </c>
      <c r="Z136">
        <v>68.448999999999998</v>
      </c>
      <c r="AA136">
        <v>68.186999999999998</v>
      </c>
      <c r="AB136">
        <v>67.936999999999998</v>
      </c>
      <c r="AC136">
        <v>67.691999999999993</v>
      </c>
      <c r="AD136">
        <v>67.430999999999997</v>
      </c>
      <c r="AE136">
        <v>67.135000000000005</v>
      </c>
      <c r="AF136">
        <v>66.8</v>
      </c>
      <c r="AG136">
        <v>67.241</v>
      </c>
      <c r="AH136">
        <v>65.692999999999998</v>
      </c>
      <c r="AI136">
        <v>69.257000000000005</v>
      </c>
      <c r="AJ136">
        <v>64.349999999999994</v>
      </c>
      <c r="AK136">
        <v>66.14</v>
      </c>
      <c r="AL136">
        <v>69.790999999999997</v>
      </c>
      <c r="AM136">
        <v>70.507999999999996</v>
      </c>
      <c r="AN136">
        <v>70.605999999999995</v>
      </c>
    </row>
    <row r="137" spans="1:40" x14ac:dyDescent="0.25">
      <c r="A137" t="s">
        <v>279</v>
      </c>
      <c r="B137" t="s">
        <v>280</v>
      </c>
      <c r="C137" t="s">
        <v>22</v>
      </c>
      <c r="D137">
        <v>0</v>
      </c>
      <c r="E137">
        <v>68.239999999999995</v>
      </c>
      <c r="F137">
        <v>68.421000000000006</v>
      </c>
      <c r="G137">
        <v>68.552000000000007</v>
      </c>
      <c r="H137">
        <v>68.555999999999997</v>
      </c>
      <c r="I137">
        <v>68.954999999999998</v>
      </c>
      <c r="J137">
        <v>68.905000000000001</v>
      </c>
      <c r="K137">
        <v>68.864000000000004</v>
      </c>
      <c r="L137">
        <v>69.134</v>
      </c>
      <c r="M137">
        <v>69.269000000000005</v>
      </c>
      <c r="N137">
        <v>69.366</v>
      </c>
      <c r="O137">
        <v>69.268000000000001</v>
      </c>
      <c r="P137">
        <v>68.983000000000004</v>
      </c>
      <c r="Q137">
        <v>68.78</v>
      </c>
      <c r="R137">
        <v>68.626000000000005</v>
      </c>
      <c r="S137">
        <v>68.570999999999998</v>
      </c>
      <c r="T137">
        <v>68.328000000000003</v>
      </c>
      <c r="U137">
        <v>68.253</v>
      </c>
      <c r="V137">
        <v>68.234999999999999</v>
      </c>
      <c r="W137">
        <v>68.069999999999993</v>
      </c>
      <c r="X137">
        <v>68.114000000000004</v>
      </c>
      <c r="Y137">
        <v>67.834999999999994</v>
      </c>
      <c r="Z137">
        <v>67.653999999999996</v>
      </c>
      <c r="AA137">
        <v>67.861000000000004</v>
      </c>
      <c r="AB137">
        <v>67.887</v>
      </c>
      <c r="AC137">
        <v>67.878</v>
      </c>
      <c r="AD137">
        <v>67.707999999999998</v>
      </c>
      <c r="AE137">
        <v>67.364999999999995</v>
      </c>
      <c r="AF137">
        <v>67.33</v>
      </c>
      <c r="AG137">
        <v>65.242999999999995</v>
      </c>
      <c r="AH137">
        <v>62.890999999999998</v>
      </c>
      <c r="AI137">
        <v>60.097000000000001</v>
      </c>
      <c r="AJ137">
        <v>57.892000000000003</v>
      </c>
      <c r="AK137">
        <v>56.518999999999998</v>
      </c>
      <c r="AL137">
        <v>55.906999999999996</v>
      </c>
      <c r="AM137">
        <v>55.203000000000003</v>
      </c>
      <c r="AN137">
        <v>54.502000000000002</v>
      </c>
    </row>
    <row r="138" spans="1:40" x14ac:dyDescent="0.25">
      <c r="A138" t="s">
        <v>281</v>
      </c>
      <c r="B138" t="s">
        <v>282</v>
      </c>
      <c r="C138" t="s">
        <v>14</v>
      </c>
      <c r="D138">
        <v>0</v>
      </c>
      <c r="E138">
        <v>27.699000000000002</v>
      </c>
      <c r="F138">
        <v>27.753</v>
      </c>
      <c r="G138">
        <v>27.802</v>
      </c>
      <c r="H138">
        <v>27.792999999999999</v>
      </c>
      <c r="I138">
        <v>27.724</v>
      </c>
      <c r="J138">
        <v>27.591999999999999</v>
      </c>
      <c r="K138">
        <v>27.399000000000001</v>
      </c>
      <c r="L138">
        <v>27.135000000000002</v>
      </c>
      <c r="M138">
        <v>26.794</v>
      </c>
      <c r="N138">
        <v>26.388999999999999</v>
      </c>
      <c r="O138">
        <v>25.951000000000001</v>
      </c>
      <c r="P138">
        <v>25.689</v>
      </c>
      <c r="Q138">
        <v>25.59</v>
      </c>
      <c r="R138">
        <v>25.486000000000001</v>
      </c>
      <c r="S138">
        <v>25.405999999999999</v>
      </c>
      <c r="T138">
        <v>25.349</v>
      </c>
      <c r="U138">
        <v>25.318000000000001</v>
      </c>
      <c r="V138">
        <v>25.327000000000002</v>
      </c>
      <c r="W138">
        <v>25.36</v>
      </c>
      <c r="X138">
        <v>25.38</v>
      </c>
      <c r="Y138">
        <v>25.356000000000002</v>
      </c>
      <c r="Z138">
        <v>25.292000000000002</v>
      </c>
      <c r="AA138">
        <v>25.294</v>
      </c>
      <c r="AB138">
        <v>25.344000000000001</v>
      </c>
      <c r="AC138">
        <v>25.335000000000001</v>
      </c>
      <c r="AD138">
        <v>25.248000000000001</v>
      </c>
      <c r="AE138">
        <v>25.071999999999999</v>
      </c>
      <c r="AF138">
        <v>24.817</v>
      </c>
      <c r="AG138">
        <v>24.504999999999999</v>
      </c>
      <c r="AH138">
        <v>24.143000000000001</v>
      </c>
      <c r="AI138">
        <v>23.605</v>
      </c>
      <c r="AJ138">
        <v>23.687999999999999</v>
      </c>
      <c r="AK138">
        <v>24.015000000000001</v>
      </c>
      <c r="AL138">
        <v>24.030999999999999</v>
      </c>
      <c r="AM138">
        <v>24.027999999999999</v>
      </c>
      <c r="AN138">
        <v>23.952999999999999</v>
      </c>
    </row>
    <row r="139" spans="1:40" x14ac:dyDescent="0.25">
      <c r="A139" t="s">
        <v>283</v>
      </c>
      <c r="B139" t="s">
        <v>284</v>
      </c>
      <c r="C139" t="s">
        <v>6</v>
      </c>
      <c r="D139">
        <v>0</v>
      </c>
      <c r="E139">
        <v>79.828999999999994</v>
      </c>
      <c r="F139">
        <v>79.7</v>
      </c>
      <c r="G139">
        <v>79.751000000000005</v>
      </c>
      <c r="H139">
        <v>78.841999999999999</v>
      </c>
      <c r="I139">
        <v>77.888999999999996</v>
      </c>
      <c r="J139">
        <v>76.914000000000001</v>
      </c>
      <c r="K139">
        <v>75.882999999999996</v>
      </c>
      <c r="L139">
        <v>74.843999999999994</v>
      </c>
      <c r="M139">
        <v>73.795000000000002</v>
      </c>
      <c r="N139">
        <v>72.784999999999997</v>
      </c>
      <c r="O139">
        <v>74.031000000000006</v>
      </c>
      <c r="P139">
        <v>72.257999999999996</v>
      </c>
      <c r="Q139">
        <v>70.722999999999999</v>
      </c>
      <c r="R139">
        <v>69.430000000000007</v>
      </c>
      <c r="S139">
        <v>68.393000000000001</v>
      </c>
      <c r="T139">
        <v>67.632999999999996</v>
      </c>
      <c r="U139">
        <v>67.162000000000006</v>
      </c>
      <c r="V139">
        <v>67.373999999999995</v>
      </c>
      <c r="W139">
        <v>67.819000000000003</v>
      </c>
      <c r="X139">
        <v>68.254999999999995</v>
      </c>
      <c r="Y139">
        <v>70.048000000000002</v>
      </c>
      <c r="Z139">
        <v>71.965999999999994</v>
      </c>
      <c r="AA139">
        <v>74.31</v>
      </c>
      <c r="AB139">
        <v>76.647999999999996</v>
      </c>
      <c r="AC139">
        <v>78.024000000000001</v>
      </c>
      <c r="AD139">
        <v>79.084000000000003</v>
      </c>
      <c r="AE139">
        <v>79.816000000000003</v>
      </c>
      <c r="AF139">
        <v>79.212999999999994</v>
      </c>
      <c r="AG139">
        <v>79.542000000000002</v>
      </c>
      <c r="AH139">
        <v>81.388999999999996</v>
      </c>
      <c r="AI139">
        <v>80.834000000000003</v>
      </c>
      <c r="AJ139">
        <v>79.968000000000004</v>
      </c>
      <c r="AK139">
        <v>80.561999999999998</v>
      </c>
      <c r="AL139">
        <v>83.024000000000001</v>
      </c>
      <c r="AM139">
        <v>83.521000000000001</v>
      </c>
      <c r="AN139">
        <v>83.331000000000003</v>
      </c>
    </row>
    <row r="140" spans="1:40" x14ac:dyDescent="0.25">
      <c r="A140" t="s">
        <v>285</v>
      </c>
      <c r="B140" t="s">
        <v>286</v>
      </c>
      <c r="C140" t="s">
        <v>14</v>
      </c>
      <c r="D140">
        <v>0</v>
      </c>
      <c r="E140">
        <v>70.846999999999994</v>
      </c>
      <c r="F140">
        <v>70.620999999999995</v>
      </c>
      <c r="G140">
        <v>70.361999999999995</v>
      </c>
      <c r="H140">
        <v>70.087999999999994</v>
      </c>
      <c r="I140">
        <v>69.819000000000003</v>
      </c>
      <c r="J140">
        <v>69.569999999999993</v>
      </c>
      <c r="K140">
        <v>69.346999999999994</v>
      </c>
      <c r="L140">
        <v>69.150999999999996</v>
      </c>
      <c r="M140">
        <v>68.971999999999994</v>
      </c>
      <c r="N140">
        <v>68.802999999999997</v>
      </c>
      <c r="O140">
        <v>68.644000000000005</v>
      </c>
      <c r="P140">
        <v>68.489000000000004</v>
      </c>
      <c r="Q140">
        <v>68.224999999999994</v>
      </c>
      <c r="R140">
        <v>67.953000000000003</v>
      </c>
      <c r="S140">
        <v>67.793999999999997</v>
      </c>
      <c r="T140">
        <v>67.650000000000006</v>
      </c>
      <c r="U140">
        <v>67.525000000000006</v>
      </c>
      <c r="V140">
        <v>66.412000000000006</v>
      </c>
      <c r="W140">
        <v>65.295000000000002</v>
      </c>
      <c r="X140">
        <v>64.174000000000007</v>
      </c>
      <c r="Y140">
        <v>63.048999999999999</v>
      </c>
      <c r="Z140">
        <v>61.918999999999997</v>
      </c>
      <c r="AA140">
        <v>60.784999999999997</v>
      </c>
      <c r="AB140">
        <v>59.624000000000002</v>
      </c>
      <c r="AC140">
        <v>58.444000000000003</v>
      </c>
      <c r="AD140">
        <v>57.265999999999998</v>
      </c>
      <c r="AE140">
        <v>61.795999999999999</v>
      </c>
      <c r="AF140">
        <v>56.792999999999999</v>
      </c>
      <c r="AG140">
        <v>60.531999999999996</v>
      </c>
      <c r="AH140">
        <v>64.245999999999995</v>
      </c>
      <c r="AI140">
        <v>64.421000000000006</v>
      </c>
      <c r="AJ140">
        <v>65.650000000000006</v>
      </c>
      <c r="AK140">
        <v>66.108000000000004</v>
      </c>
      <c r="AL140">
        <v>65.882000000000005</v>
      </c>
      <c r="AM140">
        <v>65.597999999999999</v>
      </c>
      <c r="AN140">
        <v>65.709000000000003</v>
      </c>
    </row>
    <row r="141" spans="1:40" x14ac:dyDescent="0.25">
      <c r="A141" t="s">
        <v>287</v>
      </c>
      <c r="B141" t="s">
        <v>288</v>
      </c>
      <c r="C141" t="s">
        <v>9</v>
      </c>
      <c r="D141">
        <v>0</v>
      </c>
      <c r="E141">
        <v>69.546999999999997</v>
      </c>
      <c r="F141">
        <v>69.751999999999995</v>
      </c>
      <c r="G141">
        <v>69.694999999999993</v>
      </c>
      <c r="H141">
        <v>69.466999999999999</v>
      </c>
      <c r="I141">
        <v>68.870999999999995</v>
      </c>
      <c r="J141">
        <v>68.17</v>
      </c>
      <c r="K141">
        <v>67.347999999999999</v>
      </c>
      <c r="L141">
        <v>66.375</v>
      </c>
      <c r="M141">
        <v>65.769000000000005</v>
      </c>
      <c r="N141">
        <v>66.53</v>
      </c>
      <c r="O141">
        <v>65.962999999999994</v>
      </c>
      <c r="P141">
        <v>65.414000000000001</v>
      </c>
      <c r="Q141">
        <v>64.924000000000007</v>
      </c>
      <c r="R141">
        <v>64.548000000000002</v>
      </c>
      <c r="S141">
        <v>64.057000000000002</v>
      </c>
      <c r="T141">
        <v>63.631</v>
      </c>
      <c r="U141">
        <v>63.32</v>
      </c>
      <c r="V141">
        <v>62.802999999999997</v>
      </c>
      <c r="W141">
        <v>61.851999999999997</v>
      </c>
      <c r="X141">
        <v>59.755000000000003</v>
      </c>
      <c r="Y141">
        <v>58.456000000000003</v>
      </c>
      <c r="Z141">
        <v>58.790999999999997</v>
      </c>
      <c r="AA141">
        <v>59.261000000000003</v>
      </c>
      <c r="AB141">
        <v>60.210999999999999</v>
      </c>
      <c r="AC141">
        <v>60.472999999999999</v>
      </c>
      <c r="AD141">
        <v>60.104999999999997</v>
      </c>
      <c r="AE141">
        <v>61.601999999999997</v>
      </c>
      <c r="AF141">
        <v>61.944000000000003</v>
      </c>
      <c r="AG141">
        <v>62.456000000000003</v>
      </c>
      <c r="AH141">
        <v>62.253</v>
      </c>
      <c r="AI141">
        <v>61.445999999999998</v>
      </c>
      <c r="AJ141">
        <v>64.206999999999994</v>
      </c>
      <c r="AK141">
        <v>64.837000000000003</v>
      </c>
      <c r="AL141">
        <v>65.628</v>
      </c>
      <c r="AM141">
        <v>66.56</v>
      </c>
      <c r="AN141">
        <v>66.525000000000006</v>
      </c>
    </row>
    <row r="142" spans="1:40" x14ac:dyDescent="0.25">
      <c r="A142" t="s">
        <v>289</v>
      </c>
      <c r="B142" t="s">
        <v>290</v>
      </c>
      <c r="C142" t="s">
        <v>14</v>
      </c>
      <c r="D142">
        <v>0</v>
      </c>
      <c r="E142">
        <v>63.572000000000003</v>
      </c>
      <c r="F142">
        <v>63.655000000000001</v>
      </c>
      <c r="G142">
        <v>63.749000000000002</v>
      </c>
      <c r="H142">
        <v>63.843000000000004</v>
      </c>
      <c r="I142">
        <v>63.94</v>
      </c>
      <c r="J142">
        <v>64.039000000000001</v>
      </c>
      <c r="K142">
        <v>64.135000000000005</v>
      </c>
      <c r="L142">
        <v>64.222999999999999</v>
      </c>
      <c r="M142">
        <v>64.316000000000003</v>
      </c>
      <c r="N142">
        <v>64.438999999999993</v>
      </c>
      <c r="O142">
        <v>64.537999999999997</v>
      </c>
      <c r="P142">
        <v>64.584999999999994</v>
      </c>
      <c r="Q142">
        <v>64.611999999999995</v>
      </c>
      <c r="R142">
        <v>64.614000000000004</v>
      </c>
      <c r="S142">
        <v>66.308999999999997</v>
      </c>
      <c r="T142">
        <v>65.477000000000004</v>
      </c>
      <c r="U142">
        <v>64.635999999999996</v>
      </c>
      <c r="V142">
        <v>63.784999999999997</v>
      </c>
      <c r="W142">
        <v>62.924999999999997</v>
      </c>
      <c r="X142">
        <v>62.057000000000002</v>
      </c>
      <c r="Y142">
        <v>61.180999999999997</v>
      </c>
      <c r="Z142">
        <v>60.298000000000002</v>
      </c>
      <c r="AA142">
        <v>59.408000000000001</v>
      </c>
      <c r="AB142">
        <v>58.512</v>
      </c>
      <c r="AC142">
        <v>57.609000000000002</v>
      </c>
      <c r="AD142">
        <v>57.326000000000001</v>
      </c>
      <c r="AE142">
        <v>57.040999999999997</v>
      </c>
      <c r="AF142">
        <v>56.753999999999998</v>
      </c>
      <c r="AG142">
        <v>56.465000000000003</v>
      </c>
      <c r="AH142">
        <v>56.082000000000001</v>
      </c>
      <c r="AI142">
        <v>55.548000000000002</v>
      </c>
      <c r="AJ142">
        <v>55.792999999999999</v>
      </c>
      <c r="AK142">
        <v>55.762</v>
      </c>
      <c r="AL142">
        <v>55.524999999999999</v>
      </c>
      <c r="AM142">
        <v>55.384</v>
      </c>
      <c r="AN142">
        <v>55.171999999999997</v>
      </c>
    </row>
    <row r="143" spans="1:40" x14ac:dyDescent="0.25">
      <c r="A143" t="s">
        <v>291</v>
      </c>
      <c r="B143" t="s">
        <v>292</v>
      </c>
      <c r="C143" t="s">
        <v>22</v>
      </c>
      <c r="D143">
        <v>0</v>
      </c>
      <c r="E143">
        <v>77.683000000000007</v>
      </c>
      <c r="F143">
        <v>77.988</v>
      </c>
      <c r="G143">
        <v>78.066999999999993</v>
      </c>
      <c r="H143">
        <v>77.84</v>
      </c>
      <c r="I143">
        <v>77.872</v>
      </c>
      <c r="J143">
        <v>77.992000000000004</v>
      </c>
      <c r="K143">
        <v>77.945999999999998</v>
      </c>
      <c r="L143">
        <v>77.989999999999995</v>
      </c>
      <c r="M143">
        <v>78.543999999999997</v>
      </c>
      <c r="N143">
        <v>78.075999999999993</v>
      </c>
      <c r="O143">
        <v>77.959999999999994</v>
      </c>
      <c r="P143">
        <v>77.816999999999993</v>
      </c>
      <c r="Q143">
        <v>77.328000000000003</v>
      </c>
      <c r="R143">
        <v>76.902000000000001</v>
      </c>
      <c r="S143">
        <v>76.352000000000004</v>
      </c>
      <c r="T143">
        <v>76.5</v>
      </c>
      <c r="U143">
        <v>76.760000000000005</v>
      </c>
      <c r="V143">
        <v>76.694999999999993</v>
      </c>
      <c r="W143">
        <v>76.308999999999997</v>
      </c>
      <c r="X143">
        <v>76.566999999999993</v>
      </c>
      <c r="Y143">
        <v>76.766999999999996</v>
      </c>
      <c r="Z143">
        <v>76.192999999999998</v>
      </c>
      <c r="AA143">
        <v>76.540999999999997</v>
      </c>
      <c r="AB143">
        <v>76.076999999999998</v>
      </c>
      <c r="AC143">
        <v>76.466999999999999</v>
      </c>
      <c r="AD143">
        <v>77</v>
      </c>
      <c r="AE143">
        <v>76.518000000000001</v>
      </c>
      <c r="AF143">
        <v>76.522999999999996</v>
      </c>
      <c r="AG143">
        <v>75.796000000000006</v>
      </c>
      <c r="AH143">
        <v>75.658000000000001</v>
      </c>
      <c r="AI143">
        <v>75.206999999999994</v>
      </c>
      <c r="AJ143">
        <v>76.542000000000002</v>
      </c>
      <c r="AK143">
        <v>76.093000000000004</v>
      </c>
      <c r="AL143">
        <v>75.076999999999998</v>
      </c>
      <c r="AM143">
        <v>74.861000000000004</v>
      </c>
      <c r="AN143">
        <v>75.372</v>
      </c>
    </row>
    <row r="144" spans="1:40" x14ac:dyDescent="0.25">
      <c r="A144" t="s">
        <v>293</v>
      </c>
      <c r="B144" t="s">
        <v>294</v>
      </c>
      <c r="C144" t="s">
        <v>9</v>
      </c>
      <c r="D144">
        <v>0</v>
      </c>
      <c r="E144">
        <v>72.399000000000001</v>
      </c>
      <c r="F144">
        <v>73.027000000000001</v>
      </c>
      <c r="G144">
        <v>71.438999999999993</v>
      </c>
      <c r="H144">
        <v>69.795000000000002</v>
      </c>
      <c r="I144">
        <v>69.128</v>
      </c>
      <c r="J144">
        <v>68.855999999999995</v>
      </c>
      <c r="K144">
        <v>68.692999999999998</v>
      </c>
      <c r="L144">
        <v>68.195999999999998</v>
      </c>
      <c r="M144">
        <v>67.424999999999997</v>
      </c>
      <c r="N144">
        <v>67.304000000000002</v>
      </c>
      <c r="O144">
        <v>67.337999999999994</v>
      </c>
      <c r="P144">
        <v>68.046000000000006</v>
      </c>
      <c r="Q144">
        <v>67.94</v>
      </c>
      <c r="R144">
        <v>68.313000000000002</v>
      </c>
      <c r="S144">
        <v>68.299000000000007</v>
      </c>
      <c r="T144">
        <v>68.415999999999997</v>
      </c>
      <c r="U144">
        <v>68.251999999999995</v>
      </c>
      <c r="V144">
        <v>67.775999999999996</v>
      </c>
      <c r="W144">
        <v>68.245999999999995</v>
      </c>
      <c r="X144">
        <v>68.015000000000001</v>
      </c>
      <c r="Y144">
        <v>67.741</v>
      </c>
      <c r="Z144">
        <v>68.090999999999994</v>
      </c>
      <c r="AA144">
        <v>68.343000000000004</v>
      </c>
      <c r="AB144">
        <v>68.105999999999995</v>
      </c>
      <c r="AC144">
        <v>68.123000000000005</v>
      </c>
      <c r="AD144">
        <v>67.861999999999995</v>
      </c>
      <c r="AE144">
        <v>68.025999999999996</v>
      </c>
      <c r="AF144">
        <v>67.658000000000001</v>
      </c>
      <c r="AG144">
        <v>67.72</v>
      </c>
      <c r="AH144">
        <v>67.436000000000007</v>
      </c>
      <c r="AI144">
        <v>66.489999999999995</v>
      </c>
      <c r="AJ144">
        <v>66.156000000000006</v>
      </c>
      <c r="AK144">
        <v>66.989999999999995</v>
      </c>
      <c r="AL144">
        <v>67.015000000000001</v>
      </c>
      <c r="AM144">
        <v>66.492000000000004</v>
      </c>
      <c r="AN144">
        <v>66.075999999999993</v>
      </c>
    </row>
    <row r="145" spans="1:40" x14ac:dyDescent="0.25">
      <c r="A145" t="s">
        <v>295</v>
      </c>
      <c r="B145" t="s">
        <v>296</v>
      </c>
      <c r="C145" t="s">
        <v>9</v>
      </c>
      <c r="D145">
        <v>0</v>
      </c>
      <c r="E145">
        <v>65.694000000000003</v>
      </c>
      <c r="F145">
        <v>65.581999999999994</v>
      </c>
      <c r="G145">
        <v>65.432000000000002</v>
      </c>
      <c r="H145">
        <v>65.161000000000001</v>
      </c>
      <c r="I145">
        <v>64.882999999999996</v>
      </c>
      <c r="J145">
        <v>64.659000000000006</v>
      </c>
      <c r="K145">
        <v>64.497</v>
      </c>
      <c r="L145">
        <v>64.924000000000007</v>
      </c>
      <c r="M145">
        <v>66.23</v>
      </c>
      <c r="N145">
        <v>64.957999999999998</v>
      </c>
      <c r="O145">
        <v>64.239000000000004</v>
      </c>
      <c r="P145">
        <v>64.876999999999995</v>
      </c>
      <c r="Q145">
        <v>65.233999999999995</v>
      </c>
      <c r="R145">
        <v>63.381</v>
      </c>
      <c r="S145">
        <v>65.733000000000004</v>
      </c>
      <c r="T145">
        <v>66.259</v>
      </c>
      <c r="U145">
        <v>66.06</v>
      </c>
      <c r="V145">
        <v>66.751999999999995</v>
      </c>
      <c r="W145">
        <v>66.165999999999997</v>
      </c>
      <c r="X145">
        <v>65.980999999999995</v>
      </c>
      <c r="Y145">
        <v>65.783000000000001</v>
      </c>
      <c r="Z145">
        <v>64.161000000000001</v>
      </c>
      <c r="AA145">
        <v>63.527000000000001</v>
      </c>
      <c r="AB145">
        <v>63.512</v>
      </c>
      <c r="AC145">
        <v>63.34</v>
      </c>
      <c r="AD145">
        <v>63.067999999999998</v>
      </c>
      <c r="AE145">
        <v>61.707999999999998</v>
      </c>
      <c r="AF145">
        <v>63.692999999999998</v>
      </c>
      <c r="AG145">
        <v>64.271000000000001</v>
      </c>
      <c r="AH145">
        <v>63.423999999999999</v>
      </c>
      <c r="AI145">
        <v>62.524000000000001</v>
      </c>
      <c r="AJ145">
        <v>63.292999999999999</v>
      </c>
      <c r="AK145">
        <v>64.227000000000004</v>
      </c>
      <c r="AL145">
        <v>63.122999999999998</v>
      </c>
      <c r="AM145">
        <v>63.250999999999998</v>
      </c>
      <c r="AN145">
        <v>62.811</v>
      </c>
    </row>
    <row r="146" spans="1:40" x14ac:dyDescent="0.25">
      <c r="A146" t="s">
        <v>297</v>
      </c>
      <c r="B146" t="s">
        <v>298</v>
      </c>
      <c r="C146" t="s">
        <v>22</v>
      </c>
      <c r="D146">
        <v>0</v>
      </c>
      <c r="E146">
        <v>84.816999999999993</v>
      </c>
      <c r="F146">
        <v>84.686999999999998</v>
      </c>
      <c r="G146">
        <v>84.36</v>
      </c>
      <c r="H146">
        <v>84.341999999999999</v>
      </c>
      <c r="I146">
        <v>84.203999999999994</v>
      </c>
      <c r="J146">
        <v>84.018000000000001</v>
      </c>
      <c r="K146">
        <v>84.14</v>
      </c>
      <c r="L146">
        <v>84.364000000000004</v>
      </c>
      <c r="M146">
        <v>84.509</v>
      </c>
      <c r="N146">
        <v>84.709000000000003</v>
      </c>
      <c r="O146">
        <v>85.42</v>
      </c>
      <c r="P146">
        <v>85.882999999999996</v>
      </c>
      <c r="Q146">
        <v>86.165000000000006</v>
      </c>
      <c r="R146">
        <v>86.152000000000001</v>
      </c>
      <c r="S146">
        <v>86.108999999999995</v>
      </c>
      <c r="T146">
        <v>86.078000000000003</v>
      </c>
      <c r="U146">
        <v>86.144000000000005</v>
      </c>
      <c r="V146">
        <v>86.215000000000003</v>
      </c>
      <c r="W146">
        <v>86.192999999999998</v>
      </c>
      <c r="X146">
        <v>86.251000000000005</v>
      </c>
      <c r="Y146">
        <v>86.093000000000004</v>
      </c>
      <c r="Z146">
        <v>86.001000000000005</v>
      </c>
      <c r="AA146">
        <v>86.061999999999998</v>
      </c>
      <c r="AB146">
        <v>86.043999999999997</v>
      </c>
      <c r="AC146">
        <v>86.146000000000001</v>
      </c>
      <c r="AD146">
        <v>86.222999999999999</v>
      </c>
      <c r="AE146">
        <v>86.168000000000006</v>
      </c>
      <c r="AF146">
        <v>86.174000000000007</v>
      </c>
      <c r="AG146">
        <v>86.180999999999997</v>
      </c>
      <c r="AH146">
        <v>86.192999999999998</v>
      </c>
      <c r="AI146">
        <v>85.37</v>
      </c>
      <c r="AJ146">
        <v>85.498000000000005</v>
      </c>
      <c r="AK146">
        <v>86.194999999999993</v>
      </c>
      <c r="AL146">
        <v>86.168000000000006</v>
      </c>
      <c r="AM146">
        <v>86.158000000000001</v>
      </c>
      <c r="AN146">
        <v>86.188000000000002</v>
      </c>
    </row>
    <row r="147" spans="1:40" x14ac:dyDescent="0.25">
      <c r="A147" t="s">
        <v>299</v>
      </c>
      <c r="B147" t="s">
        <v>300</v>
      </c>
      <c r="C147" t="s">
        <v>6</v>
      </c>
      <c r="D147">
        <v>0</v>
      </c>
      <c r="E147">
        <v>47.231000000000002</v>
      </c>
      <c r="F147">
        <v>47.234999999999999</v>
      </c>
      <c r="G147">
        <v>46.87</v>
      </c>
      <c r="H147">
        <v>46.756</v>
      </c>
      <c r="I147">
        <v>46.905999999999999</v>
      </c>
      <c r="J147">
        <v>47.040999999999997</v>
      </c>
      <c r="K147">
        <v>47.16</v>
      </c>
      <c r="L147">
        <v>47.262999999999998</v>
      </c>
      <c r="M147">
        <v>47.357999999999997</v>
      </c>
      <c r="N147">
        <v>47.448</v>
      </c>
      <c r="O147">
        <v>47.529000000000003</v>
      </c>
      <c r="P147">
        <v>47.604999999999997</v>
      </c>
      <c r="Q147">
        <v>47.683999999999997</v>
      </c>
      <c r="R147">
        <v>47.777000000000001</v>
      </c>
      <c r="S147">
        <v>47.92</v>
      </c>
      <c r="T147">
        <v>48.165999999999997</v>
      </c>
      <c r="U147">
        <v>48.497</v>
      </c>
      <c r="V147">
        <v>48.743000000000002</v>
      </c>
      <c r="W147">
        <v>48.771999999999998</v>
      </c>
      <c r="X147">
        <v>48.683</v>
      </c>
      <c r="Y147">
        <v>48.563000000000002</v>
      </c>
      <c r="Z147">
        <v>48.232999999999997</v>
      </c>
      <c r="AA147">
        <v>47.896999999999998</v>
      </c>
      <c r="AB147">
        <v>47.786000000000001</v>
      </c>
      <c r="AC147">
        <v>47.709000000000003</v>
      </c>
      <c r="AD147">
        <v>47.634999999999998</v>
      </c>
      <c r="AE147">
        <v>47.563000000000002</v>
      </c>
      <c r="AF147">
        <v>47.454000000000001</v>
      </c>
      <c r="AG147">
        <v>47.322000000000003</v>
      </c>
      <c r="AH147">
        <v>47.213000000000001</v>
      </c>
      <c r="AI147">
        <v>46.761000000000003</v>
      </c>
      <c r="AJ147">
        <v>46.767000000000003</v>
      </c>
      <c r="AK147">
        <v>47.417000000000002</v>
      </c>
      <c r="AL147">
        <v>47.353000000000002</v>
      </c>
      <c r="AM147">
        <v>47.322000000000003</v>
      </c>
      <c r="AN147">
        <v>47.238999999999997</v>
      </c>
    </row>
    <row r="148" spans="1:40" x14ac:dyDescent="0.25">
      <c r="A148" t="s">
        <v>301</v>
      </c>
      <c r="B148" t="s">
        <v>302</v>
      </c>
      <c r="C148" t="s">
        <v>14</v>
      </c>
      <c r="D148">
        <v>0</v>
      </c>
      <c r="E148">
        <v>70.977999999999994</v>
      </c>
      <c r="F148">
        <v>70.8</v>
      </c>
      <c r="G148">
        <v>71.003</v>
      </c>
      <c r="H148">
        <v>70.52</v>
      </c>
      <c r="I148">
        <v>70.620999999999995</v>
      </c>
      <c r="J148">
        <v>71.575999999999993</v>
      </c>
      <c r="K148">
        <v>72.155000000000001</v>
      </c>
      <c r="L148">
        <v>72.228999999999999</v>
      </c>
      <c r="M148">
        <v>71.513999999999996</v>
      </c>
      <c r="N148">
        <v>70.72</v>
      </c>
      <c r="O148">
        <v>69.882000000000005</v>
      </c>
      <c r="P148">
        <v>68.997</v>
      </c>
      <c r="Q148">
        <v>68.078999999999994</v>
      </c>
      <c r="R148">
        <v>67.2</v>
      </c>
      <c r="S148">
        <v>66.441999999999993</v>
      </c>
      <c r="T148">
        <v>65.832999999999998</v>
      </c>
      <c r="U148">
        <v>65.334999999999994</v>
      </c>
      <c r="V148">
        <v>64.903999999999996</v>
      </c>
      <c r="W148">
        <v>64.566000000000003</v>
      </c>
      <c r="X148">
        <v>62.530999999999999</v>
      </c>
      <c r="Y148">
        <v>60.731999999999999</v>
      </c>
      <c r="Z148">
        <v>60.064</v>
      </c>
      <c r="AA148">
        <v>60.539000000000001</v>
      </c>
      <c r="AB148">
        <v>60.664999999999999</v>
      </c>
      <c r="AC148">
        <v>60.88</v>
      </c>
      <c r="AD148">
        <v>62.146000000000001</v>
      </c>
      <c r="AE148">
        <v>62.386000000000003</v>
      </c>
      <c r="AF148">
        <v>62.793999999999997</v>
      </c>
      <c r="AG148">
        <v>62.468000000000004</v>
      </c>
      <c r="AH148">
        <v>62.591999999999999</v>
      </c>
      <c r="AI148">
        <v>57.529000000000003</v>
      </c>
      <c r="AJ148">
        <v>59.204000000000001</v>
      </c>
      <c r="AK148">
        <v>60.404000000000003</v>
      </c>
      <c r="AL148">
        <v>61.459000000000003</v>
      </c>
      <c r="AM148">
        <v>61.787999999999997</v>
      </c>
      <c r="AN148">
        <v>61.738999999999997</v>
      </c>
    </row>
    <row r="149" spans="1:40" x14ac:dyDescent="0.25">
      <c r="A149" t="s">
        <v>303</v>
      </c>
      <c r="B149" t="s">
        <v>304</v>
      </c>
      <c r="C149" t="s">
        <v>14</v>
      </c>
      <c r="D149">
        <v>1</v>
      </c>
      <c r="E149">
        <v>77.876000000000005</v>
      </c>
      <c r="F149">
        <v>77.894999999999996</v>
      </c>
      <c r="G149">
        <v>77.974999999999994</v>
      </c>
      <c r="H149">
        <v>78.116</v>
      </c>
      <c r="I149">
        <v>78.180000000000007</v>
      </c>
      <c r="J149">
        <v>78.22</v>
      </c>
      <c r="K149">
        <v>78.328999999999994</v>
      </c>
      <c r="L149">
        <v>78.372</v>
      </c>
      <c r="M149">
        <v>78.206999999999994</v>
      </c>
      <c r="N149">
        <v>78.006</v>
      </c>
      <c r="O149">
        <v>77.930999999999997</v>
      </c>
      <c r="P149">
        <v>77.948999999999998</v>
      </c>
      <c r="Q149">
        <v>78.096999999999994</v>
      </c>
      <c r="R149">
        <v>78.239000000000004</v>
      </c>
      <c r="S149">
        <v>78.12</v>
      </c>
      <c r="T149">
        <v>77.78</v>
      </c>
      <c r="U149">
        <v>77.385999999999996</v>
      </c>
      <c r="V149">
        <v>76.960999999999999</v>
      </c>
      <c r="W149">
        <v>76.555000000000007</v>
      </c>
      <c r="X149">
        <v>76.221000000000004</v>
      </c>
      <c r="Y149">
        <v>75.727000000000004</v>
      </c>
      <c r="Z149">
        <v>75.23</v>
      </c>
      <c r="AA149">
        <v>75.02</v>
      </c>
      <c r="AB149">
        <v>74.974999999999994</v>
      </c>
      <c r="AC149">
        <v>75.465999999999994</v>
      </c>
      <c r="AD149">
        <v>75.966999999999999</v>
      </c>
      <c r="AE149">
        <v>76.501999999999995</v>
      </c>
      <c r="AF149">
        <v>77.534999999999997</v>
      </c>
      <c r="AG149">
        <v>77.436000000000007</v>
      </c>
      <c r="AH149">
        <v>76.372</v>
      </c>
      <c r="AI149">
        <v>75.641999999999996</v>
      </c>
      <c r="AJ149">
        <v>75.823999999999998</v>
      </c>
      <c r="AK149">
        <v>76.656999999999996</v>
      </c>
      <c r="AL149">
        <v>76.638000000000005</v>
      </c>
    </row>
    <row r="150" spans="1:40" x14ac:dyDescent="0.25">
      <c r="A150" t="s">
        <v>305</v>
      </c>
      <c r="B150" t="s">
        <v>306</v>
      </c>
      <c r="C150" t="s">
        <v>9</v>
      </c>
      <c r="D150">
        <v>0</v>
      </c>
      <c r="E150">
        <v>67.417000000000002</v>
      </c>
      <c r="F150">
        <v>67.063999999999993</v>
      </c>
      <c r="G150">
        <v>66.084000000000003</v>
      </c>
      <c r="H150">
        <v>65.62</v>
      </c>
      <c r="I150">
        <v>65.135000000000005</v>
      </c>
      <c r="J150">
        <v>64.242999999999995</v>
      </c>
      <c r="K150">
        <v>64.308000000000007</v>
      </c>
      <c r="L150">
        <v>64.492999999999995</v>
      </c>
      <c r="M150">
        <v>64.775000000000006</v>
      </c>
      <c r="N150">
        <v>65.120999999999995</v>
      </c>
      <c r="O150">
        <v>65.784000000000006</v>
      </c>
      <c r="P150">
        <v>65.424000000000007</v>
      </c>
      <c r="Q150">
        <v>66.028999999999996</v>
      </c>
      <c r="R150">
        <v>66.796999999999997</v>
      </c>
      <c r="S150">
        <v>67.174999999999997</v>
      </c>
      <c r="T150">
        <v>68.001000000000005</v>
      </c>
      <c r="U150">
        <v>68.44</v>
      </c>
      <c r="V150">
        <v>68.447999999999993</v>
      </c>
      <c r="W150">
        <v>68.52</v>
      </c>
      <c r="X150">
        <v>67.753</v>
      </c>
      <c r="Y150">
        <v>67.269000000000005</v>
      </c>
      <c r="Z150">
        <v>66.72</v>
      </c>
      <c r="AA150">
        <v>66.176000000000002</v>
      </c>
      <c r="AB150">
        <v>65.707999999999998</v>
      </c>
      <c r="AC150">
        <v>65.120999999999995</v>
      </c>
      <c r="AD150">
        <v>64.915999999999997</v>
      </c>
      <c r="AE150">
        <v>64.454999999999998</v>
      </c>
      <c r="AF150">
        <v>64.108999999999995</v>
      </c>
      <c r="AG150">
        <v>63.697000000000003</v>
      </c>
      <c r="AH150">
        <v>63.506999999999998</v>
      </c>
      <c r="AI150">
        <v>62.167999999999999</v>
      </c>
      <c r="AJ150">
        <v>62.631999999999998</v>
      </c>
      <c r="AK150">
        <v>63.137</v>
      </c>
      <c r="AL150">
        <v>62.652000000000001</v>
      </c>
      <c r="AM150">
        <v>62.731999999999999</v>
      </c>
      <c r="AN150">
        <v>62.23</v>
      </c>
    </row>
    <row r="151" spans="1:40" x14ac:dyDescent="0.25">
      <c r="A151" t="s">
        <v>307</v>
      </c>
      <c r="B151" t="s">
        <v>308</v>
      </c>
      <c r="C151" t="s">
        <v>22</v>
      </c>
      <c r="D151">
        <v>0</v>
      </c>
      <c r="E151">
        <v>77.626999999999995</v>
      </c>
      <c r="F151">
        <v>77.063000000000002</v>
      </c>
      <c r="G151">
        <v>76.366</v>
      </c>
      <c r="H151">
        <v>75.879000000000005</v>
      </c>
      <c r="I151">
        <v>76.367000000000004</v>
      </c>
      <c r="J151">
        <v>74.412000000000006</v>
      </c>
      <c r="K151">
        <v>75.63</v>
      </c>
      <c r="L151">
        <v>75.597999999999999</v>
      </c>
      <c r="M151">
        <v>76.697999999999993</v>
      </c>
      <c r="N151">
        <v>77.466999999999999</v>
      </c>
      <c r="O151">
        <v>75.349999999999994</v>
      </c>
      <c r="P151">
        <v>75.207999999999998</v>
      </c>
      <c r="Q151">
        <v>75.078999999999994</v>
      </c>
      <c r="R151">
        <v>74.959000000000003</v>
      </c>
      <c r="S151">
        <v>74.84</v>
      </c>
      <c r="T151">
        <v>74.721999999999994</v>
      </c>
      <c r="U151">
        <v>74.608000000000004</v>
      </c>
      <c r="V151">
        <v>74.5</v>
      </c>
      <c r="W151">
        <v>74.397999999999996</v>
      </c>
      <c r="X151">
        <v>74.302999999999997</v>
      </c>
      <c r="Y151">
        <v>74.201999999999998</v>
      </c>
      <c r="Z151">
        <v>73.44</v>
      </c>
      <c r="AA151">
        <v>74.293999999999997</v>
      </c>
      <c r="AB151">
        <v>71.900000000000006</v>
      </c>
      <c r="AC151">
        <v>71.683999999999997</v>
      </c>
      <c r="AD151">
        <v>73.715999999999994</v>
      </c>
      <c r="AE151">
        <v>73.933000000000007</v>
      </c>
      <c r="AF151">
        <v>73.584000000000003</v>
      </c>
      <c r="AG151">
        <v>72.114000000000004</v>
      </c>
      <c r="AH151">
        <v>72.194999999999993</v>
      </c>
      <c r="AI151">
        <v>71.144999999999996</v>
      </c>
      <c r="AJ151">
        <v>70.141000000000005</v>
      </c>
      <c r="AK151">
        <v>69.622</v>
      </c>
      <c r="AL151">
        <v>66.947999999999993</v>
      </c>
      <c r="AM151">
        <v>67.936999999999998</v>
      </c>
      <c r="AN151">
        <v>67.772000000000006</v>
      </c>
    </row>
    <row r="152" spans="1:40" x14ac:dyDescent="0.25">
      <c r="A152" t="s">
        <v>309</v>
      </c>
      <c r="B152" t="s">
        <v>310</v>
      </c>
      <c r="C152" t="s">
        <v>17</v>
      </c>
      <c r="D152">
        <v>0</v>
      </c>
      <c r="E152">
        <v>78.849000000000004</v>
      </c>
      <c r="F152">
        <v>78.569000000000003</v>
      </c>
      <c r="G152">
        <v>78.242000000000004</v>
      </c>
      <c r="H152">
        <v>77.92</v>
      </c>
      <c r="I152">
        <v>77.593999999999994</v>
      </c>
      <c r="J152">
        <v>77.263999999999996</v>
      </c>
      <c r="K152">
        <v>76.930999999999997</v>
      </c>
      <c r="L152">
        <v>76.596999999999994</v>
      </c>
      <c r="M152">
        <v>76.256</v>
      </c>
      <c r="N152">
        <v>75.912000000000006</v>
      </c>
      <c r="O152">
        <v>75.576999999999998</v>
      </c>
      <c r="P152">
        <v>75.245999999999995</v>
      </c>
      <c r="Q152">
        <v>74.971999999999994</v>
      </c>
      <c r="R152">
        <v>74.7</v>
      </c>
      <c r="S152">
        <v>74.427999999999997</v>
      </c>
      <c r="T152">
        <v>74.158000000000001</v>
      </c>
      <c r="U152">
        <v>73.888000000000005</v>
      </c>
      <c r="V152">
        <v>73.614000000000004</v>
      </c>
      <c r="W152">
        <v>73.337999999999994</v>
      </c>
      <c r="X152">
        <v>73.066000000000003</v>
      </c>
      <c r="Y152">
        <v>72.802999999999997</v>
      </c>
      <c r="Z152">
        <v>72.549000000000007</v>
      </c>
      <c r="AA152">
        <v>73.656000000000006</v>
      </c>
      <c r="AB152">
        <v>75.308000000000007</v>
      </c>
      <c r="AC152">
        <v>75.275000000000006</v>
      </c>
      <c r="AD152">
        <v>75.244</v>
      </c>
      <c r="AE152">
        <v>75.210999999999999</v>
      </c>
      <c r="AF152">
        <v>75.177999999999997</v>
      </c>
      <c r="AG152">
        <v>76.028999999999996</v>
      </c>
      <c r="AH152">
        <v>73.406999999999996</v>
      </c>
      <c r="AI152">
        <v>58.276000000000003</v>
      </c>
      <c r="AJ152">
        <v>70.790000000000006</v>
      </c>
      <c r="AK152">
        <v>75.855000000000004</v>
      </c>
      <c r="AL152">
        <v>75.221999999999994</v>
      </c>
      <c r="AM152">
        <v>74.81</v>
      </c>
      <c r="AN152">
        <v>74.778999999999996</v>
      </c>
    </row>
    <row r="153" spans="1:40" x14ac:dyDescent="0.25">
      <c r="A153" t="s">
        <v>311</v>
      </c>
      <c r="B153" t="s">
        <v>312</v>
      </c>
      <c r="C153" t="s">
        <v>17</v>
      </c>
      <c r="D153">
        <v>0</v>
      </c>
      <c r="E153">
        <v>80.686000000000007</v>
      </c>
      <c r="F153">
        <v>80.763000000000005</v>
      </c>
      <c r="G153">
        <v>80.674000000000007</v>
      </c>
      <c r="H153">
        <v>80.671999999999997</v>
      </c>
      <c r="I153">
        <v>80.885999999999996</v>
      </c>
      <c r="J153">
        <v>80.744</v>
      </c>
      <c r="K153">
        <v>80.834999999999994</v>
      </c>
      <c r="L153">
        <v>80.816000000000003</v>
      </c>
      <c r="M153">
        <v>80.742999999999995</v>
      </c>
      <c r="N153">
        <v>80.694999999999993</v>
      </c>
      <c r="O153">
        <v>80.662000000000006</v>
      </c>
      <c r="P153">
        <v>80.623000000000005</v>
      </c>
      <c r="Q153">
        <v>80.492000000000004</v>
      </c>
      <c r="R153">
        <v>80.317999999999998</v>
      </c>
      <c r="S153">
        <v>80.222999999999999</v>
      </c>
      <c r="T153">
        <v>80.161000000000001</v>
      </c>
      <c r="U153">
        <v>79.908000000000001</v>
      </c>
      <c r="V153">
        <v>79.766000000000005</v>
      </c>
      <c r="W153">
        <v>79.691000000000003</v>
      </c>
      <c r="X153">
        <v>79.613</v>
      </c>
      <c r="Y153">
        <v>79.561000000000007</v>
      </c>
      <c r="Z153">
        <v>79.295000000000002</v>
      </c>
      <c r="AA153">
        <v>79.022000000000006</v>
      </c>
      <c r="AB153">
        <v>78.787000000000006</v>
      </c>
      <c r="AC153">
        <v>78.582999999999998</v>
      </c>
      <c r="AD153">
        <v>78.335999999999999</v>
      </c>
      <c r="AE153">
        <v>78.051000000000002</v>
      </c>
      <c r="AF153">
        <v>77.840999999999994</v>
      </c>
      <c r="AG153">
        <v>77.593999999999994</v>
      </c>
      <c r="AH153">
        <v>77.427000000000007</v>
      </c>
      <c r="AI153">
        <v>76.393000000000001</v>
      </c>
      <c r="AJ153">
        <v>76.564999999999998</v>
      </c>
      <c r="AK153">
        <v>77.067999999999998</v>
      </c>
      <c r="AL153">
        <v>76.777000000000001</v>
      </c>
      <c r="AM153">
        <v>76.489000000000004</v>
      </c>
      <c r="AN153">
        <v>76.281000000000006</v>
      </c>
    </row>
    <row r="154" spans="1:40" x14ac:dyDescent="0.25">
      <c r="A154" t="s">
        <v>313</v>
      </c>
      <c r="B154" t="s">
        <v>314</v>
      </c>
      <c r="C154" t="s">
        <v>6</v>
      </c>
      <c r="D154">
        <v>0</v>
      </c>
      <c r="E154">
        <v>76.891999999999996</v>
      </c>
      <c r="F154">
        <v>76.617000000000004</v>
      </c>
      <c r="G154">
        <v>76.338999999999999</v>
      </c>
      <c r="H154">
        <v>76.033000000000001</v>
      </c>
      <c r="I154">
        <v>75.718000000000004</v>
      </c>
      <c r="J154">
        <v>75.409000000000006</v>
      </c>
      <c r="K154">
        <v>75.164000000000001</v>
      </c>
      <c r="L154">
        <v>75.084999999999994</v>
      </c>
      <c r="M154">
        <v>74.902000000000001</v>
      </c>
      <c r="N154">
        <v>74.677000000000007</v>
      </c>
      <c r="O154">
        <v>74.427000000000007</v>
      </c>
      <c r="P154">
        <v>74.161000000000001</v>
      </c>
      <c r="Q154">
        <v>73.894000000000005</v>
      </c>
      <c r="R154">
        <v>73.658000000000001</v>
      </c>
      <c r="S154">
        <v>73.429000000000002</v>
      </c>
      <c r="T154">
        <v>73.182000000000002</v>
      </c>
      <c r="U154">
        <v>72.930000000000007</v>
      </c>
      <c r="V154">
        <v>72.64</v>
      </c>
      <c r="W154">
        <v>72.248999999999995</v>
      </c>
      <c r="X154">
        <v>71.805000000000007</v>
      </c>
      <c r="Y154">
        <v>70.980999999999995</v>
      </c>
      <c r="Z154">
        <v>70.123000000000005</v>
      </c>
      <c r="AA154">
        <v>69.557000000000002</v>
      </c>
      <c r="AB154">
        <v>68.796999999999997</v>
      </c>
      <c r="AC154">
        <v>67.856999999999999</v>
      </c>
      <c r="AD154">
        <v>66.867999999999995</v>
      </c>
      <c r="AE154">
        <v>65.893000000000001</v>
      </c>
      <c r="AF154">
        <v>64.869</v>
      </c>
      <c r="AG154">
        <v>63.954000000000001</v>
      </c>
      <c r="AH154">
        <v>63.244999999999997</v>
      </c>
      <c r="AI154">
        <v>62.22</v>
      </c>
      <c r="AJ154">
        <v>61.918999999999997</v>
      </c>
      <c r="AK154">
        <v>61.649000000000001</v>
      </c>
    </row>
    <row r="155" spans="1:40" x14ac:dyDescent="0.25">
      <c r="A155" t="s">
        <v>315</v>
      </c>
      <c r="B155" t="s">
        <v>316</v>
      </c>
      <c r="C155" t="s">
        <v>17</v>
      </c>
      <c r="D155">
        <v>0</v>
      </c>
      <c r="E155">
        <v>64.013999999999996</v>
      </c>
      <c r="F155">
        <v>63.948</v>
      </c>
      <c r="G155">
        <v>63.902000000000001</v>
      </c>
      <c r="H155">
        <v>63.911000000000001</v>
      </c>
      <c r="I155">
        <v>63.859000000000002</v>
      </c>
      <c r="J155">
        <v>63.738999999999997</v>
      </c>
      <c r="K155">
        <v>62.899000000000001</v>
      </c>
      <c r="L155">
        <v>62.055999999999997</v>
      </c>
      <c r="M155">
        <v>61.21</v>
      </c>
      <c r="N155">
        <v>60.363</v>
      </c>
      <c r="O155">
        <v>60.738999999999997</v>
      </c>
      <c r="P155">
        <v>61.115000000000002</v>
      </c>
      <c r="Q155">
        <v>61.491</v>
      </c>
      <c r="R155">
        <v>61.868000000000002</v>
      </c>
      <c r="S155">
        <v>62.268999999999998</v>
      </c>
      <c r="T155">
        <v>62.691000000000003</v>
      </c>
      <c r="U155">
        <v>63.106999999999999</v>
      </c>
      <c r="V155">
        <v>63.518999999999998</v>
      </c>
      <c r="W155">
        <v>63.927</v>
      </c>
      <c r="X155">
        <v>64.331000000000003</v>
      </c>
      <c r="Y155">
        <v>64.730999999999995</v>
      </c>
      <c r="Z155">
        <v>65.128</v>
      </c>
      <c r="AA155">
        <v>65.52</v>
      </c>
      <c r="AB155">
        <v>65.906999999999996</v>
      </c>
      <c r="AC155">
        <v>66.287999999999997</v>
      </c>
      <c r="AD155">
        <v>66.664000000000001</v>
      </c>
      <c r="AE155">
        <v>67.039000000000001</v>
      </c>
      <c r="AF155">
        <v>66.926000000000002</v>
      </c>
      <c r="AG155">
        <v>66.757000000000005</v>
      </c>
      <c r="AH155">
        <v>66.647000000000006</v>
      </c>
      <c r="AI155">
        <v>62.430999999999997</v>
      </c>
      <c r="AJ155">
        <v>62.987000000000002</v>
      </c>
      <c r="AK155">
        <v>62.966000000000001</v>
      </c>
      <c r="AL155">
        <v>62.939</v>
      </c>
      <c r="AM155">
        <v>62.912999999999997</v>
      </c>
      <c r="AN155">
        <v>62.868000000000002</v>
      </c>
    </row>
    <row r="156" spans="1:40" x14ac:dyDescent="0.25">
      <c r="A156" t="s">
        <v>317</v>
      </c>
      <c r="B156" t="s">
        <v>318</v>
      </c>
      <c r="C156" t="s">
        <v>9</v>
      </c>
      <c r="D156">
        <v>0</v>
      </c>
      <c r="E156">
        <v>71.433000000000007</v>
      </c>
      <c r="F156">
        <v>70.608000000000004</v>
      </c>
      <c r="G156">
        <v>69.150999999999996</v>
      </c>
      <c r="H156">
        <v>67.688999999999993</v>
      </c>
      <c r="I156">
        <v>67.042000000000002</v>
      </c>
      <c r="J156">
        <v>67.626000000000005</v>
      </c>
      <c r="K156">
        <v>67.108999999999995</v>
      </c>
      <c r="L156">
        <v>67</v>
      </c>
      <c r="M156">
        <v>66.989999999999995</v>
      </c>
      <c r="N156">
        <v>66.992999999999995</v>
      </c>
      <c r="O156">
        <v>66.039000000000001</v>
      </c>
      <c r="P156">
        <v>66.956000000000003</v>
      </c>
      <c r="Q156">
        <v>66.730999999999995</v>
      </c>
      <c r="R156">
        <v>66.62</v>
      </c>
      <c r="S156">
        <v>66.486000000000004</v>
      </c>
      <c r="T156">
        <v>67.488</v>
      </c>
      <c r="U156">
        <v>67.561000000000007</v>
      </c>
      <c r="V156">
        <v>67.804000000000002</v>
      </c>
      <c r="W156">
        <v>67.992999999999995</v>
      </c>
      <c r="X156">
        <v>67.432000000000002</v>
      </c>
      <c r="Y156">
        <v>67.504999999999995</v>
      </c>
      <c r="Z156">
        <v>67.613</v>
      </c>
      <c r="AA156">
        <v>67.403000000000006</v>
      </c>
      <c r="AB156">
        <v>67.641000000000005</v>
      </c>
      <c r="AC156">
        <v>67.567999999999998</v>
      </c>
      <c r="AD156">
        <v>67.319000000000003</v>
      </c>
      <c r="AE156">
        <v>67.489000000000004</v>
      </c>
      <c r="AF156">
        <v>67.757000000000005</v>
      </c>
      <c r="AG156">
        <v>67.742000000000004</v>
      </c>
      <c r="AH156">
        <v>67.846000000000004</v>
      </c>
      <c r="AI156">
        <v>67.707999999999998</v>
      </c>
      <c r="AJ156">
        <v>67.635000000000005</v>
      </c>
      <c r="AK156">
        <v>68.051000000000002</v>
      </c>
      <c r="AL156">
        <v>68.16</v>
      </c>
      <c r="AM156">
        <v>67.772000000000006</v>
      </c>
      <c r="AN156">
        <v>67.632999999999996</v>
      </c>
    </row>
    <row r="157" spans="1:40" x14ac:dyDescent="0.25">
      <c r="A157" t="s">
        <v>319</v>
      </c>
      <c r="B157" t="s">
        <v>320</v>
      </c>
      <c r="C157" t="s">
        <v>9</v>
      </c>
      <c r="D157">
        <v>0</v>
      </c>
      <c r="E157">
        <v>78.593999999999994</v>
      </c>
      <c r="F157">
        <v>78.703000000000003</v>
      </c>
      <c r="G157">
        <v>78.141000000000005</v>
      </c>
      <c r="H157">
        <v>78.113</v>
      </c>
      <c r="I157">
        <v>76.903999999999996</v>
      </c>
      <c r="J157">
        <v>77.012</v>
      </c>
      <c r="K157">
        <v>78.736999999999995</v>
      </c>
      <c r="L157">
        <v>78.47</v>
      </c>
      <c r="M157">
        <v>78.408000000000001</v>
      </c>
      <c r="N157">
        <v>78.018000000000001</v>
      </c>
      <c r="O157">
        <v>77.67</v>
      </c>
      <c r="P157">
        <v>77.358000000000004</v>
      </c>
      <c r="Q157">
        <v>76.701999999999998</v>
      </c>
      <c r="R157">
        <v>76.745000000000005</v>
      </c>
      <c r="S157">
        <v>75.912000000000006</v>
      </c>
      <c r="T157">
        <v>75.040999999999997</v>
      </c>
      <c r="U157">
        <v>75.34</v>
      </c>
      <c r="V157">
        <v>75.709999999999994</v>
      </c>
      <c r="W157">
        <v>75.415999999999997</v>
      </c>
      <c r="X157">
        <v>75.233000000000004</v>
      </c>
      <c r="Y157">
        <v>74.331999999999994</v>
      </c>
      <c r="Z157">
        <v>74.742000000000004</v>
      </c>
      <c r="AA157">
        <v>74.546999999999997</v>
      </c>
      <c r="AB157">
        <v>74.242000000000004</v>
      </c>
      <c r="AC157">
        <v>74.213999999999999</v>
      </c>
      <c r="AD157">
        <v>74.278000000000006</v>
      </c>
      <c r="AE157">
        <v>74.575000000000003</v>
      </c>
      <c r="AF157">
        <v>74.546000000000006</v>
      </c>
      <c r="AG157">
        <v>74.307000000000002</v>
      </c>
      <c r="AH157">
        <v>73.718999999999994</v>
      </c>
      <c r="AI157">
        <v>73.483000000000004</v>
      </c>
      <c r="AJ157">
        <v>72.980999999999995</v>
      </c>
      <c r="AK157">
        <v>72.361000000000004</v>
      </c>
      <c r="AL157">
        <v>72.664000000000001</v>
      </c>
      <c r="AM157">
        <v>71.789000000000001</v>
      </c>
      <c r="AN157">
        <v>71.378</v>
      </c>
    </row>
    <row r="158" spans="1:40" x14ac:dyDescent="0.25">
      <c r="A158" t="s">
        <v>321</v>
      </c>
      <c r="B158" t="s">
        <v>322</v>
      </c>
      <c r="C158" t="s">
        <v>6</v>
      </c>
      <c r="D158">
        <v>0</v>
      </c>
      <c r="E158">
        <v>82.83</v>
      </c>
      <c r="F158">
        <v>82.513999999999996</v>
      </c>
      <c r="G158">
        <v>81.84</v>
      </c>
      <c r="H158">
        <v>81.588999999999999</v>
      </c>
      <c r="I158">
        <v>79.674000000000007</v>
      </c>
      <c r="J158">
        <v>77.722999999999999</v>
      </c>
      <c r="K158">
        <v>79.543000000000006</v>
      </c>
      <c r="L158">
        <v>81.244</v>
      </c>
      <c r="M158">
        <v>82.831999999999994</v>
      </c>
      <c r="N158">
        <v>81.947999999999993</v>
      </c>
      <c r="O158">
        <v>80.853999999999999</v>
      </c>
      <c r="P158">
        <v>79.656999999999996</v>
      </c>
      <c r="Q158">
        <v>78.438999999999993</v>
      </c>
      <c r="R158">
        <v>77.2</v>
      </c>
      <c r="S158">
        <v>76.944000000000003</v>
      </c>
      <c r="T158">
        <v>76.619</v>
      </c>
      <c r="U158">
        <v>76.238</v>
      </c>
      <c r="V158">
        <v>74.28</v>
      </c>
      <c r="W158">
        <v>73.472999999999999</v>
      </c>
      <c r="X158">
        <v>72.653000000000006</v>
      </c>
      <c r="Y158">
        <v>72.396000000000001</v>
      </c>
      <c r="Z158">
        <v>71.843000000000004</v>
      </c>
      <c r="AA158">
        <v>64.938999999999993</v>
      </c>
      <c r="AB158">
        <v>62.686999999999998</v>
      </c>
      <c r="AC158">
        <v>62.942</v>
      </c>
      <c r="AD158">
        <v>63.131</v>
      </c>
      <c r="AE158">
        <v>63.216000000000001</v>
      </c>
      <c r="AF158">
        <v>63.225000000000001</v>
      </c>
      <c r="AG158">
        <v>63.149000000000001</v>
      </c>
      <c r="AH158">
        <v>62.978999999999999</v>
      </c>
      <c r="AI158">
        <v>59.784999999999997</v>
      </c>
      <c r="AJ158">
        <v>60.445999999999998</v>
      </c>
      <c r="AK158">
        <v>62.204999999999998</v>
      </c>
      <c r="AL158">
        <v>61.9</v>
      </c>
      <c r="AM158">
        <v>61.654000000000003</v>
      </c>
      <c r="AN158">
        <v>61.445999999999998</v>
      </c>
    </row>
    <row r="159" spans="1:40" x14ac:dyDescent="0.25">
      <c r="A159" t="s">
        <v>323</v>
      </c>
      <c r="B159" t="s">
        <v>324</v>
      </c>
      <c r="C159" t="s">
        <v>6</v>
      </c>
      <c r="D159">
        <v>0</v>
      </c>
      <c r="E159">
        <v>66.647999999999996</v>
      </c>
      <c r="F159">
        <v>66.641000000000005</v>
      </c>
      <c r="G159">
        <v>66.655000000000001</v>
      </c>
      <c r="H159">
        <v>66.703000000000003</v>
      </c>
      <c r="I159">
        <v>66.736000000000004</v>
      </c>
      <c r="J159">
        <v>66.736000000000004</v>
      </c>
      <c r="K159">
        <v>66.733000000000004</v>
      </c>
      <c r="L159">
        <v>66.736999999999995</v>
      </c>
      <c r="M159">
        <v>66.748999999999995</v>
      </c>
      <c r="N159">
        <v>66.769000000000005</v>
      </c>
      <c r="O159">
        <v>66.783000000000001</v>
      </c>
      <c r="P159">
        <v>66.787999999999997</v>
      </c>
      <c r="Q159">
        <v>66.792000000000002</v>
      </c>
      <c r="R159">
        <v>66.798000000000002</v>
      </c>
      <c r="S159">
        <v>65.343999999999994</v>
      </c>
      <c r="T159">
        <v>63.835000000000001</v>
      </c>
      <c r="U159">
        <v>62.27</v>
      </c>
      <c r="V159">
        <v>60.652000000000001</v>
      </c>
      <c r="W159">
        <v>58.981999999999999</v>
      </c>
      <c r="X159">
        <v>57.261000000000003</v>
      </c>
      <c r="Y159">
        <v>57.427</v>
      </c>
      <c r="Z159">
        <v>57.582999999999998</v>
      </c>
      <c r="AA159">
        <v>57.686</v>
      </c>
      <c r="AB159">
        <v>57.731999999999999</v>
      </c>
      <c r="AC159">
        <v>57.762</v>
      </c>
      <c r="AD159">
        <v>57.77</v>
      </c>
      <c r="AE159">
        <v>57.759</v>
      </c>
      <c r="AF159">
        <v>56.771999999999998</v>
      </c>
      <c r="AG159">
        <v>55.72</v>
      </c>
      <c r="AH159">
        <v>54.738999999999997</v>
      </c>
      <c r="AI159">
        <v>54.226999999999997</v>
      </c>
      <c r="AJ159">
        <v>54.722999999999999</v>
      </c>
      <c r="AK159">
        <v>55.423999999999999</v>
      </c>
      <c r="AL159">
        <v>55.664999999999999</v>
      </c>
      <c r="AM159">
        <v>55.887</v>
      </c>
      <c r="AN159">
        <v>55.780999999999999</v>
      </c>
    </row>
    <row r="160" spans="1:40" x14ac:dyDescent="0.25">
      <c r="A160" t="s">
        <v>325</v>
      </c>
      <c r="B160" t="s">
        <v>326</v>
      </c>
      <c r="C160" t="s">
        <v>14</v>
      </c>
      <c r="D160">
        <v>1</v>
      </c>
      <c r="E160">
        <v>89.39</v>
      </c>
      <c r="F160">
        <v>89.316999999999993</v>
      </c>
      <c r="G160">
        <v>89.241</v>
      </c>
      <c r="H160">
        <v>89.043000000000006</v>
      </c>
      <c r="I160">
        <v>88.728999999999999</v>
      </c>
      <c r="J160">
        <v>88.563000000000002</v>
      </c>
      <c r="K160">
        <v>88.653999999999996</v>
      </c>
      <c r="L160">
        <v>88.72</v>
      </c>
      <c r="M160">
        <v>88.683999999999997</v>
      </c>
      <c r="N160">
        <v>88.653000000000006</v>
      </c>
      <c r="O160">
        <v>88.605000000000004</v>
      </c>
      <c r="P160">
        <v>88.596000000000004</v>
      </c>
      <c r="Q160">
        <v>88.81</v>
      </c>
      <c r="R160">
        <v>89.021000000000001</v>
      </c>
      <c r="S160">
        <v>89.228999999999999</v>
      </c>
      <c r="T160">
        <v>89.433999999999997</v>
      </c>
      <c r="U160">
        <v>89.635999999999996</v>
      </c>
      <c r="V160">
        <v>89.44</v>
      </c>
      <c r="W160">
        <v>89.245000000000005</v>
      </c>
      <c r="X160">
        <v>89.054000000000002</v>
      </c>
      <c r="Y160">
        <v>88.861999999999995</v>
      </c>
      <c r="Z160">
        <v>88.668000000000006</v>
      </c>
      <c r="AA160">
        <v>88.471999999999994</v>
      </c>
      <c r="AB160">
        <v>88.274000000000001</v>
      </c>
      <c r="AC160">
        <v>88.075000000000003</v>
      </c>
      <c r="AD160">
        <v>87.96</v>
      </c>
      <c r="AE160">
        <v>87.813000000000002</v>
      </c>
      <c r="AF160">
        <v>87.688999999999993</v>
      </c>
      <c r="AG160">
        <v>87.597999999999999</v>
      </c>
      <c r="AH160">
        <v>87.522000000000006</v>
      </c>
      <c r="AI160">
        <v>86.492999999999995</v>
      </c>
      <c r="AJ160">
        <v>87.195999999999998</v>
      </c>
      <c r="AK160">
        <v>87.430999999999997</v>
      </c>
      <c r="AL160">
        <v>87.361999999999995</v>
      </c>
      <c r="AM160">
        <v>87.367999999999995</v>
      </c>
      <c r="AN160">
        <v>87.305999999999997</v>
      </c>
    </row>
    <row r="161" spans="1:40" x14ac:dyDescent="0.25">
      <c r="A161" t="s">
        <v>327</v>
      </c>
      <c r="B161" t="s">
        <v>328</v>
      </c>
      <c r="C161" t="s">
        <v>22</v>
      </c>
      <c r="D161">
        <v>0</v>
      </c>
      <c r="E161">
        <v>84.950999999999993</v>
      </c>
      <c r="F161">
        <v>84.884</v>
      </c>
      <c r="G161">
        <v>84.837000000000003</v>
      </c>
      <c r="H161">
        <v>84.778999999999996</v>
      </c>
      <c r="I161">
        <v>84.701999999999998</v>
      </c>
      <c r="J161">
        <v>84.200999999999993</v>
      </c>
      <c r="K161">
        <v>83.674999999999997</v>
      </c>
      <c r="L161">
        <v>83.364999999999995</v>
      </c>
      <c r="M161">
        <v>82.93</v>
      </c>
      <c r="N161">
        <v>81.734999999999999</v>
      </c>
      <c r="O161">
        <v>81.710999999999999</v>
      </c>
      <c r="P161">
        <v>82.221999999999994</v>
      </c>
      <c r="Q161">
        <v>81.804000000000002</v>
      </c>
      <c r="R161">
        <v>81.408000000000001</v>
      </c>
      <c r="S161">
        <v>81.606999999999999</v>
      </c>
      <c r="T161">
        <v>81.206999999999994</v>
      </c>
      <c r="U161">
        <v>81.061999999999998</v>
      </c>
      <c r="V161">
        <v>81.31</v>
      </c>
      <c r="W161">
        <v>81.259</v>
      </c>
      <c r="X161">
        <v>81.394000000000005</v>
      </c>
      <c r="Y161">
        <v>80.007999999999996</v>
      </c>
      <c r="Z161">
        <v>81.009</v>
      </c>
      <c r="AA161">
        <v>80.968999999999994</v>
      </c>
      <c r="AB161">
        <v>78.584000000000003</v>
      </c>
      <c r="AC161">
        <v>78.584999999999994</v>
      </c>
      <c r="AD161">
        <v>77.921999999999997</v>
      </c>
      <c r="AE161">
        <v>76.921000000000006</v>
      </c>
      <c r="AF161">
        <v>76.179000000000002</v>
      </c>
      <c r="AG161">
        <v>76.527000000000001</v>
      </c>
      <c r="AH161">
        <v>75.484999999999999</v>
      </c>
      <c r="AI161">
        <v>75.453999999999994</v>
      </c>
      <c r="AJ161">
        <v>75.251000000000005</v>
      </c>
      <c r="AK161">
        <v>75.317999999999998</v>
      </c>
      <c r="AL161">
        <v>75.858000000000004</v>
      </c>
      <c r="AM161">
        <v>75.352999999999994</v>
      </c>
      <c r="AN161">
        <v>74.980999999999995</v>
      </c>
    </row>
    <row r="162" spans="1:40" x14ac:dyDescent="0.25">
      <c r="A162" t="s">
        <v>329</v>
      </c>
      <c r="B162" t="s">
        <v>330</v>
      </c>
      <c r="C162" t="s">
        <v>22</v>
      </c>
      <c r="D162">
        <v>0</v>
      </c>
      <c r="E162">
        <v>76.697000000000003</v>
      </c>
      <c r="F162">
        <v>76.61</v>
      </c>
      <c r="G162">
        <v>76.504999999999995</v>
      </c>
      <c r="H162">
        <v>76.394000000000005</v>
      </c>
      <c r="I162">
        <v>76.370999999999995</v>
      </c>
      <c r="J162">
        <v>76.319999999999993</v>
      </c>
      <c r="K162">
        <v>76.165000000000006</v>
      </c>
      <c r="L162">
        <v>76.113</v>
      </c>
      <c r="M162">
        <v>76.257000000000005</v>
      </c>
      <c r="N162">
        <v>77.463999999999999</v>
      </c>
      <c r="O162">
        <v>74.885999999999996</v>
      </c>
      <c r="P162">
        <v>74.438999999999993</v>
      </c>
      <c r="Q162">
        <v>74.891999999999996</v>
      </c>
      <c r="R162">
        <v>74.989999999999995</v>
      </c>
      <c r="S162">
        <v>74.88</v>
      </c>
      <c r="T162">
        <v>74.775000000000006</v>
      </c>
      <c r="U162">
        <v>75.063000000000002</v>
      </c>
      <c r="V162">
        <v>74.686999999999998</v>
      </c>
      <c r="W162">
        <v>74.186999999999998</v>
      </c>
      <c r="X162">
        <v>73.67</v>
      </c>
      <c r="Y162">
        <v>73.195999999999998</v>
      </c>
      <c r="Z162">
        <v>72.953999999999994</v>
      </c>
      <c r="AA162">
        <v>72.804000000000002</v>
      </c>
      <c r="AB162">
        <v>72.695999999999998</v>
      </c>
      <c r="AC162">
        <v>72.492000000000004</v>
      </c>
      <c r="AD162">
        <v>72.381</v>
      </c>
      <c r="AE162">
        <v>72.31</v>
      </c>
      <c r="AF162">
        <v>72.563000000000002</v>
      </c>
      <c r="AG162">
        <v>72.716999999999999</v>
      </c>
      <c r="AH162">
        <v>71.92</v>
      </c>
      <c r="AI162">
        <v>71.326999999999998</v>
      </c>
      <c r="AJ162">
        <v>71.685000000000002</v>
      </c>
      <c r="AK162">
        <v>71.911000000000001</v>
      </c>
      <c r="AL162">
        <v>72.337999999999994</v>
      </c>
      <c r="AM162">
        <v>72.031999999999996</v>
      </c>
      <c r="AN162">
        <v>72.247</v>
      </c>
    </row>
    <row r="163" spans="1:40" x14ac:dyDescent="0.25">
      <c r="A163" t="s">
        <v>331</v>
      </c>
      <c r="B163" t="s">
        <v>332</v>
      </c>
      <c r="C163" t="s">
        <v>14</v>
      </c>
      <c r="D163">
        <v>0</v>
      </c>
      <c r="E163">
        <v>64.298000000000002</v>
      </c>
      <c r="F163">
        <v>64.093000000000004</v>
      </c>
      <c r="G163">
        <v>63.878</v>
      </c>
      <c r="H163">
        <v>63.652999999999999</v>
      </c>
      <c r="I163">
        <v>63.414999999999999</v>
      </c>
      <c r="J163">
        <v>63.183999999999997</v>
      </c>
      <c r="K163">
        <v>62.942</v>
      </c>
      <c r="L163">
        <v>62.654000000000003</v>
      </c>
      <c r="M163">
        <v>62.338000000000001</v>
      </c>
      <c r="N163">
        <v>62.051000000000002</v>
      </c>
      <c r="O163">
        <v>61.814</v>
      </c>
      <c r="P163">
        <v>61.634</v>
      </c>
      <c r="Q163">
        <v>61.494999999999997</v>
      </c>
      <c r="R163">
        <v>61.363</v>
      </c>
      <c r="S163">
        <v>61.22</v>
      </c>
      <c r="T163">
        <v>61.097000000000001</v>
      </c>
      <c r="U163">
        <v>60.951000000000001</v>
      </c>
      <c r="V163">
        <v>60.825000000000003</v>
      </c>
      <c r="W163">
        <v>60.752000000000002</v>
      </c>
      <c r="X163">
        <v>60.723999999999997</v>
      </c>
      <c r="Y163">
        <v>60.761000000000003</v>
      </c>
      <c r="Z163">
        <v>60.796999999999997</v>
      </c>
      <c r="AA163">
        <v>60.805</v>
      </c>
      <c r="AB163">
        <v>60.777000000000001</v>
      </c>
      <c r="AC163">
        <v>60.716000000000001</v>
      </c>
      <c r="AD163">
        <v>60.631</v>
      </c>
      <c r="AE163">
        <v>60.527000000000001</v>
      </c>
      <c r="AF163">
        <v>60.402999999999999</v>
      </c>
      <c r="AG163">
        <v>60.258000000000003</v>
      </c>
      <c r="AH163">
        <v>60.097000000000001</v>
      </c>
      <c r="AI163">
        <v>59.524999999999999</v>
      </c>
      <c r="AJ163">
        <v>59.747999999999998</v>
      </c>
      <c r="AK163">
        <v>59.62</v>
      </c>
      <c r="AL163">
        <v>59.34</v>
      </c>
      <c r="AM163">
        <v>59.155000000000001</v>
      </c>
      <c r="AN163">
        <v>59.040999999999997</v>
      </c>
    </row>
    <row r="164" spans="1:40" x14ac:dyDescent="0.25">
      <c r="A164" t="s">
        <v>333</v>
      </c>
      <c r="B164" t="s">
        <v>334</v>
      </c>
      <c r="C164" t="s">
        <v>22</v>
      </c>
      <c r="D164">
        <v>0</v>
      </c>
      <c r="E164">
        <v>75.62</v>
      </c>
      <c r="F164">
        <v>75.408000000000001</v>
      </c>
      <c r="G164">
        <v>75.210999999999999</v>
      </c>
      <c r="H164">
        <v>74.983999999999995</v>
      </c>
      <c r="I164">
        <v>74.688999999999993</v>
      </c>
      <c r="J164">
        <v>74.373999999999995</v>
      </c>
      <c r="K164">
        <v>73.963999999999999</v>
      </c>
      <c r="L164">
        <v>73.614000000000004</v>
      </c>
      <c r="M164">
        <v>73.373000000000005</v>
      </c>
      <c r="N164">
        <v>73.119</v>
      </c>
      <c r="O164">
        <v>72.856999999999999</v>
      </c>
      <c r="P164">
        <v>72.602999999999994</v>
      </c>
      <c r="Q164">
        <v>72.349000000000004</v>
      </c>
      <c r="R164">
        <v>72.093000000000004</v>
      </c>
      <c r="S164">
        <v>71.817999999999998</v>
      </c>
      <c r="T164">
        <v>71.489999999999995</v>
      </c>
      <c r="U164">
        <v>71.105000000000004</v>
      </c>
      <c r="V164">
        <v>70.783000000000001</v>
      </c>
      <c r="W164">
        <v>70.545000000000002</v>
      </c>
      <c r="X164">
        <v>70.286000000000001</v>
      </c>
      <c r="Y164">
        <v>69.912000000000006</v>
      </c>
      <c r="Z164">
        <v>69.459999999999994</v>
      </c>
      <c r="AA164">
        <v>69.054000000000002</v>
      </c>
      <c r="AB164">
        <v>68.688000000000002</v>
      </c>
      <c r="AC164">
        <v>68.287999999999997</v>
      </c>
      <c r="AD164">
        <v>67.820999999999998</v>
      </c>
      <c r="AE164">
        <v>67.323999999999998</v>
      </c>
      <c r="AF164">
        <v>66.927999999999997</v>
      </c>
      <c r="AG164">
        <v>66.561999999999998</v>
      </c>
      <c r="AH164">
        <v>65.608999999999995</v>
      </c>
      <c r="AI164">
        <v>63.93</v>
      </c>
      <c r="AJ164">
        <v>62.811</v>
      </c>
      <c r="AK164">
        <v>61.820999999999998</v>
      </c>
      <c r="AL164">
        <v>60.34</v>
      </c>
      <c r="AM164">
        <v>59.68</v>
      </c>
      <c r="AN164">
        <v>58.976999999999997</v>
      </c>
    </row>
    <row r="165" spans="1:40" x14ac:dyDescent="0.25">
      <c r="A165" t="s">
        <v>335</v>
      </c>
      <c r="B165" t="s">
        <v>336</v>
      </c>
      <c r="C165" t="s">
        <v>17</v>
      </c>
      <c r="D165">
        <v>0</v>
      </c>
      <c r="E165">
        <v>75.292000000000002</v>
      </c>
      <c r="F165">
        <v>75.356999999999999</v>
      </c>
      <c r="G165">
        <v>75.150000000000006</v>
      </c>
      <c r="H165">
        <v>75.254000000000005</v>
      </c>
      <c r="I165">
        <v>76.575999999999993</v>
      </c>
      <c r="J165">
        <v>77.706000000000003</v>
      </c>
      <c r="K165">
        <v>77.253</v>
      </c>
      <c r="L165">
        <v>77.665999999999997</v>
      </c>
      <c r="M165">
        <v>78.046999999999997</v>
      </c>
      <c r="N165">
        <v>78.248000000000005</v>
      </c>
      <c r="O165">
        <v>78.253</v>
      </c>
      <c r="P165">
        <v>77.77</v>
      </c>
      <c r="Q165">
        <v>77.290000000000006</v>
      </c>
      <c r="R165">
        <v>77.625</v>
      </c>
      <c r="S165">
        <v>77.968000000000004</v>
      </c>
      <c r="T165">
        <v>78.31</v>
      </c>
      <c r="U165">
        <v>78.084000000000003</v>
      </c>
      <c r="V165">
        <v>78.528999999999996</v>
      </c>
      <c r="W165">
        <v>77.509</v>
      </c>
      <c r="X165">
        <v>77.337000000000003</v>
      </c>
      <c r="Y165">
        <v>75.869</v>
      </c>
      <c r="Z165">
        <v>74.905000000000001</v>
      </c>
      <c r="AA165">
        <v>74.778000000000006</v>
      </c>
      <c r="AB165">
        <v>74.807000000000002</v>
      </c>
      <c r="AC165">
        <v>74.838999999999999</v>
      </c>
      <c r="AD165">
        <v>74.584000000000003</v>
      </c>
      <c r="AE165">
        <v>72.588999999999999</v>
      </c>
      <c r="AF165">
        <v>71.932000000000002</v>
      </c>
      <c r="AG165">
        <v>71.284999999999997</v>
      </c>
      <c r="AH165">
        <v>70.628</v>
      </c>
      <c r="AI165">
        <v>68.292000000000002</v>
      </c>
      <c r="AJ165">
        <v>66.707999999999998</v>
      </c>
      <c r="AK165">
        <v>66.977000000000004</v>
      </c>
      <c r="AL165">
        <v>68.832999999999998</v>
      </c>
      <c r="AM165">
        <v>68.516000000000005</v>
      </c>
      <c r="AN165">
        <v>68.102999999999994</v>
      </c>
    </row>
    <row r="166" spans="1:40" x14ac:dyDescent="0.25">
      <c r="A166" t="s">
        <v>337</v>
      </c>
      <c r="B166" t="s">
        <v>338</v>
      </c>
      <c r="C166" t="s">
        <v>6</v>
      </c>
      <c r="D166">
        <v>0</v>
      </c>
      <c r="E166">
        <v>75.045000000000002</v>
      </c>
      <c r="F166">
        <v>75.058000000000007</v>
      </c>
      <c r="G166">
        <v>74.709999999999994</v>
      </c>
      <c r="H166">
        <v>74.721999999999994</v>
      </c>
      <c r="I166">
        <v>74.638000000000005</v>
      </c>
      <c r="J166">
        <v>74.5</v>
      </c>
      <c r="K166">
        <v>74.38</v>
      </c>
      <c r="L166">
        <v>74.268000000000001</v>
      </c>
      <c r="M166">
        <v>73.61</v>
      </c>
      <c r="N166">
        <v>72.924000000000007</v>
      </c>
      <c r="O166">
        <v>72.213999999999999</v>
      </c>
      <c r="P166">
        <v>71.492999999999995</v>
      </c>
      <c r="Q166">
        <v>70.763000000000005</v>
      </c>
      <c r="R166">
        <v>70.024000000000001</v>
      </c>
      <c r="S166">
        <v>69.328999999999994</v>
      </c>
      <c r="T166">
        <v>68.709000000000003</v>
      </c>
      <c r="U166">
        <v>68.766000000000005</v>
      </c>
      <c r="V166">
        <v>69.012</v>
      </c>
      <c r="W166">
        <v>69.224999999999994</v>
      </c>
      <c r="X166">
        <v>69.992000000000004</v>
      </c>
      <c r="Y166">
        <v>70.573999999999998</v>
      </c>
      <c r="Z166">
        <v>71.087000000000003</v>
      </c>
      <c r="AA166">
        <v>71.576999999999998</v>
      </c>
      <c r="AB166">
        <v>70.814999999999998</v>
      </c>
      <c r="AC166">
        <v>70.248000000000005</v>
      </c>
      <c r="AD166">
        <v>69.7</v>
      </c>
      <c r="AE166">
        <v>69.600999999999999</v>
      </c>
      <c r="AF166">
        <v>69.344999999999999</v>
      </c>
      <c r="AG166">
        <v>70.728999999999999</v>
      </c>
      <c r="AH166">
        <v>72.024000000000001</v>
      </c>
      <c r="AI166">
        <v>65.611000000000004</v>
      </c>
      <c r="AJ166">
        <v>64.632000000000005</v>
      </c>
      <c r="AK166">
        <v>66.206000000000003</v>
      </c>
      <c r="AL166">
        <v>65.716999999999999</v>
      </c>
      <c r="AM166">
        <v>65.271000000000001</v>
      </c>
      <c r="AN166">
        <v>64.863</v>
      </c>
    </row>
    <row r="167" spans="1:40" x14ac:dyDescent="0.25">
      <c r="A167" t="s">
        <v>339</v>
      </c>
      <c r="B167" t="s">
        <v>340</v>
      </c>
      <c r="C167" t="s">
        <v>9</v>
      </c>
      <c r="D167">
        <v>0</v>
      </c>
      <c r="E167">
        <v>79.186999999999998</v>
      </c>
      <c r="F167">
        <v>79.917000000000002</v>
      </c>
      <c r="G167">
        <v>79.331999999999994</v>
      </c>
      <c r="H167">
        <v>77.620999999999995</v>
      </c>
      <c r="I167">
        <v>78.144999999999996</v>
      </c>
      <c r="J167">
        <v>77.471999999999994</v>
      </c>
      <c r="K167">
        <v>77.063999999999993</v>
      </c>
      <c r="L167">
        <v>76.478999999999999</v>
      </c>
      <c r="M167">
        <v>76.534000000000006</v>
      </c>
      <c r="N167">
        <v>75.617999999999995</v>
      </c>
      <c r="O167">
        <v>73.552999999999997</v>
      </c>
      <c r="P167">
        <v>72.738</v>
      </c>
      <c r="Q167">
        <v>71.483000000000004</v>
      </c>
      <c r="R167">
        <v>70.328999999999994</v>
      </c>
      <c r="S167">
        <v>69.715999999999994</v>
      </c>
      <c r="T167">
        <v>70.009</v>
      </c>
      <c r="U167">
        <v>69.39</v>
      </c>
      <c r="V167">
        <v>69.296999999999997</v>
      </c>
      <c r="W167">
        <v>69.709999999999994</v>
      </c>
      <c r="X167">
        <v>70.114999999999995</v>
      </c>
      <c r="Y167">
        <v>70.341999999999999</v>
      </c>
      <c r="Z167">
        <v>71.257999999999996</v>
      </c>
      <c r="AA167">
        <v>70.734999999999999</v>
      </c>
      <c r="AB167">
        <v>71.224999999999994</v>
      </c>
      <c r="AC167">
        <v>71.051000000000002</v>
      </c>
      <c r="AD167">
        <v>71.384</v>
      </c>
      <c r="AE167">
        <v>71.826999999999998</v>
      </c>
      <c r="AF167">
        <v>72.346000000000004</v>
      </c>
      <c r="AG167">
        <v>72.533000000000001</v>
      </c>
      <c r="AH167">
        <v>71.834000000000003</v>
      </c>
      <c r="AI167">
        <v>68.054000000000002</v>
      </c>
      <c r="AJ167">
        <v>70.165000000000006</v>
      </c>
      <c r="AK167">
        <v>71.322000000000003</v>
      </c>
      <c r="AL167">
        <v>71.105999999999995</v>
      </c>
      <c r="AM167">
        <v>71.873000000000005</v>
      </c>
      <c r="AN167">
        <v>71.887</v>
      </c>
    </row>
    <row r="168" spans="1:40" x14ac:dyDescent="0.25">
      <c r="A168" t="s">
        <v>341</v>
      </c>
      <c r="B168" t="s">
        <v>342</v>
      </c>
      <c r="C168" t="s">
        <v>6</v>
      </c>
      <c r="D168">
        <v>0</v>
      </c>
      <c r="E168">
        <v>52.015000000000001</v>
      </c>
      <c r="F168">
        <v>52.753999999999998</v>
      </c>
      <c r="G168">
        <v>54.814</v>
      </c>
      <c r="H168">
        <v>54.896000000000001</v>
      </c>
      <c r="I168">
        <v>57.529000000000003</v>
      </c>
      <c r="J168">
        <v>58.774000000000001</v>
      </c>
      <c r="K168">
        <v>58.124000000000002</v>
      </c>
      <c r="L168">
        <v>60.03</v>
      </c>
      <c r="M168">
        <v>59.296999999999997</v>
      </c>
      <c r="N168">
        <v>57.472999999999999</v>
      </c>
      <c r="O168">
        <v>57.04</v>
      </c>
      <c r="P168">
        <v>56.752000000000002</v>
      </c>
      <c r="Q168">
        <v>56.976999999999997</v>
      </c>
      <c r="R168">
        <v>56.816000000000003</v>
      </c>
      <c r="S168">
        <v>56.441000000000003</v>
      </c>
      <c r="T168">
        <v>55.164999999999999</v>
      </c>
      <c r="U168">
        <v>54.167000000000002</v>
      </c>
      <c r="V168">
        <v>53.212000000000003</v>
      </c>
      <c r="W168">
        <v>51.985999999999997</v>
      </c>
      <c r="X168">
        <v>51.6</v>
      </c>
      <c r="Y168">
        <v>50.963999999999999</v>
      </c>
      <c r="Z168">
        <v>49.947000000000003</v>
      </c>
      <c r="AA168">
        <v>49.277000000000001</v>
      </c>
      <c r="AB168">
        <v>48.72</v>
      </c>
      <c r="AC168">
        <v>48.201000000000001</v>
      </c>
      <c r="AD168">
        <v>47.944000000000003</v>
      </c>
      <c r="AE168">
        <v>47.715000000000003</v>
      </c>
      <c r="AF168">
        <v>47.48</v>
      </c>
      <c r="AG168">
        <v>47.268999999999998</v>
      </c>
      <c r="AH168">
        <v>47.061</v>
      </c>
      <c r="AI168">
        <v>45.817</v>
      </c>
      <c r="AJ168">
        <v>45.89</v>
      </c>
      <c r="AK168">
        <v>46.332999999999998</v>
      </c>
      <c r="AL168">
        <v>46.055</v>
      </c>
      <c r="AM168">
        <v>46.28</v>
      </c>
      <c r="AN168">
        <v>46.103999999999999</v>
      </c>
    </row>
    <row r="169" spans="1:40" x14ac:dyDescent="0.25">
      <c r="A169" t="s">
        <v>343</v>
      </c>
      <c r="B169" t="s">
        <v>344</v>
      </c>
      <c r="C169" t="s">
        <v>14</v>
      </c>
      <c r="D169">
        <v>1</v>
      </c>
      <c r="E169">
        <v>75.986000000000004</v>
      </c>
      <c r="F169">
        <v>76.055000000000007</v>
      </c>
      <c r="G169">
        <v>76.150000000000006</v>
      </c>
      <c r="H169">
        <v>76.22</v>
      </c>
      <c r="I169">
        <v>76.378</v>
      </c>
      <c r="J169">
        <v>76.704999999999998</v>
      </c>
      <c r="K169">
        <v>77.028000000000006</v>
      </c>
      <c r="L169">
        <v>77.275999999999996</v>
      </c>
      <c r="M169">
        <v>77.459000000000003</v>
      </c>
      <c r="N169">
        <v>77.478999999999999</v>
      </c>
      <c r="O169">
        <v>77.552000000000007</v>
      </c>
      <c r="P169">
        <v>77.575999999999993</v>
      </c>
      <c r="Q169">
        <v>77.489000000000004</v>
      </c>
      <c r="R169">
        <v>77.379000000000005</v>
      </c>
      <c r="S169">
        <v>77.3</v>
      </c>
      <c r="T169">
        <v>77.215000000000003</v>
      </c>
      <c r="U169">
        <v>77.05</v>
      </c>
      <c r="V169">
        <v>76.873999999999995</v>
      </c>
      <c r="W169">
        <v>76.647000000000006</v>
      </c>
      <c r="X169">
        <v>76.403999999999996</v>
      </c>
      <c r="Y169">
        <v>76.149000000000001</v>
      </c>
      <c r="Z169">
        <v>82.506</v>
      </c>
      <c r="AA169">
        <v>74.564999999999998</v>
      </c>
      <c r="AB169">
        <v>87.274000000000001</v>
      </c>
      <c r="AC169">
        <v>78.849000000000004</v>
      </c>
      <c r="AD169">
        <v>77.539000000000001</v>
      </c>
      <c r="AE169">
        <v>76.072000000000003</v>
      </c>
      <c r="AF169">
        <v>74.42</v>
      </c>
      <c r="AG169">
        <v>78.043999999999997</v>
      </c>
      <c r="AH169">
        <v>80.787000000000006</v>
      </c>
      <c r="AI169">
        <v>82.221000000000004</v>
      </c>
      <c r="AJ169">
        <v>84.131</v>
      </c>
      <c r="AK169">
        <v>84.899000000000001</v>
      </c>
      <c r="AL169">
        <v>84.745999999999995</v>
      </c>
      <c r="AM169">
        <v>84.572999999999993</v>
      </c>
      <c r="AN169">
        <v>84.641999999999996</v>
      </c>
    </row>
    <row r="170" spans="1:40" x14ac:dyDescent="0.25">
      <c r="A170" t="s">
        <v>345</v>
      </c>
      <c r="B170" t="s">
        <v>346</v>
      </c>
      <c r="C170" t="s">
        <v>9</v>
      </c>
      <c r="D170">
        <v>0</v>
      </c>
      <c r="E170">
        <v>66.766000000000005</v>
      </c>
      <c r="F170">
        <v>66.325000000000003</v>
      </c>
      <c r="G170">
        <v>65.881</v>
      </c>
      <c r="H170">
        <v>65.438999999999993</v>
      </c>
      <c r="I170">
        <v>64.998000000000005</v>
      </c>
      <c r="J170">
        <v>64.555999999999997</v>
      </c>
      <c r="K170">
        <v>64.114000000000004</v>
      </c>
      <c r="L170">
        <v>63.668999999999997</v>
      </c>
      <c r="M170">
        <v>63.22</v>
      </c>
      <c r="N170">
        <v>62.771999999999998</v>
      </c>
      <c r="O170">
        <v>62.325000000000003</v>
      </c>
      <c r="P170">
        <v>61.878999999999998</v>
      </c>
      <c r="Q170">
        <v>61.43</v>
      </c>
      <c r="R170">
        <v>60.98</v>
      </c>
      <c r="S170">
        <v>60.529000000000003</v>
      </c>
      <c r="T170">
        <v>60.081000000000003</v>
      </c>
      <c r="U170">
        <v>59.631</v>
      </c>
      <c r="V170">
        <v>60.45</v>
      </c>
      <c r="W170">
        <v>60.817</v>
      </c>
      <c r="X170">
        <v>61.182000000000002</v>
      </c>
      <c r="Y170">
        <v>61.545000000000002</v>
      </c>
      <c r="Z170">
        <v>61.906999999999996</v>
      </c>
      <c r="AA170">
        <v>62.265999999999998</v>
      </c>
      <c r="AB170">
        <v>62.624000000000002</v>
      </c>
      <c r="AC170">
        <v>62.982999999999997</v>
      </c>
      <c r="AD170">
        <v>63.341000000000001</v>
      </c>
      <c r="AE170">
        <v>63.695999999999998</v>
      </c>
      <c r="AF170">
        <v>64.05</v>
      </c>
      <c r="AG170">
        <v>64.402000000000001</v>
      </c>
      <c r="AH170">
        <v>64.754000000000005</v>
      </c>
      <c r="AI170">
        <v>63.384</v>
      </c>
      <c r="AJ170">
        <v>62.831000000000003</v>
      </c>
    </row>
    <row r="171" spans="1:40" x14ac:dyDescent="0.25">
      <c r="A171" t="s">
        <v>347</v>
      </c>
      <c r="B171" t="s">
        <v>348</v>
      </c>
      <c r="C171" t="s">
        <v>6</v>
      </c>
      <c r="D171">
        <v>0</v>
      </c>
      <c r="E171">
        <v>89.796000000000006</v>
      </c>
      <c r="F171">
        <v>89.96</v>
      </c>
      <c r="G171">
        <v>90.272000000000006</v>
      </c>
      <c r="H171">
        <v>90.831000000000003</v>
      </c>
      <c r="I171">
        <v>91.353999999999999</v>
      </c>
      <c r="J171">
        <v>91.915000000000006</v>
      </c>
      <c r="K171">
        <v>91.730999999999995</v>
      </c>
      <c r="L171">
        <v>90.887</v>
      </c>
      <c r="M171">
        <v>90.251000000000005</v>
      </c>
      <c r="N171">
        <v>89.841999999999999</v>
      </c>
      <c r="O171">
        <v>89.623999999999995</v>
      </c>
      <c r="P171">
        <v>89.67</v>
      </c>
      <c r="Q171">
        <v>89.936999999999998</v>
      </c>
      <c r="R171">
        <v>90.370999999999995</v>
      </c>
      <c r="S171">
        <v>90.938999999999993</v>
      </c>
      <c r="T171">
        <v>91.57</v>
      </c>
      <c r="U171">
        <v>91.966999999999999</v>
      </c>
      <c r="V171">
        <v>91.983999999999995</v>
      </c>
      <c r="W171">
        <v>91.603999999999999</v>
      </c>
      <c r="X171">
        <v>91.027000000000001</v>
      </c>
      <c r="Y171">
        <v>91.191000000000003</v>
      </c>
      <c r="Z171">
        <v>91.596999999999994</v>
      </c>
      <c r="AA171">
        <v>91.823999999999998</v>
      </c>
      <c r="AB171">
        <v>91.959000000000003</v>
      </c>
      <c r="AC171">
        <v>92.046999999999997</v>
      </c>
      <c r="AD171">
        <v>92.120999999999995</v>
      </c>
      <c r="AE171">
        <v>92.393000000000001</v>
      </c>
      <c r="AF171">
        <v>92.135000000000005</v>
      </c>
      <c r="AG171">
        <v>92.545000000000002</v>
      </c>
      <c r="AH171">
        <v>91.67</v>
      </c>
      <c r="AI171">
        <v>88.88</v>
      </c>
      <c r="AJ171">
        <v>90.215999999999994</v>
      </c>
      <c r="AK171">
        <v>89.287999999999997</v>
      </c>
      <c r="AL171">
        <v>91.409000000000006</v>
      </c>
      <c r="AM171">
        <v>91.578000000000003</v>
      </c>
      <c r="AN171">
        <v>91.55</v>
      </c>
    </row>
    <row r="172" spans="1:40" x14ac:dyDescent="0.25">
      <c r="A172" t="s">
        <v>349</v>
      </c>
      <c r="B172" t="s">
        <v>350</v>
      </c>
      <c r="C172" t="s">
        <v>9</v>
      </c>
      <c r="D172">
        <v>0</v>
      </c>
      <c r="E172">
        <v>73.811999999999998</v>
      </c>
      <c r="F172">
        <v>73.156999999999996</v>
      </c>
      <c r="G172">
        <v>72.224999999999994</v>
      </c>
      <c r="H172">
        <v>71.048000000000002</v>
      </c>
      <c r="I172">
        <v>70.619</v>
      </c>
      <c r="J172">
        <v>70.242000000000004</v>
      </c>
      <c r="K172">
        <v>69.927999999999997</v>
      </c>
      <c r="L172">
        <v>69.822999999999993</v>
      </c>
      <c r="M172">
        <v>69.563999999999993</v>
      </c>
      <c r="N172">
        <v>69.641999999999996</v>
      </c>
      <c r="O172">
        <v>69.706000000000003</v>
      </c>
      <c r="P172">
        <v>69.05</v>
      </c>
      <c r="Q172">
        <v>68.963999999999999</v>
      </c>
      <c r="R172">
        <v>69.227999999999994</v>
      </c>
      <c r="S172">
        <v>68.863</v>
      </c>
      <c r="T172">
        <v>69.010000000000005</v>
      </c>
      <c r="U172">
        <v>69.338999999999999</v>
      </c>
      <c r="V172">
        <v>69.248999999999995</v>
      </c>
      <c r="W172">
        <v>69.411000000000001</v>
      </c>
      <c r="X172">
        <v>68.835999999999999</v>
      </c>
      <c r="Y172">
        <v>68.501999999999995</v>
      </c>
      <c r="Z172">
        <v>68.289000000000001</v>
      </c>
      <c r="AA172">
        <v>68.441000000000003</v>
      </c>
      <c r="AB172">
        <v>68.123000000000005</v>
      </c>
      <c r="AC172">
        <v>68.084000000000003</v>
      </c>
      <c r="AD172">
        <v>68.102999999999994</v>
      </c>
      <c r="AE172">
        <v>68.043000000000006</v>
      </c>
      <c r="AF172">
        <v>67.834999999999994</v>
      </c>
      <c r="AG172">
        <v>67.989999999999995</v>
      </c>
      <c r="AH172">
        <v>67.456999999999994</v>
      </c>
      <c r="AI172">
        <v>67.093000000000004</v>
      </c>
      <c r="AJ172">
        <v>66.126999999999995</v>
      </c>
      <c r="AK172">
        <v>66.316999999999993</v>
      </c>
      <c r="AL172">
        <v>66.459999999999994</v>
      </c>
      <c r="AM172">
        <v>65.819000000000003</v>
      </c>
      <c r="AN172">
        <v>65.596000000000004</v>
      </c>
    </row>
    <row r="173" spans="1:40" x14ac:dyDescent="0.25">
      <c r="A173" t="s">
        <v>351</v>
      </c>
      <c r="B173" t="s">
        <v>352</v>
      </c>
      <c r="C173" t="s">
        <v>17</v>
      </c>
      <c r="D173">
        <v>0</v>
      </c>
      <c r="E173">
        <v>75.144999999999996</v>
      </c>
      <c r="F173">
        <v>74.641000000000005</v>
      </c>
      <c r="G173">
        <v>74.692999999999998</v>
      </c>
      <c r="H173">
        <v>74.319999999999993</v>
      </c>
      <c r="I173">
        <v>74.006</v>
      </c>
      <c r="J173">
        <v>74.007999999999996</v>
      </c>
      <c r="K173">
        <v>74.042000000000002</v>
      </c>
      <c r="L173">
        <v>74.087000000000003</v>
      </c>
      <c r="M173">
        <v>73.927000000000007</v>
      </c>
      <c r="N173">
        <v>73.826999999999998</v>
      </c>
      <c r="O173">
        <v>73.849999999999994</v>
      </c>
      <c r="P173">
        <v>73.42</v>
      </c>
      <c r="Q173">
        <v>73.024000000000001</v>
      </c>
      <c r="R173">
        <v>72.403000000000006</v>
      </c>
      <c r="S173">
        <v>72.236999999999995</v>
      </c>
      <c r="T173">
        <v>72.225999999999999</v>
      </c>
      <c r="U173">
        <v>72.347999999999999</v>
      </c>
      <c r="V173">
        <v>72.052999999999997</v>
      </c>
      <c r="W173">
        <v>71.813999999999993</v>
      </c>
      <c r="X173">
        <v>70.805999999999997</v>
      </c>
      <c r="Y173">
        <v>70.064999999999998</v>
      </c>
      <c r="Z173">
        <v>69.572999999999993</v>
      </c>
      <c r="AA173">
        <v>69.531999999999996</v>
      </c>
      <c r="AB173">
        <v>69.180999999999997</v>
      </c>
      <c r="AC173">
        <v>68.754000000000005</v>
      </c>
      <c r="AD173">
        <v>68.638000000000005</v>
      </c>
      <c r="AE173">
        <v>68.793999999999997</v>
      </c>
      <c r="AF173">
        <v>68.715000000000003</v>
      </c>
      <c r="AG173">
        <v>68.715000000000003</v>
      </c>
      <c r="AH173">
        <v>68.820999999999998</v>
      </c>
      <c r="AI173">
        <v>67.396000000000001</v>
      </c>
      <c r="AJ173">
        <v>67.358999999999995</v>
      </c>
      <c r="AK173">
        <v>67.55</v>
      </c>
      <c r="AL173">
        <v>67.552999999999997</v>
      </c>
      <c r="AM173">
        <v>67.352999999999994</v>
      </c>
      <c r="AN173">
        <v>67.058000000000007</v>
      </c>
    </row>
    <row r="174" spans="1:40" x14ac:dyDescent="0.25">
      <c r="A174" t="s">
        <v>353</v>
      </c>
      <c r="B174" t="s">
        <v>354</v>
      </c>
      <c r="C174" t="s">
        <v>17</v>
      </c>
      <c r="D174">
        <v>0</v>
      </c>
      <c r="E174">
        <v>73.028000000000006</v>
      </c>
      <c r="F174">
        <v>72.766999999999996</v>
      </c>
      <c r="G174">
        <v>71.858999999999995</v>
      </c>
      <c r="H174">
        <v>70.87</v>
      </c>
      <c r="I174">
        <v>72.343999999999994</v>
      </c>
      <c r="J174">
        <v>73.248000000000005</v>
      </c>
      <c r="K174">
        <v>74.724999999999994</v>
      </c>
      <c r="L174">
        <v>74.278999999999996</v>
      </c>
      <c r="M174">
        <v>73.834000000000003</v>
      </c>
      <c r="N174">
        <v>72.206000000000003</v>
      </c>
      <c r="O174">
        <v>72.385999999999996</v>
      </c>
      <c r="P174">
        <v>72.856999999999999</v>
      </c>
      <c r="Q174">
        <v>71.331999999999994</v>
      </c>
      <c r="R174">
        <v>69.855000000000004</v>
      </c>
      <c r="S174">
        <v>70.885999999999996</v>
      </c>
      <c r="T174">
        <v>70.100999999999999</v>
      </c>
      <c r="U174">
        <v>73.355000000000004</v>
      </c>
      <c r="V174">
        <v>75.188999999999993</v>
      </c>
      <c r="W174">
        <v>74.522000000000006</v>
      </c>
      <c r="X174">
        <v>75.274000000000001</v>
      </c>
      <c r="Y174">
        <v>74.587000000000003</v>
      </c>
      <c r="Z174">
        <v>76.093999999999994</v>
      </c>
      <c r="AA174">
        <v>74.808000000000007</v>
      </c>
      <c r="AB174">
        <v>75.277000000000001</v>
      </c>
      <c r="AC174">
        <v>75.709999999999994</v>
      </c>
      <c r="AD174">
        <v>74.39</v>
      </c>
      <c r="AE174">
        <v>73.661000000000001</v>
      </c>
      <c r="AF174">
        <v>72.918000000000006</v>
      </c>
      <c r="AG174">
        <v>72.117000000000004</v>
      </c>
      <c r="AH174">
        <v>71.673000000000002</v>
      </c>
      <c r="AI174">
        <v>68.599999999999994</v>
      </c>
      <c r="AJ174">
        <v>70.358999999999995</v>
      </c>
      <c r="AK174">
        <v>71.382999999999996</v>
      </c>
      <c r="AL174">
        <v>73.370999999999995</v>
      </c>
      <c r="AM174">
        <v>73.457999999999998</v>
      </c>
      <c r="AN174">
        <v>73.399000000000001</v>
      </c>
    </row>
    <row r="175" spans="1:40" x14ac:dyDescent="0.25">
      <c r="A175" t="s">
        <v>355</v>
      </c>
      <c r="B175" t="s">
        <v>356</v>
      </c>
      <c r="C175" t="s">
        <v>6</v>
      </c>
      <c r="D175">
        <v>0</v>
      </c>
      <c r="E175">
        <v>74.554000000000002</v>
      </c>
      <c r="F175">
        <v>75.305999999999997</v>
      </c>
      <c r="G175">
        <v>75.605000000000004</v>
      </c>
      <c r="H175">
        <v>75.878</v>
      </c>
      <c r="I175">
        <v>76.049000000000007</v>
      </c>
      <c r="J175">
        <v>76.006</v>
      </c>
      <c r="K175">
        <v>75.634</v>
      </c>
      <c r="L175">
        <v>75.397999999999996</v>
      </c>
      <c r="M175">
        <v>75.224999999999994</v>
      </c>
      <c r="N175">
        <v>75.076999999999998</v>
      </c>
      <c r="O175">
        <v>74.569000000000003</v>
      </c>
      <c r="P175">
        <v>74.263000000000005</v>
      </c>
      <c r="Q175">
        <v>73.703000000000003</v>
      </c>
      <c r="R175">
        <v>73.275999999999996</v>
      </c>
      <c r="S175">
        <v>72.927000000000007</v>
      </c>
      <c r="T175">
        <v>72.56</v>
      </c>
      <c r="U175">
        <v>72.001999999999995</v>
      </c>
      <c r="V175">
        <v>71.647999999999996</v>
      </c>
      <c r="W175">
        <v>71.495000000000005</v>
      </c>
      <c r="X175">
        <v>72.016000000000005</v>
      </c>
      <c r="Y175">
        <v>71.878</v>
      </c>
      <c r="Z175">
        <v>72.302000000000007</v>
      </c>
      <c r="AA175">
        <v>72.572999999999993</v>
      </c>
      <c r="AB175">
        <v>72.638000000000005</v>
      </c>
      <c r="AC175">
        <v>72.921999999999997</v>
      </c>
      <c r="AD175">
        <v>73.201999999999998</v>
      </c>
      <c r="AE175">
        <v>73.402000000000001</v>
      </c>
      <c r="AF175">
        <v>73.364000000000004</v>
      </c>
      <c r="AG175">
        <v>73.451999999999998</v>
      </c>
      <c r="AH175">
        <v>73.456999999999994</v>
      </c>
      <c r="AI175">
        <v>72.039000000000001</v>
      </c>
      <c r="AJ175">
        <v>72.578999999999994</v>
      </c>
      <c r="AK175">
        <v>74.38</v>
      </c>
      <c r="AL175">
        <v>74.358000000000004</v>
      </c>
      <c r="AM175">
        <v>74.241</v>
      </c>
      <c r="AN175">
        <v>73.933000000000007</v>
      </c>
    </row>
    <row r="176" spans="1:40" x14ac:dyDescent="0.25">
      <c r="A176" t="s">
        <v>357</v>
      </c>
      <c r="B176" t="s">
        <v>358</v>
      </c>
      <c r="C176" t="s">
        <v>22</v>
      </c>
      <c r="D176">
        <v>0</v>
      </c>
      <c r="E176">
        <v>79.534000000000006</v>
      </c>
      <c r="F176">
        <v>79.531000000000006</v>
      </c>
      <c r="G176">
        <v>79.528999999999996</v>
      </c>
      <c r="H176">
        <v>79.534000000000006</v>
      </c>
      <c r="I176">
        <v>79.52</v>
      </c>
      <c r="J176">
        <v>79.536000000000001</v>
      </c>
      <c r="K176">
        <v>79.546000000000006</v>
      </c>
      <c r="L176">
        <v>79.545000000000002</v>
      </c>
      <c r="M176">
        <v>79.558000000000007</v>
      </c>
      <c r="N176">
        <v>79.572999999999993</v>
      </c>
      <c r="O176">
        <v>79.569999999999993</v>
      </c>
      <c r="P176">
        <v>79.602999999999994</v>
      </c>
      <c r="Q176">
        <v>79.623000000000005</v>
      </c>
      <c r="R176">
        <v>79.632999999999996</v>
      </c>
      <c r="S176">
        <v>79.641999999999996</v>
      </c>
      <c r="T176">
        <v>79.649000000000001</v>
      </c>
      <c r="U176">
        <v>79.644000000000005</v>
      </c>
      <c r="V176">
        <v>77.593999999999994</v>
      </c>
      <c r="W176">
        <v>75.397000000000006</v>
      </c>
      <c r="X176">
        <v>73.051000000000002</v>
      </c>
      <c r="Y176">
        <v>70.552000000000007</v>
      </c>
      <c r="Z176">
        <v>69.78</v>
      </c>
      <c r="AA176">
        <v>68.997</v>
      </c>
      <c r="AB176">
        <v>68.203000000000003</v>
      </c>
      <c r="AC176">
        <v>67.397000000000006</v>
      </c>
      <c r="AD176">
        <v>66.581999999999994</v>
      </c>
      <c r="AE176">
        <v>65.756</v>
      </c>
      <c r="AF176">
        <v>64.921000000000006</v>
      </c>
      <c r="AG176">
        <v>64.078000000000003</v>
      </c>
      <c r="AH176">
        <v>63.225999999999999</v>
      </c>
      <c r="AI176">
        <v>62.634</v>
      </c>
      <c r="AJ176">
        <v>61.956000000000003</v>
      </c>
      <c r="AK176">
        <v>63.243000000000002</v>
      </c>
      <c r="AL176">
        <v>63.220999999999997</v>
      </c>
      <c r="AM176">
        <v>63.192999999999998</v>
      </c>
      <c r="AN176">
        <v>62.945999999999998</v>
      </c>
    </row>
    <row r="177" spans="1:40" x14ac:dyDescent="0.25">
      <c r="A177" t="s">
        <v>359</v>
      </c>
      <c r="B177" t="s">
        <v>360</v>
      </c>
      <c r="C177" t="s">
        <v>17</v>
      </c>
      <c r="D177">
        <v>0</v>
      </c>
      <c r="E177">
        <v>79.774000000000001</v>
      </c>
      <c r="F177">
        <v>80.254999999999995</v>
      </c>
      <c r="G177">
        <v>80.316000000000003</v>
      </c>
      <c r="H177">
        <v>80.394999999999996</v>
      </c>
      <c r="I177">
        <v>80.408000000000001</v>
      </c>
      <c r="J177">
        <v>80.674000000000007</v>
      </c>
      <c r="K177">
        <v>80.188999999999993</v>
      </c>
      <c r="L177">
        <v>80.691999999999993</v>
      </c>
      <c r="M177">
        <v>80.233999999999995</v>
      </c>
      <c r="N177">
        <v>79.989000000000004</v>
      </c>
      <c r="O177">
        <v>80.459999999999994</v>
      </c>
      <c r="P177">
        <v>80.067999999999998</v>
      </c>
      <c r="Q177">
        <v>79.241</v>
      </c>
      <c r="R177">
        <v>79.025999999999996</v>
      </c>
      <c r="S177">
        <v>80.274000000000001</v>
      </c>
      <c r="T177">
        <v>79.498999999999995</v>
      </c>
      <c r="U177">
        <v>80.117000000000004</v>
      </c>
      <c r="V177">
        <v>79.531000000000006</v>
      </c>
      <c r="W177">
        <v>79.290000000000006</v>
      </c>
      <c r="X177">
        <v>78.518000000000001</v>
      </c>
      <c r="Y177">
        <v>78.566999999999993</v>
      </c>
      <c r="Z177">
        <v>78.075999999999993</v>
      </c>
      <c r="AA177">
        <v>77.207999999999998</v>
      </c>
      <c r="AB177">
        <v>76.671999999999997</v>
      </c>
      <c r="AC177">
        <v>76.128</v>
      </c>
      <c r="AD177">
        <v>75.578999999999994</v>
      </c>
      <c r="AE177">
        <v>75.025999999999996</v>
      </c>
      <c r="AF177">
        <v>74.188999999999993</v>
      </c>
      <c r="AG177">
        <v>72.125</v>
      </c>
      <c r="AH177">
        <v>68.58</v>
      </c>
      <c r="AI177">
        <v>60.015999999999998</v>
      </c>
      <c r="AJ177">
        <v>60.411999999999999</v>
      </c>
      <c r="AK177">
        <v>67.23</v>
      </c>
      <c r="AL177">
        <v>67.349000000000004</v>
      </c>
      <c r="AM177">
        <v>67.524000000000001</v>
      </c>
      <c r="AN177">
        <v>67.522999999999996</v>
      </c>
    </row>
    <row r="178" spans="1:40" x14ac:dyDescent="0.25">
      <c r="A178" t="s">
        <v>361</v>
      </c>
      <c r="B178" t="s">
        <v>362</v>
      </c>
      <c r="C178" t="s">
        <v>22</v>
      </c>
      <c r="D178">
        <v>0</v>
      </c>
      <c r="E178">
        <v>81.900999999999996</v>
      </c>
      <c r="F178">
        <v>81.832999999999998</v>
      </c>
      <c r="G178">
        <v>81.659000000000006</v>
      </c>
      <c r="H178">
        <v>81.510000000000005</v>
      </c>
      <c r="I178">
        <v>81.337999999999994</v>
      </c>
      <c r="J178">
        <v>81.141999999999996</v>
      </c>
      <c r="K178">
        <v>80.956000000000003</v>
      </c>
      <c r="L178">
        <v>80.061999999999998</v>
      </c>
      <c r="M178">
        <v>79.122</v>
      </c>
      <c r="N178">
        <v>78.105999999999995</v>
      </c>
      <c r="O178">
        <v>77.087999999999994</v>
      </c>
      <c r="P178">
        <v>78.608999999999995</v>
      </c>
      <c r="Q178">
        <v>78.296000000000006</v>
      </c>
      <c r="R178">
        <v>78.156999999999996</v>
      </c>
      <c r="S178">
        <v>78.209999999999994</v>
      </c>
      <c r="T178">
        <v>78.453000000000003</v>
      </c>
      <c r="U178">
        <v>78.813999999999993</v>
      </c>
      <c r="V178">
        <v>79.286000000000001</v>
      </c>
      <c r="W178">
        <v>80.007999999999996</v>
      </c>
      <c r="X178">
        <v>80.566000000000003</v>
      </c>
      <c r="Y178">
        <v>81.233000000000004</v>
      </c>
      <c r="Z178">
        <v>81.465999999999994</v>
      </c>
      <c r="AA178">
        <v>81.066999999999993</v>
      </c>
      <c r="AB178">
        <v>81.962000000000003</v>
      </c>
      <c r="AC178">
        <v>81.944999999999993</v>
      </c>
      <c r="AD178">
        <v>82.417000000000002</v>
      </c>
      <c r="AE178">
        <v>81.789000000000001</v>
      </c>
      <c r="AF178">
        <v>82.197000000000003</v>
      </c>
      <c r="AG178">
        <v>82.408000000000001</v>
      </c>
      <c r="AH178">
        <v>82.087999999999994</v>
      </c>
      <c r="AI178">
        <v>80.025000000000006</v>
      </c>
      <c r="AJ178">
        <v>78.712000000000003</v>
      </c>
      <c r="AK178">
        <v>79.432000000000002</v>
      </c>
      <c r="AL178">
        <v>78.200999999999993</v>
      </c>
      <c r="AM178">
        <v>77.683999999999997</v>
      </c>
      <c r="AN178">
        <v>77.328000000000003</v>
      </c>
    </row>
    <row r="179" spans="1:40" x14ac:dyDescent="0.25">
      <c r="A179" t="s">
        <v>363</v>
      </c>
      <c r="B179" t="s">
        <v>364</v>
      </c>
      <c r="C179" t="s">
        <v>6</v>
      </c>
      <c r="D179">
        <v>0</v>
      </c>
      <c r="E179">
        <v>69.403999999999996</v>
      </c>
      <c r="F179">
        <v>69.316999999999993</v>
      </c>
      <c r="G179">
        <v>69.009</v>
      </c>
      <c r="H179">
        <v>68.921000000000006</v>
      </c>
      <c r="I179">
        <v>68.843000000000004</v>
      </c>
      <c r="J179">
        <v>68.658000000000001</v>
      </c>
      <c r="K179">
        <v>68.796000000000006</v>
      </c>
      <c r="L179">
        <v>68.257999999999996</v>
      </c>
      <c r="M179">
        <v>67.629000000000005</v>
      </c>
      <c r="N179">
        <v>67.314999999999998</v>
      </c>
      <c r="O179">
        <v>67.966999999999999</v>
      </c>
      <c r="P179">
        <v>63.146999999999998</v>
      </c>
      <c r="Q179">
        <v>61.786999999999999</v>
      </c>
      <c r="R179">
        <v>65.162000000000006</v>
      </c>
      <c r="S179">
        <v>63.832999999999998</v>
      </c>
      <c r="T179">
        <v>64.853999999999999</v>
      </c>
      <c r="U179">
        <v>64.177999999999997</v>
      </c>
      <c r="V179">
        <v>65.290000000000006</v>
      </c>
      <c r="W179">
        <v>64.561999999999998</v>
      </c>
      <c r="X179">
        <v>65.034000000000006</v>
      </c>
      <c r="Y179">
        <v>66.578000000000003</v>
      </c>
      <c r="Z179">
        <v>67.747</v>
      </c>
      <c r="AA179">
        <v>67.876000000000005</v>
      </c>
      <c r="AB179">
        <v>68.521000000000001</v>
      </c>
      <c r="AC179">
        <v>68.466999999999999</v>
      </c>
      <c r="AD179">
        <v>70.799000000000007</v>
      </c>
      <c r="AE179">
        <v>71.022000000000006</v>
      </c>
      <c r="AF179">
        <v>71.296999999999997</v>
      </c>
      <c r="AG179">
        <v>70.197000000000003</v>
      </c>
      <c r="AH179">
        <v>71.143000000000001</v>
      </c>
      <c r="AI179">
        <v>66.394000000000005</v>
      </c>
      <c r="AJ179">
        <v>70.215000000000003</v>
      </c>
      <c r="AK179">
        <v>72.094999999999999</v>
      </c>
    </row>
    <row r="180" spans="1:40" x14ac:dyDescent="0.25">
      <c r="A180" t="s">
        <v>365</v>
      </c>
      <c r="B180" t="s">
        <v>366</v>
      </c>
      <c r="C180" t="s">
        <v>6</v>
      </c>
      <c r="D180">
        <v>0</v>
      </c>
      <c r="E180">
        <v>73.316999999999993</v>
      </c>
      <c r="F180">
        <v>73.036000000000001</v>
      </c>
      <c r="G180">
        <v>72.626999999999995</v>
      </c>
      <c r="H180">
        <v>72.534999999999997</v>
      </c>
      <c r="I180">
        <v>72.231999999999999</v>
      </c>
      <c r="J180">
        <v>71.971000000000004</v>
      </c>
      <c r="K180">
        <v>71.697999999999993</v>
      </c>
      <c r="L180">
        <v>71.384</v>
      </c>
      <c r="M180">
        <v>71.033000000000001</v>
      </c>
      <c r="N180">
        <v>70.694000000000003</v>
      </c>
      <c r="O180">
        <v>70.444000000000003</v>
      </c>
      <c r="P180">
        <v>70.200999999999993</v>
      </c>
      <c r="Q180">
        <v>69.966999999999999</v>
      </c>
      <c r="R180">
        <v>69.748999999999995</v>
      </c>
      <c r="S180">
        <v>69.563999999999993</v>
      </c>
      <c r="T180">
        <v>69.433000000000007</v>
      </c>
      <c r="U180">
        <v>69.337999999999994</v>
      </c>
      <c r="V180">
        <v>69.260999999999996</v>
      </c>
      <c r="W180">
        <v>69.203999999999994</v>
      </c>
      <c r="X180">
        <v>69.168000000000006</v>
      </c>
      <c r="Y180">
        <v>69.153000000000006</v>
      </c>
      <c r="Z180">
        <v>68.703000000000003</v>
      </c>
      <c r="AA180">
        <v>68.278999999999996</v>
      </c>
      <c r="AB180">
        <v>67.861000000000004</v>
      </c>
      <c r="AC180">
        <v>67.447999999999993</v>
      </c>
      <c r="AD180">
        <v>58.503</v>
      </c>
      <c r="AE180">
        <v>59.030999999999999</v>
      </c>
      <c r="AF180">
        <v>59.494</v>
      </c>
      <c r="AG180">
        <v>59.865000000000002</v>
      </c>
      <c r="AH180">
        <v>60.191000000000003</v>
      </c>
      <c r="AI180">
        <v>59.780999999999999</v>
      </c>
      <c r="AJ180">
        <v>59.473999999999997</v>
      </c>
      <c r="AK180">
        <v>60.982999999999997</v>
      </c>
      <c r="AL180">
        <v>61.182000000000002</v>
      </c>
      <c r="AM180">
        <v>61.369</v>
      </c>
      <c r="AN180">
        <v>61.228999999999999</v>
      </c>
    </row>
    <row r="181" spans="1:40" x14ac:dyDescent="0.25">
      <c r="A181" t="s">
        <v>367</v>
      </c>
      <c r="B181" t="s">
        <v>368</v>
      </c>
      <c r="C181" t="s">
        <v>14</v>
      </c>
      <c r="D181">
        <v>0</v>
      </c>
      <c r="E181">
        <v>69.298000000000002</v>
      </c>
      <c r="F181">
        <v>69.236999999999995</v>
      </c>
      <c r="G181">
        <v>69.191000000000003</v>
      </c>
      <c r="H181">
        <v>69.165000000000006</v>
      </c>
      <c r="I181">
        <v>69.171000000000006</v>
      </c>
      <c r="J181">
        <v>69.201999999999998</v>
      </c>
      <c r="K181">
        <v>69.234999999999999</v>
      </c>
      <c r="L181">
        <v>69.218999999999994</v>
      </c>
      <c r="M181">
        <v>69.174000000000007</v>
      </c>
      <c r="N181">
        <v>69.108000000000004</v>
      </c>
      <c r="O181">
        <v>68.986999999999995</v>
      </c>
      <c r="P181">
        <v>68.774000000000001</v>
      </c>
      <c r="Q181">
        <v>68.551000000000002</v>
      </c>
      <c r="R181">
        <v>68.352999999999994</v>
      </c>
      <c r="S181">
        <v>68.171000000000006</v>
      </c>
      <c r="T181">
        <v>67.994</v>
      </c>
      <c r="U181">
        <v>67.808000000000007</v>
      </c>
      <c r="V181">
        <v>67.622</v>
      </c>
      <c r="W181">
        <v>67.429000000000002</v>
      </c>
      <c r="X181">
        <v>67.236000000000004</v>
      </c>
      <c r="Y181">
        <v>67.052999999999997</v>
      </c>
      <c r="Z181">
        <v>66.896000000000001</v>
      </c>
      <c r="AA181">
        <v>66.734999999999999</v>
      </c>
      <c r="AB181">
        <v>66.539000000000001</v>
      </c>
      <c r="AC181">
        <v>66.296000000000006</v>
      </c>
      <c r="AD181">
        <v>66.024000000000001</v>
      </c>
      <c r="AE181">
        <v>65.72</v>
      </c>
      <c r="AF181">
        <v>65.388000000000005</v>
      </c>
      <c r="AG181">
        <v>65.043000000000006</v>
      </c>
      <c r="AH181">
        <v>67.179000000000002</v>
      </c>
      <c r="AI181">
        <v>67.566000000000003</v>
      </c>
      <c r="AJ181">
        <v>66.284999999999997</v>
      </c>
      <c r="AK181">
        <v>65.293999999999997</v>
      </c>
      <c r="AL181">
        <v>67.759</v>
      </c>
      <c r="AM181">
        <v>67.629000000000005</v>
      </c>
      <c r="AN181">
        <v>67.628</v>
      </c>
    </row>
    <row r="182" spans="1:40" x14ac:dyDescent="0.25">
      <c r="A182" t="s">
        <v>369</v>
      </c>
      <c r="B182" t="s">
        <v>370</v>
      </c>
      <c r="C182" t="s">
        <v>14</v>
      </c>
      <c r="D182">
        <v>0</v>
      </c>
      <c r="E182">
        <v>75.650999999999996</v>
      </c>
      <c r="F182">
        <v>75.201999999999998</v>
      </c>
      <c r="G182">
        <v>75.394999999999996</v>
      </c>
      <c r="H182">
        <v>75.715999999999994</v>
      </c>
      <c r="I182">
        <v>75.423000000000002</v>
      </c>
      <c r="J182">
        <v>74.869</v>
      </c>
      <c r="K182">
        <v>74.054000000000002</v>
      </c>
      <c r="L182">
        <v>73.174999999999997</v>
      </c>
      <c r="M182">
        <v>72.346000000000004</v>
      </c>
      <c r="N182">
        <v>71.664000000000001</v>
      </c>
      <c r="O182">
        <v>71.209000000000003</v>
      </c>
      <c r="P182">
        <v>70.903999999999996</v>
      </c>
      <c r="Q182">
        <v>70.798000000000002</v>
      </c>
      <c r="R182">
        <v>70.897000000000006</v>
      </c>
      <c r="S182">
        <v>71.081999999999994</v>
      </c>
      <c r="T182">
        <v>71.296000000000006</v>
      </c>
      <c r="U182">
        <v>71.421000000000006</v>
      </c>
      <c r="V182">
        <v>71.522999999999996</v>
      </c>
      <c r="W182">
        <v>71.741</v>
      </c>
      <c r="X182">
        <v>72.043999999999997</v>
      </c>
      <c r="Y182">
        <v>72.39</v>
      </c>
      <c r="Z182">
        <v>72.709999999999994</v>
      </c>
      <c r="AA182">
        <v>73.009</v>
      </c>
      <c r="AB182">
        <v>73.218000000000004</v>
      </c>
      <c r="AC182">
        <v>73.248000000000005</v>
      </c>
      <c r="AD182">
        <v>73.141999999999996</v>
      </c>
      <c r="AE182">
        <v>72.924000000000007</v>
      </c>
      <c r="AF182">
        <v>72.623999999999995</v>
      </c>
      <c r="AG182">
        <v>72.277000000000001</v>
      </c>
      <c r="AH182">
        <v>71.912999999999997</v>
      </c>
      <c r="AI182">
        <v>70.953999999999994</v>
      </c>
      <c r="AJ182">
        <v>71.715000000000003</v>
      </c>
      <c r="AK182">
        <v>71.706999999999994</v>
      </c>
      <c r="AL182">
        <v>74.445999999999998</v>
      </c>
      <c r="AM182">
        <v>74.358000000000004</v>
      </c>
      <c r="AN182">
        <v>74.263999999999996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036F3-A628-45CF-A634-C2F08B2D667E}">
  <dimension ref="A1:AN182"/>
  <sheetViews>
    <sheetView workbookViewId="0"/>
  </sheetViews>
  <sheetFormatPr defaultRowHeight="12.5" x14ac:dyDescent="0.25"/>
  <cols>
    <col min="1" max="1" width="60.453125" bestFit="1" customWidth="1"/>
    <col min="2" max="2" width="11.81640625" bestFit="1" customWidth="1"/>
  </cols>
  <sheetData>
    <row r="1" spans="1:40" x14ac:dyDescent="0.25">
      <c r="A1" t="s">
        <v>0</v>
      </c>
      <c r="B1" t="s">
        <v>1</v>
      </c>
      <c r="C1" t="s">
        <v>2</v>
      </c>
      <c r="D1" t="s">
        <v>3</v>
      </c>
      <c r="E1">
        <v>1990</v>
      </c>
      <c r="F1">
        <v>1991</v>
      </c>
      <c r="G1">
        <v>1992</v>
      </c>
      <c r="H1">
        <v>1993</v>
      </c>
      <c r="I1">
        <v>1994</v>
      </c>
      <c r="J1">
        <v>1995</v>
      </c>
      <c r="K1">
        <v>1996</v>
      </c>
      <c r="L1">
        <v>1997</v>
      </c>
      <c r="M1">
        <v>1998</v>
      </c>
      <c r="N1">
        <v>1999</v>
      </c>
      <c r="O1">
        <v>2000</v>
      </c>
      <c r="P1">
        <v>2001</v>
      </c>
      <c r="Q1">
        <v>2002</v>
      </c>
      <c r="R1">
        <v>2003</v>
      </c>
      <c r="S1">
        <v>2004</v>
      </c>
      <c r="T1">
        <v>2005</v>
      </c>
      <c r="U1">
        <v>2006</v>
      </c>
      <c r="V1">
        <v>2007</v>
      </c>
      <c r="W1">
        <v>2008</v>
      </c>
      <c r="X1">
        <v>2009</v>
      </c>
      <c r="Y1">
        <v>2010</v>
      </c>
      <c r="Z1">
        <v>2011</v>
      </c>
      <c r="AA1">
        <v>2012</v>
      </c>
      <c r="AB1">
        <v>2013</v>
      </c>
      <c r="AC1">
        <v>2014</v>
      </c>
      <c r="AD1">
        <v>2015</v>
      </c>
      <c r="AE1">
        <v>2016</v>
      </c>
      <c r="AF1">
        <v>2017</v>
      </c>
      <c r="AG1">
        <v>2018</v>
      </c>
      <c r="AH1">
        <v>2019</v>
      </c>
      <c r="AI1">
        <v>2020</v>
      </c>
      <c r="AJ1">
        <v>2021</v>
      </c>
      <c r="AK1">
        <v>2022</v>
      </c>
      <c r="AL1">
        <v>2023</v>
      </c>
      <c r="AM1">
        <v>2024</v>
      </c>
      <c r="AN1">
        <v>2025</v>
      </c>
    </row>
    <row r="2" spans="1:40" x14ac:dyDescent="0.25">
      <c r="A2" t="s">
        <v>4</v>
      </c>
      <c r="B2" t="s">
        <v>5</v>
      </c>
      <c r="C2" t="s">
        <v>6</v>
      </c>
      <c r="D2">
        <v>0</v>
      </c>
      <c r="E2">
        <v>15.739000000000001</v>
      </c>
      <c r="F2">
        <v>15.695</v>
      </c>
      <c r="G2">
        <v>15.618</v>
      </c>
      <c r="H2">
        <v>15.506</v>
      </c>
      <c r="I2">
        <v>15.358000000000001</v>
      </c>
      <c r="J2">
        <v>15.194000000000001</v>
      </c>
      <c r="K2">
        <v>15.015000000000001</v>
      </c>
      <c r="L2">
        <v>14.819000000000001</v>
      </c>
      <c r="M2">
        <v>14.625</v>
      </c>
      <c r="N2">
        <v>14.443</v>
      </c>
      <c r="O2">
        <v>14.294</v>
      </c>
      <c r="P2">
        <v>14.196</v>
      </c>
      <c r="Q2">
        <v>14.151999999999999</v>
      </c>
      <c r="R2">
        <v>14.154</v>
      </c>
      <c r="S2">
        <v>14.205</v>
      </c>
      <c r="T2">
        <v>14.302</v>
      </c>
      <c r="U2">
        <v>14.452</v>
      </c>
      <c r="V2">
        <v>14.67</v>
      </c>
      <c r="W2">
        <v>14.944000000000001</v>
      </c>
      <c r="X2">
        <v>15.247999999999999</v>
      </c>
      <c r="Y2">
        <v>15.571999999999999</v>
      </c>
      <c r="Z2">
        <v>15.893000000000001</v>
      </c>
      <c r="AA2">
        <v>16.207999999999998</v>
      </c>
      <c r="AB2">
        <v>17.138000000000002</v>
      </c>
      <c r="AC2">
        <v>18.106999999999999</v>
      </c>
      <c r="AD2">
        <v>19.113</v>
      </c>
      <c r="AE2">
        <v>20.155999999999999</v>
      </c>
      <c r="AF2">
        <v>21.24</v>
      </c>
      <c r="AG2">
        <v>19.805</v>
      </c>
      <c r="AH2">
        <v>18.297999999999998</v>
      </c>
      <c r="AI2">
        <v>16.474</v>
      </c>
      <c r="AJ2">
        <v>14.616</v>
      </c>
      <c r="AK2">
        <v>5.1589999999999998</v>
      </c>
      <c r="AL2">
        <v>5.1449999999999996</v>
      </c>
      <c r="AM2">
        <v>5.1230000000000002</v>
      </c>
      <c r="AN2">
        <v>5.0860000000000003</v>
      </c>
    </row>
    <row r="3" spans="1:40" x14ac:dyDescent="0.25">
      <c r="A3" t="s">
        <v>7</v>
      </c>
      <c r="B3" t="s">
        <v>8</v>
      </c>
      <c r="C3" t="s">
        <v>9</v>
      </c>
      <c r="D3">
        <v>0</v>
      </c>
      <c r="E3">
        <v>53.47</v>
      </c>
      <c r="F3">
        <v>59.052</v>
      </c>
      <c r="G3">
        <v>60.356999999999999</v>
      </c>
      <c r="H3">
        <v>58.56</v>
      </c>
      <c r="I3">
        <v>57.036999999999999</v>
      </c>
      <c r="J3">
        <v>54.819000000000003</v>
      </c>
      <c r="K3">
        <v>53.350999999999999</v>
      </c>
      <c r="L3">
        <v>55.15</v>
      </c>
      <c r="M3">
        <v>53.713999999999999</v>
      </c>
      <c r="N3">
        <v>51.823999999999998</v>
      </c>
      <c r="O3">
        <v>50.831000000000003</v>
      </c>
      <c r="P3">
        <v>49.68</v>
      </c>
      <c r="Q3">
        <v>49.088000000000001</v>
      </c>
      <c r="R3">
        <v>48.460999999999999</v>
      </c>
      <c r="S3">
        <v>47.844999999999999</v>
      </c>
      <c r="T3">
        <v>47.241999999999997</v>
      </c>
      <c r="U3">
        <v>46.652000000000001</v>
      </c>
      <c r="V3">
        <v>46.076000000000001</v>
      </c>
      <c r="W3">
        <v>45.514000000000003</v>
      </c>
      <c r="X3">
        <v>45.954999999999998</v>
      </c>
      <c r="Y3">
        <v>46.835000000000001</v>
      </c>
      <c r="Z3">
        <v>52.561</v>
      </c>
      <c r="AA3">
        <v>48.936</v>
      </c>
      <c r="AB3">
        <v>43.783000000000001</v>
      </c>
      <c r="AC3">
        <v>43.957999999999998</v>
      </c>
      <c r="AD3">
        <v>47.116999999999997</v>
      </c>
      <c r="AE3">
        <v>49.887999999999998</v>
      </c>
      <c r="AF3">
        <v>49.735999999999997</v>
      </c>
      <c r="AG3">
        <v>51.405999999999999</v>
      </c>
      <c r="AH3">
        <v>52.930999999999997</v>
      </c>
      <c r="AI3">
        <v>52.252000000000002</v>
      </c>
      <c r="AJ3">
        <v>52.523000000000003</v>
      </c>
      <c r="AK3">
        <v>56.406999999999996</v>
      </c>
      <c r="AL3">
        <v>57.963000000000001</v>
      </c>
      <c r="AM3">
        <v>58.154000000000003</v>
      </c>
      <c r="AN3">
        <v>58.567</v>
      </c>
    </row>
    <row r="4" spans="1:40" x14ac:dyDescent="0.25">
      <c r="A4" t="s">
        <v>10</v>
      </c>
      <c r="B4" t="s">
        <v>11</v>
      </c>
      <c r="C4" t="s">
        <v>6</v>
      </c>
      <c r="D4">
        <v>0</v>
      </c>
      <c r="E4">
        <v>11.705</v>
      </c>
      <c r="F4">
        <v>11.673999999999999</v>
      </c>
      <c r="G4">
        <v>11.663</v>
      </c>
      <c r="H4">
        <v>11.574</v>
      </c>
      <c r="I4">
        <v>11.539</v>
      </c>
      <c r="J4">
        <v>11.624000000000001</v>
      </c>
      <c r="K4">
        <v>11.737</v>
      </c>
      <c r="L4">
        <v>11.763</v>
      </c>
      <c r="M4">
        <v>11.823</v>
      </c>
      <c r="N4">
        <v>11.914</v>
      </c>
      <c r="O4">
        <v>12.026</v>
      </c>
      <c r="P4">
        <v>12.16</v>
      </c>
      <c r="Q4">
        <v>12.318</v>
      </c>
      <c r="R4">
        <v>12.503</v>
      </c>
      <c r="S4">
        <v>12.712999999999999</v>
      </c>
      <c r="T4">
        <v>12.954000000000001</v>
      </c>
      <c r="U4">
        <v>13.225</v>
      </c>
      <c r="V4">
        <v>13.528</v>
      </c>
      <c r="W4">
        <v>13.865</v>
      </c>
      <c r="X4">
        <v>14.234</v>
      </c>
      <c r="Y4">
        <v>14.417999999999999</v>
      </c>
      <c r="Z4">
        <v>14.614000000000001</v>
      </c>
      <c r="AA4">
        <v>14.821</v>
      </c>
      <c r="AB4">
        <v>15.036</v>
      </c>
      <c r="AC4">
        <v>15.256</v>
      </c>
      <c r="AD4">
        <v>15.257999999999999</v>
      </c>
      <c r="AE4">
        <v>15.031000000000001</v>
      </c>
      <c r="AF4">
        <v>14.919</v>
      </c>
      <c r="AG4">
        <v>14.801</v>
      </c>
      <c r="AH4">
        <v>14.677</v>
      </c>
      <c r="AI4">
        <v>13.206</v>
      </c>
      <c r="AJ4">
        <v>13.433</v>
      </c>
      <c r="AK4">
        <v>14.331</v>
      </c>
      <c r="AL4">
        <v>14.337999999999999</v>
      </c>
      <c r="AM4">
        <v>14.305999999999999</v>
      </c>
      <c r="AN4">
        <v>14.141999999999999</v>
      </c>
    </row>
    <row r="5" spans="1:40" x14ac:dyDescent="0.25">
      <c r="A5" t="s">
        <v>12</v>
      </c>
      <c r="B5" t="s">
        <v>13</v>
      </c>
      <c r="C5" t="s">
        <v>14</v>
      </c>
      <c r="D5">
        <v>0</v>
      </c>
      <c r="E5">
        <v>75.603999999999999</v>
      </c>
      <c r="F5">
        <v>75.555000000000007</v>
      </c>
      <c r="G5">
        <v>75.510999999999996</v>
      </c>
      <c r="H5">
        <v>75.472999999999999</v>
      </c>
      <c r="I5">
        <v>75.441999999999993</v>
      </c>
      <c r="J5">
        <v>75.426000000000002</v>
      </c>
      <c r="K5">
        <v>75.424999999999997</v>
      </c>
      <c r="L5">
        <v>75.433999999999997</v>
      </c>
      <c r="M5">
        <v>75.450999999999993</v>
      </c>
      <c r="N5">
        <v>75.471000000000004</v>
      </c>
      <c r="O5">
        <v>75.495000000000005</v>
      </c>
      <c r="P5">
        <v>75.522000000000006</v>
      </c>
      <c r="Q5">
        <v>75.548000000000002</v>
      </c>
      <c r="R5">
        <v>75.573999999999998</v>
      </c>
      <c r="S5">
        <v>75.596999999999994</v>
      </c>
      <c r="T5">
        <v>75.614999999999995</v>
      </c>
      <c r="U5">
        <v>75.626000000000005</v>
      </c>
      <c r="V5">
        <v>75.632999999999996</v>
      </c>
      <c r="W5">
        <v>75.632999999999996</v>
      </c>
      <c r="X5">
        <v>75.626999999999995</v>
      </c>
      <c r="Y5">
        <v>75.620999999999995</v>
      </c>
      <c r="Z5">
        <v>74.864999999999995</v>
      </c>
      <c r="AA5">
        <v>74.632999999999996</v>
      </c>
      <c r="AB5">
        <v>74.400000000000006</v>
      </c>
      <c r="AC5">
        <v>74.167000000000002</v>
      </c>
      <c r="AD5">
        <v>73.933000000000007</v>
      </c>
      <c r="AE5">
        <v>73.697000000000003</v>
      </c>
      <c r="AF5">
        <v>73.460999999999999</v>
      </c>
      <c r="AG5">
        <v>73.224000000000004</v>
      </c>
      <c r="AH5">
        <v>72.984999999999999</v>
      </c>
      <c r="AI5">
        <v>71.341999999999999</v>
      </c>
      <c r="AJ5">
        <v>74.694999999999993</v>
      </c>
      <c r="AK5">
        <v>74.018000000000001</v>
      </c>
      <c r="AL5">
        <v>72.317999999999998</v>
      </c>
      <c r="AM5">
        <v>72.358999999999995</v>
      </c>
      <c r="AN5">
        <v>72.224000000000004</v>
      </c>
    </row>
    <row r="6" spans="1:40" x14ac:dyDescent="0.25">
      <c r="A6" t="s">
        <v>15</v>
      </c>
      <c r="B6" t="s">
        <v>16</v>
      </c>
      <c r="C6" t="s">
        <v>17</v>
      </c>
      <c r="D6">
        <v>0</v>
      </c>
      <c r="E6">
        <v>43.116999999999997</v>
      </c>
      <c r="F6">
        <v>44.64</v>
      </c>
      <c r="G6">
        <v>46.08</v>
      </c>
      <c r="H6">
        <v>47.545999999999999</v>
      </c>
      <c r="I6">
        <v>48.661999999999999</v>
      </c>
      <c r="J6">
        <v>48.503</v>
      </c>
      <c r="K6">
        <v>49.453000000000003</v>
      </c>
      <c r="L6">
        <v>50.698</v>
      </c>
      <c r="M6">
        <v>51.286999999999999</v>
      </c>
      <c r="N6">
        <v>50.750999999999998</v>
      </c>
      <c r="O6">
        <v>50.536999999999999</v>
      </c>
      <c r="P6">
        <v>49.755000000000003</v>
      </c>
      <c r="Q6">
        <v>47.938000000000002</v>
      </c>
      <c r="R6">
        <v>48.936</v>
      </c>
      <c r="S6">
        <v>49.963000000000001</v>
      </c>
      <c r="T6">
        <v>49.097999999999999</v>
      </c>
      <c r="U6">
        <v>49.738</v>
      </c>
      <c r="V6">
        <v>48.901000000000003</v>
      </c>
      <c r="W6">
        <v>48.064</v>
      </c>
      <c r="X6">
        <v>48.789000000000001</v>
      </c>
      <c r="Y6">
        <v>47.689</v>
      </c>
      <c r="Z6">
        <v>47.947000000000003</v>
      </c>
      <c r="AA6">
        <v>48.055</v>
      </c>
      <c r="AB6">
        <v>47.642000000000003</v>
      </c>
      <c r="AC6">
        <v>47.417000000000002</v>
      </c>
      <c r="AD6">
        <v>47.497999999999998</v>
      </c>
      <c r="AE6">
        <v>47.582000000000001</v>
      </c>
      <c r="AF6">
        <v>47.665999999999997</v>
      </c>
      <c r="AG6">
        <v>49.146000000000001</v>
      </c>
      <c r="AH6">
        <v>50</v>
      </c>
      <c r="AI6">
        <v>46.485999999999997</v>
      </c>
      <c r="AJ6">
        <v>50.26</v>
      </c>
      <c r="AK6">
        <v>51.868000000000002</v>
      </c>
      <c r="AL6">
        <v>52.957999999999998</v>
      </c>
      <c r="AM6">
        <v>52.280999999999999</v>
      </c>
      <c r="AN6">
        <v>52.469000000000001</v>
      </c>
    </row>
    <row r="7" spans="1:40" x14ac:dyDescent="0.25">
      <c r="A7" t="s">
        <v>18</v>
      </c>
      <c r="B7" t="s">
        <v>19</v>
      </c>
      <c r="C7" t="s">
        <v>6</v>
      </c>
      <c r="D7">
        <v>0</v>
      </c>
      <c r="E7">
        <v>57.600999999999999</v>
      </c>
      <c r="F7">
        <v>57.536000000000001</v>
      </c>
      <c r="G7">
        <v>57.274999999999999</v>
      </c>
      <c r="H7">
        <v>56.808</v>
      </c>
      <c r="I7">
        <v>56.26</v>
      </c>
      <c r="J7">
        <v>55.715000000000003</v>
      </c>
      <c r="K7">
        <v>55.238999999999997</v>
      </c>
      <c r="L7">
        <v>54.822000000000003</v>
      </c>
      <c r="M7">
        <v>54.56</v>
      </c>
      <c r="N7">
        <v>54.476999999999997</v>
      </c>
      <c r="O7">
        <v>54.459000000000003</v>
      </c>
      <c r="P7">
        <v>54.317</v>
      </c>
      <c r="Q7">
        <v>54.029000000000003</v>
      </c>
      <c r="R7">
        <v>53.753</v>
      </c>
      <c r="S7">
        <v>53.518000000000001</v>
      </c>
      <c r="T7">
        <v>53.338000000000001</v>
      </c>
      <c r="U7">
        <v>53.243000000000002</v>
      </c>
      <c r="V7">
        <v>53.273000000000003</v>
      </c>
      <c r="W7">
        <v>52.96</v>
      </c>
      <c r="X7">
        <v>54.372999999999998</v>
      </c>
      <c r="Y7">
        <v>54.4</v>
      </c>
      <c r="Z7">
        <v>54.222000000000001</v>
      </c>
      <c r="AA7">
        <v>53.927999999999997</v>
      </c>
      <c r="AB7">
        <v>53.878</v>
      </c>
      <c r="AC7">
        <v>53.835000000000001</v>
      </c>
      <c r="AD7">
        <v>53.826000000000001</v>
      </c>
      <c r="AE7">
        <v>53.881</v>
      </c>
      <c r="AF7">
        <v>53.765999999999998</v>
      </c>
      <c r="AG7">
        <v>53.631</v>
      </c>
      <c r="AH7">
        <v>50.798999999999999</v>
      </c>
      <c r="AI7">
        <v>54.317</v>
      </c>
      <c r="AJ7">
        <v>55.118000000000002</v>
      </c>
      <c r="AK7">
        <v>50.24</v>
      </c>
      <c r="AL7">
        <v>51.517000000000003</v>
      </c>
      <c r="AM7">
        <v>51.585999999999999</v>
      </c>
      <c r="AN7">
        <v>51.057000000000002</v>
      </c>
    </row>
    <row r="8" spans="1:40" x14ac:dyDescent="0.25">
      <c r="A8" t="s">
        <v>20</v>
      </c>
      <c r="B8" t="s">
        <v>21</v>
      </c>
      <c r="C8" t="s">
        <v>22</v>
      </c>
      <c r="D8">
        <v>0</v>
      </c>
      <c r="E8">
        <v>52.307000000000002</v>
      </c>
      <c r="F8">
        <v>52.037999999999997</v>
      </c>
      <c r="G8">
        <v>51.996000000000002</v>
      </c>
      <c r="H8">
        <v>51.77</v>
      </c>
      <c r="I8">
        <v>52.67</v>
      </c>
      <c r="J8">
        <v>53.674999999999997</v>
      </c>
      <c r="K8">
        <v>53.859000000000002</v>
      </c>
      <c r="L8">
        <v>53.66</v>
      </c>
      <c r="M8">
        <v>53.720999999999997</v>
      </c>
      <c r="N8">
        <v>53.726999999999997</v>
      </c>
      <c r="O8">
        <v>54.618000000000002</v>
      </c>
      <c r="P8">
        <v>55.158000000000001</v>
      </c>
      <c r="Q8">
        <v>55.354999999999997</v>
      </c>
      <c r="R8">
        <v>56.012999999999998</v>
      </c>
      <c r="S8">
        <v>55.774000000000001</v>
      </c>
      <c r="T8">
        <v>57.048000000000002</v>
      </c>
      <c r="U8">
        <v>57.582000000000001</v>
      </c>
      <c r="V8">
        <v>58.134999999999998</v>
      </c>
      <c r="W8">
        <v>58.603000000000002</v>
      </c>
      <c r="X8">
        <v>58.792000000000002</v>
      </c>
      <c r="Y8">
        <v>58.676000000000002</v>
      </c>
      <c r="Z8">
        <v>58.930999999999997</v>
      </c>
      <c r="AA8">
        <v>58.832999999999998</v>
      </c>
      <c r="AB8">
        <v>58.738999999999997</v>
      </c>
      <c r="AC8">
        <v>58.704000000000001</v>
      </c>
      <c r="AD8">
        <v>59.151000000000003</v>
      </c>
      <c r="AE8">
        <v>59.381</v>
      </c>
      <c r="AF8">
        <v>59.877000000000002</v>
      </c>
      <c r="AG8">
        <v>60.628</v>
      </c>
      <c r="AH8">
        <v>61.030999999999999</v>
      </c>
      <c r="AI8">
        <v>60.136000000000003</v>
      </c>
      <c r="AJ8">
        <v>61.515999999999998</v>
      </c>
      <c r="AK8">
        <v>62.524000000000001</v>
      </c>
      <c r="AL8">
        <v>62.576000000000001</v>
      </c>
      <c r="AM8">
        <v>62.646999999999998</v>
      </c>
      <c r="AN8">
        <v>62.512999999999998</v>
      </c>
    </row>
    <row r="9" spans="1:40" x14ac:dyDescent="0.25">
      <c r="A9" t="s">
        <v>23</v>
      </c>
      <c r="B9" t="s">
        <v>24</v>
      </c>
      <c r="C9" t="s">
        <v>9</v>
      </c>
      <c r="D9">
        <v>0</v>
      </c>
      <c r="E9">
        <v>43.095999999999997</v>
      </c>
      <c r="F9">
        <v>43.646999999999998</v>
      </c>
      <c r="G9">
        <v>45.051000000000002</v>
      </c>
      <c r="H9">
        <v>45.646999999999998</v>
      </c>
      <c r="I9">
        <v>48.112000000000002</v>
      </c>
      <c r="J9">
        <v>48.713999999999999</v>
      </c>
      <c r="K9">
        <v>48.267000000000003</v>
      </c>
      <c r="L9">
        <v>48.253</v>
      </c>
      <c r="M9">
        <v>48.82</v>
      </c>
      <c r="N9">
        <v>48.997999999999998</v>
      </c>
      <c r="O9">
        <v>48.991</v>
      </c>
      <c r="P9">
        <v>48.860999999999997</v>
      </c>
      <c r="Q9">
        <v>50.127000000000002</v>
      </c>
      <c r="R9">
        <v>50.231999999999999</v>
      </c>
      <c r="S9">
        <v>50.058999999999997</v>
      </c>
      <c r="T9">
        <v>50.866</v>
      </c>
      <c r="U9">
        <v>51.540999999999997</v>
      </c>
      <c r="V9">
        <v>52.378999999999998</v>
      </c>
      <c r="W9">
        <v>52.872</v>
      </c>
      <c r="X9">
        <v>53.539000000000001</v>
      </c>
      <c r="Y9">
        <v>53.648000000000003</v>
      </c>
      <c r="Z9">
        <v>53.942</v>
      </c>
      <c r="AA9">
        <v>54.445999999999998</v>
      </c>
      <c r="AB9">
        <v>54.710999999999999</v>
      </c>
      <c r="AC9">
        <v>54.762999999999998</v>
      </c>
      <c r="AD9">
        <v>54.826999999999998</v>
      </c>
      <c r="AE9">
        <v>55.348999999999997</v>
      </c>
      <c r="AF9">
        <v>55.350999999999999</v>
      </c>
      <c r="AG9">
        <v>55.426000000000002</v>
      </c>
      <c r="AH9">
        <v>55.514000000000003</v>
      </c>
      <c r="AI9">
        <v>55.223999999999997</v>
      </c>
      <c r="AJ9">
        <v>55.35</v>
      </c>
      <c r="AK9">
        <v>55.688000000000002</v>
      </c>
      <c r="AL9">
        <v>55.811999999999998</v>
      </c>
      <c r="AM9">
        <v>55.408000000000001</v>
      </c>
      <c r="AN9">
        <v>55.058999999999997</v>
      </c>
    </row>
    <row r="10" spans="1:40" x14ac:dyDescent="0.25">
      <c r="A10" t="s">
        <v>25</v>
      </c>
      <c r="B10" t="s">
        <v>26</v>
      </c>
      <c r="C10" t="s">
        <v>6</v>
      </c>
      <c r="D10">
        <v>0</v>
      </c>
      <c r="E10">
        <v>64.260000000000005</v>
      </c>
      <c r="F10">
        <v>64.489000000000004</v>
      </c>
      <c r="G10">
        <v>66.843000000000004</v>
      </c>
      <c r="H10">
        <v>69.968000000000004</v>
      </c>
      <c r="I10">
        <v>73.087000000000003</v>
      </c>
      <c r="J10">
        <v>75.155000000000001</v>
      </c>
      <c r="K10">
        <v>75.293000000000006</v>
      </c>
      <c r="L10">
        <v>74.902000000000001</v>
      </c>
      <c r="M10">
        <v>74.02</v>
      </c>
      <c r="N10">
        <v>73.433999999999997</v>
      </c>
      <c r="O10">
        <v>72.204999999999998</v>
      </c>
      <c r="P10">
        <v>70.283000000000001</v>
      </c>
      <c r="Q10">
        <v>68.822999999999993</v>
      </c>
      <c r="R10">
        <v>66.626000000000005</v>
      </c>
      <c r="S10">
        <v>64.221999999999994</v>
      </c>
      <c r="T10">
        <v>62.978000000000002</v>
      </c>
      <c r="U10">
        <v>61.161999999999999</v>
      </c>
      <c r="V10">
        <v>56.405000000000001</v>
      </c>
      <c r="W10">
        <v>56.427999999999997</v>
      </c>
      <c r="X10">
        <v>58.091999999999999</v>
      </c>
      <c r="Y10">
        <v>59.792999999999999</v>
      </c>
      <c r="Z10">
        <v>59.433999999999997</v>
      </c>
      <c r="AA10">
        <v>59.237000000000002</v>
      </c>
      <c r="AB10">
        <v>59.363999999999997</v>
      </c>
      <c r="AC10">
        <v>60.244</v>
      </c>
      <c r="AD10">
        <v>61.095999999999997</v>
      </c>
      <c r="AE10">
        <v>62.042999999999999</v>
      </c>
      <c r="AF10">
        <v>62.213000000000001</v>
      </c>
      <c r="AG10">
        <v>62.63</v>
      </c>
      <c r="AH10">
        <v>62.441000000000003</v>
      </c>
      <c r="AI10">
        <v>64.382000000000005</v>
      </c>
      <c r="AJ10">
        <v>61.173999999999999</v>
      </c>
      <c r="AK10">
        <v>62.164999999999999</v>
      </c>
      <c r="AL10">
        <v>61.747999999999998</v>
      </c>
      <c r="AM10">
        <v>61.35</v>
      </c>
      <c r="AN10">
        <v>60.759</v>
      </c>
    </row>
    <row r="11" spans="1:40" x14ac:dyDescent="0.25">
      <c r="A11" t="s">
        <v>27</v>
      </c>
      <c r="B11" t="s">
        <v>28</v>
      </c>
      <c r="C11" t="s">
        <v>17</v>
      </c>
      <c r="D11">
        <v>0</v>
      </c>
      <c r="E11">
        <v>64.325999999999993</v>
      </c>
      <c r="F11">
        <v>64.787999999999997</v>
      </c>
      <c r="G11">
        <v>65.238</v>
      </c>
      <c r="H11">
        <v>65.668000000000006</v>
      </c>
      <c r="I11">
        <v>66.069999999999993</v>
      </c>
      <c r="J11">
        <v>66.492000000000004</v>
      </c>
      <c r="K11">
        <v>66.882999999999996</v>
      </c>
      <c r="L11">
        <v>67.244</v>
      </c>
      <c r="M11">
        <v>67.573999999999998</v>
      </c>
      <c r="N11">
        <v>67.852999999999994</v>
      </c>
      <c r="O11">
        <v>68.088999999999999</v>
      </c>
      <c r="P11">
        <v>68.302999999999997</v>
      </c>
      <c r="Q11">
        <v>68.495000000000005</v>
      </c>
      <c r="R11">
        <v>68.668000000000006</v>
      </c>
      <c r="S11">
        <v>68.825000000000003</v>
      </c>
      <c r="T11">
        <v>68.965000000000003</v>
      </c>
      <c r="U11">
        <v>69.100999999999999</v>
      </c>
      <c r="V11">
        <v>69.224999999999994</v>
      </c>
      <c r="W11">
        <v>69.337000000000003</v>
      </c>
      <c r="X11">
        <v>69.433000000000007</v>
      </c>
      <c r="Y11">
        <v>69.521000000000001</v>
      </c>
      <c r="Z11">
        <v>69.632999999999996</v>
      </c>
      <c r="AA11">
        <v>69.763999999999996</v>
      </c>
      <c r="AB11">
        <v>69.915000000000006</v>
      </c>
      <c r="AC11">
        <v>70.09</v>
      </c>
      <c r="AD11">
        <v>70.290999999999997</v>
      </c>
      <c r="AE11">
        <v>70.509</v>
      </c>
      <c r="AF11">
        <v>70.760000000000005</v>
      </c>
      <c r="AG11">
        <v>71.022999999999996</v>
      </c>
      <c r="AH11">
        <v>71.251999999999995</v>
      </c>
      <c r="AI11">
        <v>65.17</v>
      </c>
      <c r="AJ11">
        <v>66.863</v>
      </c>
      <c r="AK11">
        <v>70.887</v>
      </c>
      <c r="AL11">
        <v>71.013999999999996</v>
      </c>
      <c r="AM11">
        <v>70.972999999999999</v>
      </c>
      <c r="AN11">
        <v>70.727999999999994</v>
      </c>
    </row>
    <row r="12" spans="1:40" x14ac:dyDescent="0.25">
      <c r="A12" t="s">
        <v>29</v>
      </c>
      <c r="B12" t="s">
        <v>30</v>
      </c>
      <c r="C12" t="s">
        <v>6</v>
      </c>
      <c r="D12">
        <v>0</v>
      </c>
      <c r="E12">
        <v>29.681000000000001</v>
      </c>
      <c r="F12">
        <v>29.122</v>
      </c>
      <c r="G12">
        <v>29.71</v>
      </c>
      <c r="H12">
        <v>30.225999999999999</v>
      </c>
      <c r="I12">
        <v>30.73</v>
      </c>
      <c r="J12">
        <v>31.238</v>
      </c>
      <c r="K12">
        <v>31.771000000000001</v>
      </c>
      <c r="L12">
        <v>32.341999999999999</v>
      </c>
      <c r="M12">
        <v>32.956000000000003</v>
      </c>
      <c r="N12">
        <v>33.597000000000001</v>
      </c>
      <c r="O12">
        <v>34.267000000000003</v>
      </c>
      <c r="P12">
        <v>34.909999999999997</v>
      </c>
      <c r="Q12">
        <v>35.493000000000002</v>
      </c>
      <c r="R12">
        <v>36.073</v>
      </c>
      <c r="S12">
        <v>36.673000000000002</v>
      </c>
      <c r="T12">
        <v>37.61</v>
      </c>
      <c r="U12">
        <v>38.619999999999997</v>
      </c>
      <c r="V12">
        <v>39.726999999999997</v>
      </c>
      <c r="W12">
        <v>40.942999999999998</v>
      </c>
      <c r="X12">
        <v>42.274000000000001</v>
      </c>
      <c r="Y12">
        <v>43.59</v>
      </c>
      <c r="Z12">
        <v>42.579000000000001</v>
      </c>
      <c r="AA12">
        <v>42.805999999999997</v>
      </c>
      <c r="AB12">
        <v>42.951999999999998</v>
      </c>
      <c r="AC12">
        <v>43.094999999999999</v>
      </c>
      <c r="AD12">
        <v>43.369</v>
      </c>
      <c r="AE12">
        <v>43.542999999999999</v>
      </c>
      <c r="AF12">
        <v>43.581000000000003</v>
      </c>
      <c r="AG12">
        <v>43.209000000000003</v>
      </c>
      <c r="AH12">
        <v>42.515999999999998</v>
      </c>
      <c r="AI12">
        <v>41.046999999999997</v>
      </c>
      <c r="AJ12">
        <v>41.195999999999998</v>
      </c>
      <c r="AK12">
        <v>42.204999999999998</v>
      </c>
      <c r="AL12">
        <v>42.381999999999998</v>
      </c>
      <c r="AM12">
        <v>42.405999999999999</v>
      </c>
      <c r="AN12">
        <v>42.293999999999997</v>
      </c>
    </row>
    <row r="13" spans="1:40" x14ac:dyDescent="0.25">
      <c r="A13" t="s">
        <v>31</v>
      </c>
      <c r="B13" t="s">
        <v>32</v>
      </c>
      <c r="C13" t="s">
        <v>22</v>
      </c>
      <c r="D13">
        <v>0</v>
      </c>
      <c r="E13">
        <v>24.207000000000001</v>
      </c>
      <c r="F13">
        <v>24.564</v>
      </c>
      <c r="G13">
        <v>24.977</v>
      </c>
      <c r="H13">
        <v>25.434000000000001</v>
      </c>
      <c r="I13">
        <v>25.931000000000001</v>
      </c>
      <c r="J13">
        <v>26.466999999999999</v>
      </c>
      <c r="K13">
        <v>27.021000000000001</v>
      </c>
      <c r="L13">
        <v>27.530999999999999</v>
      </c>
      <c r="M13">
        <v>27.966000000000001</v>
      </c>
      <c r="N13">
        <v>28.344999999999999</v>
      </c>
      <c r="O13">
        <v>28.670999999999999</v>
      </c>
      <c r="P13">
        <v>28.878</v>
      </c>
      <c r="Q13">
        <v>28.98</v>
      </c>
      <c r="R13">
        <v>29.055</v>
      </c>
      <c r="S13">
        <v>29.123000000000001</v>
      </c>
      <c r="T13">
        <v>29.193999999999999</v>
      </c>
      <c r="U13">
        <v>29.241</v>
      </c>
      <c r="V13">
        <v>30.797000000000001</v>
      </c>
      <c r="W13">
        <v>32.398000000000003</v>
      </c>
      <c r="X13">
        <v>34.040999999999997</v>
      </c>
      <c r="Y13">
        <v>35.722999999999999</v>
      </c>
      <c r="Z13">
        <v>35.021000000000001</v>
      </c>
      <c r="AA13">
        <v>34.316000000000003</v>
      </c>
      <c r="AB13">
        <v>33.616</v>
      </c>
      <c r="AC13">
        <v>33.570999999999998</v>
      </c>
      <c r="AD13">
        <v>33.530999999999999</v>
      </c>
      <c r="AE13">
        <v>33.497</v>
      </c>
      <c r="AF13">
        <v>36.676000000000002</v>
      </c>
      <c r="AG13">
        <v>38.055999999999997</v>
      </c>
      <c r="AH13">
        <v>39.33</v>
      </c>
      <c r="AI13">
        <v>40.323</v>
      </c>
      <c r="AJ13">
        <v>42.180999999999997</v>
      </c>
      <c r="AK13">
        <v>43.686999999999998</v>
      </c>
      <c r="AL13">
        <v>41.874000000000002</v>
      </c>
      <c r="AM13">
        <v>38.707999999999998</v>
      </c>
      <c r="AN13">
        <v>38.649000000000001</v>
      </c>
    </row>
    <row r="14" spans="1:40" x14ac:dyDescent="0.25">
      <c r="A14" t="s">
        <v>33</v>
      </c>
      <c r="B14" t="s">
        <v>34</v>
      </c>
      <c r="C14" t="s">
        <v>17</v>
      </c>
      <c r="D14">
        <v>0</v>
      </c>
      <c r="E14">
        <v>60.938000000000002</v>
      </c>
      <c r="F14">
        <v>60.930999999999997</v>
      </c>
      <c r="G14">
        <v>60.871000000000002</v>
      </c>
      <c r="H14">
        <v>61.48</v>
      </c>
      <c r="I14">
        <v>62.085000000000001</v>
      </c>
      <c r="J14">
        <v>63.353000000000002</v>
      </c>
      <c r="K14">
        <v>63.609000000000002</v>
      </c>
      <c r="L14">
        <v>63.033000000000001</v>
      </c>
      <c r="M14">
        <v>63.249000000000002</v>
      </c>
      <c r="N14">
        <v>63.417999999999999</v>
      </c>
      <c r="O14">
        <v>63.612000000000002</v>
      </c>
      <c r="P14">
        <v>63.804000000000002</v>
      </c>
      <c r="Q14">
        <v>63.93</v>
      </c>
      <c r="R14">
        <v>64.051000000000002</v>
      </c>
      <c r="S14">
        <v>64.710999999999999</v>
      </c>
      <c r="T14">
        <v>64.688999999999993</v>
      </c>
      <c r="U14">
        <v>64.674999999999997</v>
      </c>
      <c r="V14">
        <v>64.677000000000007</v>
      </c>
      <c r="W14">
        <v>64.646000000000001</v>
      </c>
      <c r="X14">
        <v>64.545000000000002</v>
      </c>
      <c r="Y14">
        <v>64.421999999999997</v>
      </c>
      <c r="Z14">
        <v>64.298000000000002</v>
      </c>
      <c r="AA14">
        <v>62.881</v>
      </c>
      <c r="AB14">
        <v>63.997</v>
      </c>
      <c r="AC14">
        <v>63.225000000000001</v>
      </c>
      <c r="AD14">
        <v>61.731000000000002</v>
      </c>
      <c r="AE14">
        <v>62.527999999999999</v>
      </c>
      <c r="AF14">
        <v>62.517000000000003</v>
      </c>
      <c r="AG14">
        <v>61.625</v>
      </c>
      <c r="AH14">
        <v>61.588000000000001</v>
      </c>
      <c r="AI14">
        <v>59.686999999999998</v>
      </c>
      <c r="AJ14">
        <v>58.963000000000001</v>
      </c>
      <c r="AK14">
        <v>61.109000000000002</v>
      </c>
      <c r="AL14">
        <v>61.146000000000001</v>
      </c>
      <c r="AM14">
        <v>61.371000000000002</v>
      </c>
      <c r="AN14">
        <v>61.03</v>
      </c>
    </row>
    <row r="15" spans="1:40" x14ac:dyDescent="0.25">
      <c r="A15" t="s">
        <v>35</v>
      </c>
      <c r="B15" t="s">
        <v>36</v>
      </c>
      <c r="C15" t="s">
        <v>9</v>
      </c>
      <c r="D15">
        <v>0</v>
      </c>
      <c r="E15">
        <v>53.100999999999999</v>
      </c>
      <c r="F15">
        <v>52.884999999999998</v>
      </c>
      <c r="G15">
        <v>52.792000000000002</v>
      </c>
      <c r="H15">
        <v>52.706000000000003</v>
      </c>
      <c r="I15">
        <v>52.844000000000001</v>
      </c>
      <c r="J15">
        <v>53.079000000000001</v>
      </c>
      <c r="K15">
        <v>52.865000000000002</v>
      </c>
      <c r="L15">
        <v>52.499000000000002</v>
      </c>
      <c r="M15">
        <v>52.482999999999997</v>
      </c>
      <c r="N15">
        <v>52.722999999999999</v>
      </c>
      <c r="O15">
        <v>53.472000000000001</v>
      </c>
      <c r="P15">
        <v>54.121000000000002</v>
      </c>
      <c r="Q15">
        <v>54.578000000000003</v>
      </c>
      <c r="R15">
        <v>54.932000000000002</v>
      </c>
      <c r="S15">
        <v>55.18</v>
      </c>
      <c r="T15">
        <v>55.417999999999999</v>
      </c>
      <c r="U15">
        <v>55.722999999999999</v>
      </c>
      <c r="V15">
        <v>56.055</v>
      </c>
      <c r="W15">
        <v>56.488</v>
      </c>
      <c r="X15">
        <v>56.960999999999999</v>
      </c>
      <c r="Y15">
        <v>57.406999999999996</v>
      </c>
      <c r="Z15">
        <v>57.832000000000001</v>
      </c>
      <c r="AA15">
        <v>58.161999999999999</v>
      </c>
      <c r="AB15">
        <v>58.402000000000001</v>
      </c>
      <c r="AC15">
        <v>58.566000000000003</v>
      </c>
      <c r="AD15">
        <v>58.667999999999999</v>
      </c>
      <c r="AE15">
        <v>58.75</v>
      </c>
      <c r="AF15">
        <v>58.591000000000001</v>
      </c>
      <c r="AG15">
        <v>58.081000000000003</v>
      </c>
      <c r="AH15">
        <v>58.277000000000001</v>
      </c>
      <c r="AI15">
        <v>57.884</v>
      </c>
      <c r="AJ15">
        <v>58.024000000000001</v>
      </c>
      <c r="AK15">
        <v>57.892000000000003</v>
      </c>
      <c r="AL15">
        <v>57.417000000000002</v>
      </c>
      <c r="AM15">
        <v>57.228999999999999</v>
      </c>
      <c r="AN15">
        <v>56.768999999999998</v>
      </c>
    </row>
    <row r="16" spans="1:40" x14ac:dyDescent="0.25">
      <c r="A16" t="s">
        <v>37</v>
      </c>
      <c r="B16" t="s">
        <v>38</v>
      </c>
      <c r="C16" t="s">
        <v>9</v>
      </c>
      <c r="D16">
        <v>0</v>
      </c>
      <c r="E16">
        <v>36.46</v>
      </c>
      <c r="F16">
        <v>37.914000000000001</v>
      </c>
      <c r="G16">
        <v>38.759</v>
      </c>
      <c r="H16">
        <v>39.460999999999999</v>
      </c>
      <c r="I16">
        <v>40.04</v>
      </c>
      <c r="J16">
        <v>40.423999999999999</v>
      </c>
      <c r="K16">
        <v>40.526000000000003</v>
      </c>
      <c r="L16">
        <v>40.970999999999997</v>
      </c>
      <c r="M16">
        <v>41.54</v>
      </c>
      <c r="N16">
        <v>43.146999999999998</v>
      </c>
      <c r="O16">
        <v>43.616</v>
      </c>
      <c r="P16">
        <v>41.786999999999999</v>
      </c>
      <c r="Q16">
        <v>42.506</v>
      </c>
      <c r="R16">
        <v>42.881</v>
      </c>
      <c r="S16">
        <v>44.185000000000002</v>
      </c>
      <c r="T16">
        <v>45.686999999999998</v>
      </c>
      <c r="U16">
        <v>45.817999999999998</v>
      </c>
      <c r="V16">
        <v>46.59</v>
      </c>
      <c r="W16">
        <v>46.927999999999997</v>
      </c>
      <c r="X16">
        <v>46.978999999999999</v>
      </c>
      <c r="Y16">
        <v>47.774000000000001</v>
      </c>
      <c r="Z16">
        <v>47.103000000000002</v>
      </c>
      <c r="AA16">
        <v>47.155000000000001</v>
      </c>
      <c r="AB16">
        <v>47.804000000000002</v>
      </c>
      <c r="AC16">
        <v>48.125</v>
      </c>
      <c r="AD16">
        <v>48.045000000000002</v>
      </c>
      <c r="AE16">
        <v>47.81</v>
      </c>
      <c r="AF16">
        <v>47.973999999999997</v>
      </c>
      <c r="AG16">
        <v>48.768999999999998</v>
      </c>
      <c r="AH16">
        <v>49.097000000000001</v>
      </c>
      <c r="AI16">
        <v>48.658999999999999</v>
      </c>
      <c r="AJ16">
        <v>49.366999999999997</v>
      </c>
      <c r="AK16">
        <v>50.029000000000003</v>
      </c>
      <c r="AL16">
        <v>49.834000000000003</v>
      </c>
      <c r="AM16">
        <v>49.97</v>
      </c>
      <c r="AN16">
        <v>49.78</v>
      </c>
    </row>
    <row r="17" spans="1:40" x14ac:dyDescent="0.25">
      <c r="A17" t="s">
        <v>39</v>
      </c>
      <c r="B17" t="s">
        <v>40</v>
      </c>
      <c r="C17" t="s">
        <v>17</v>
      </c>
      <c r="D17">
        <v>0</v>
      </c>
      <c r="E17">
        <v>32.662999999999997</v>
      </c>
      <c r="F17">
        <v>33.332000000000001</v>
      </c>
      <c r="G17">
        <v>34.061</v>
      </c>
      <c r="H17">
        <v>34.368000000000002</v>
      </c>
      <c r="I17">
        <v>34.28</v>
      </c>
      <c r="J17">
        <v>35.616</v>
      </c>
      <c r="K17">
        <v>36.966999999999999</v>
      </c>
      <c r="L17">
        <v>38.340000000000003</v>
      </c>
      <c r="M17">
        <v>39.252000000000002</v>
      </c>
      <c r="N17">
        <v>39.296999999999997</v>
      </c>
      <c r="O17">
        <v>39.808</v>
      </c>
      <c r="P17">
        <v>40.317</v>
      </c>
      <c r="Q17">
        <v>40.829000000000001</v>
      </c>
      <c r="R17">
        <v>41.345999999999997</v>
      </c>
      <c r="S17">
        <v>41.863999999999997</v>
      </c>
      <c r="T17">
        <v>42.384999999999998</v>
      </c>
      <c r="U17">
        <v>42.908000000000001</v>
      </c>
      <c r="V17">
        <v>43.433</v>
      </c>
      <c r="W17">
        <v>43.959000000000003</v>
      </c>
      <c r="X17">
        <v>44.485999999999997</v>
      </c>
      <c r="Y17">
        <v>44.997999999999998</v>
      </c>
      <c r="Z17">
        <v>45.496000000000002</v>
      </c>
      <c r="AA17">
        <v>45.997999999999998</v>
      </c>
      <c r="AB17">
        <v>46.500999999999998</v>
      </c>
      <c r="AC17">
        <v>47.392000000000003</v>
      </c>
      <c r="AD17">
        <v>48.253</v>
      </c>
      <c r="AE17">
        <v>49.100999999999999</v>
      </c>
      <c r="AF17">
        <v>48.677999999999997</v>
      </c>
      <c r="AG17">
        <v>54.103000000000002</v>
      </c>
      <c r="AH17">
        <v>57.095999999999997</v>
      </c>
      <c r="AI17">
        <v>41.478000000000002</v>
      </c>
      <c r="AJ17">
        <v>46.813000000000002</v>
      </c>
      <c r="AK17">
        <v>43.563000000000002</v>
      </c>
      <c r="AL17">
        <v>44.076000000000001</v>
      </c>
      <c r="AM17">
        <v>43.832999999999998</v>
      </c>
      <c r="AN17">
        <v>46.472000000000001</v>
      </c>
    </row>
    <row r="18" spans="1:40" x14ac:dyDescent="0.25">
      <c r="A18" t="s">
        <v>41</v>
      </c>
      <c r="B18" t="s">
        <v>42</v>
      </c>
      <c r="C18" t="s">
        <v>14</v>
      </c>
      <c r="D18">
        <v>0</v>
      </c>
      <c r="E18">
        <v>57.113</v>
      </c>
      <c r="F18">
        <v>57.095999999999997</v>
      </c>
      <c r="G18">
        <v>57.082000000000001</v>
      </c>
      <c r="H18">
        <v>57.802999999999997</v>
      </c>
      <c r="I18">
        <v>58.548000000000002</v>
      </c>
      <c r="J18">
        <v>59.322000000000003</v>
      </c>
      <c r="K18">
        <v>60.109000000000002</v>
      </c>
      <c r="L18">
        <v>60.912999999999997</v>
      </c>
      <c r="M18">
        <v>61.741</v>
      </c>
      <c r="N18">
        <v>62.594000000000001</v>
      </c>
      <c r="O18">
        <v>63.473999999999997</v>
      </c>
      <c r="P18">
        <v>64.381</v>
      </c>
      <c r="Q18">
        <v>65.319000000000003</v>
      </c>
      <c r="R18">
        <v>65.78</v>
      </c>
      <c r="S18">
        <v>66.244</v>
      </c>
      <c r="T18">
        <v>66.715000000000003</v>
      </c>
      <c r="U18">
        <v>67.186999999999998</v>
      </c>
      <c r="V18">
        <v>67.66</v>
      </c>
      <c r="W18">
        <v>68.135999999999996</v>
      </c>
      <c r="X18">
        <v>68.616</v>
      </c>
      <c r="Y18">
        <v>69.099999999999994</v>
      </c>
      <c r="Z18">
        <v>69.587999999999994</v>
      </c>
      <c r="AA18">
        <v>70.201999999999998</v>
      </c>
      <c r="AB18">
        <v>70.81</v>
      </c>
      <c r="AC18">
        <v>71.412000000000006</v>
      </c>
      <c r="AD18">
        <v>72.007000000000005</v>
      </c>
      <c r="AE18">
        <v>72.596999999999994</v>
      </c>
      <c r="AF18">
        <v>73.179000000000002</v>
      </c>
      <c r="AG18">
        <v>73.754999999999995</v>
      </c>
      <c r="AH18">
        <v>74.325000000000003</v>
      </c>
      <c r="AI18">
        <v>73.587000000000003</v>
      </c>
      <c r="AJ18">
        <v>74.754000000000005</v>
      </c>
      <c r="AK18">
        <v>74.632999999999996</v>
      </c>
      <c r="AL18">
        <v>74.802000000000007</v>
      </c>
      <c r="AM18">
        <v>74.984999999999999</v>
      </c>
      <c r="AN18">
        <v>75.164000000000001</v>
      </c>
    </row>
    <row r="19" spans="1:40" x14ac:dyDescent="0.25">
      <c r="A19" t="s">
        <v>43</v>
      </c>
      <c r="B19" t="s">
        <v>44</v>
      </c>
      <c r="C19" t="s">
        <v>22</v>
      </c>
      <c r="D19">
        <v>0</v>
      </c>
      <c r="E19">
        <v>54.673000000000002</v>
      </c>
      <c r="F19">
        <v>54.863</v>
      </c>
      <c r="G19">
        <v>55.124000000000002</v>
      </c>
      <c r="H19">
        <v>55.460999999999999</v>
      </c>
      <c r="I19">
        <v>55.835999999999999</v>
      </c>
      <c r="J19">
        <v>56.274000000000001</v>
      </c>
      <c r="K19">
        <v>56.768000000000001</v>
      </c>
      <c r="L19">
        <v>57.31</v>
      </c>
      <c r="M19">
        <v>57.914000000000001</v>
      </c>
      <c r="N19">
        <v>58.576000000000001</v>
      </c>
      <c r="O19">
        <v>59.314</v>
      </c>
      <c r="P19">
        <v>60.142000000000003</v>
      </c>
      <c r="Q19">
        <v>61.031999999999996</v>
      </c>
      <c r="R19">
        <v>61.96</v>
      </c>
      <c r="S19">
        <v>62.923000000000002</v>
      </c>
      <c r="T19">
        <v>63.749000000000002</v>
      </c>
      <c r="U19">
        <v>64.325999999999993</v>
      </c>
      <c r="V19">
        <v>64.807000000000002</v>
      </c>
      <c r="W19">
        <v>65.254000000000005</v>
      </c>
      <c r="X19">
        <v>65.614999999999995</v>
      </c>
      <c r="Y19">
        <v>63.319000000000003</v>
      </c>
      <c r="Z19">
        <v>62.328000000000003</v>
      </c>
      <c r="AA19">
        <v>63.073</v>
      </c>
      <c r="AB19">
        <v>58.19</v>
      </c>
      <c r="AC19">
        <v>53.93</v>
      </c>
      <c r="AD19">
        <v>54.975999999999999</v>
      </c>
      <c r="AE19">
        <v>54.892000000000003</v>
      </c>
      <c r="AF19">
        <v>54.814999999999998</v>
      </c>
      <c r="AG19">
        <v>54.743000000000002</v>
      </c>
      <c r="AH19">
        <v>60.631</v>
      </c>
      <c r="AI19">
        <v>63.002000000000002</v>
      </c>
      <c r="AJ19">
        <v>64.902000000000001</v>
      </c>
      <c r="AK19">
        <v>52.51</v>
      </c>
      <c r="AL19">
        <v>56.618000000000002</v>
      </c>
      <c r="AM19">
        <v>56.636000000000003</v>
      </c>
      <c r="AN19">
        <v>56.7</v>
      </c>
    </row>
    <row r="20" spans="1:40" x14ac:dyDescent="0.25">
      <c r="A20" t="s">
        <v>45</v>
      </c>
      <c r="B20" t="s">
        <v>46</v>
      </c>
      <c r="C20" t="s">
        <v>17</v>
      </c>
      <c r="D20">
        <v>0</v>
      </c>
      <c r="E20">
        <v>55.844000000000001</v>
      </c>
      <c r="F20">
        <v>56.347000000000001</v>
      </c>
      <c r="G20">
        <v>56.414000000000001</v>
      </c>
      <c r="H20">
        <v>56.939</v>
      </c>
      <c r="I20">
        <v>57.598999999999997</v>
      </c>
      <c r="J20">
        <v>58.237000000000002</v>
      </c>
      <c r="K20">
        <v>58.814</v>
      </c>
      <c r="L20">
        <v>59.45</v>
      </c>
      <c r="M20">
        <v>59.290999999999997</v>
      </c>
      <c r="N20">
        <v>59.134999999999998</v>
      </c>
      <c r="O20">
        <v>58.98</v>
      </c>
      <c r="P20">
        <v>58.83</v>
      </c>
      <c r="Q20">
        <v>58.69</v>
      </c>
      <c r="R20">
        <v>58.561</v>
      </c>
      <c r="S20">
        <v>58.433</v>
      </c>
      <c r="T20">
        <v>58.305</v>
      </c>
      <c r="U20">
        <v>58.177</v>
      </c>
      <c r="V20">
        <v>58.05</v>
      </c>
      <c r="W20">
        <v>57.923999999999999</v>
      </c>
      <c r="X20">
        <v>57.798000000000002</v>
      </c>
      <c r="Y20">
        <v>57.670999999999999</v>
      </c>
      <c r="Z20">
        <v>57.545000000000002</v>
      </c>
      <c r="AA20">
        <v>57.42</v>
      </c>
      <c r="AB20">
        <v>57.293999999999997</v>
      </c>
      <c r="AC20">
        <v>57.168999999999997</v>
      </c>
      <c r="AD20">
        <v>57.043999999999997</v>
      </c>
      <c r="AE20">
        <v>56.918999999999997</v>
      </c>
      <c r="AF20">
        <v>59.112000000000002</v>
      </c>
      <c r="AG20">
        <v>63.56</v>
      </c>
      <c r="AH20">
        <v>66.242999999999995</v>
      </c>
      <c r="AI20">
        <v>65.02</v>
      </c>
      <c r="AJ20">
        <v>71.057000000000002</v>
      </c>
      <c r="AK20">
        <v>71.715000000000003</v>
      </c>
      <c r="AL20">
        <v>72.454999999999998</v>
      </c>
      <c r="AM20">
        <v>72.388999999999996</v>
      </c>
      <c r="AN20">
        <v>72.867999999999995</v>
      </c>
    </row>
    <row r="21" spans="1:40" x14ac:dyDescent="0.25">
      <c r="A21" t="s">
        <v>47</v>
      </c>
      <c r="B21" t="s">
        <v>48</v>
      </c>
      <c r="C21" t="s">
        <v>9</v>
      </c>
      <c r="D21">
        <v>0</v>
      </c>
      <c r="E21">
        <v>41.670999999999999</v>
      </c>
      <c r="F21">
        <v>42.19</v>
      </c>
      <c r="G21">
        <v>42.511000000000003</v>
      </c>
      <c r="H21">
        <v>42.207000000000001</v>
      </c>
      <c r="I21">
        <v>42.027000000000001</v>
      </c>
      <c r="J21">
        <v>41.637</v>
      </c>
      <c r="K21">
        <v>41.445999999999998</v>
      </c>
      <c r="L21">
        <v>41.478000000000002</v>
      </c>
      <c r="M21">
        <v>41.338999999999999</v>
      </c>
      <c r="N21">
        <v>41.332999999999998</v>
      </c>
      <c r="O21">
        <v>41.249000000000002</v>
      </c>
      <c r="P21">
        <v>41.131</v>
      </c>
      <c r="Q21">
        <v>41.140999999999998</v>
      </c>
      <c r="R21">
        <v>40.933999999999997</v>
      </c>
      <c r="S21">
        <v>40.792000000000002</v>
      </c>
      <c r="T21">
        <v>40.561999999999998</v>
      </c>
      <c r="U21">
        <v>40.518999999999998</v>
      </c>
      <c r="V21">
        <v>40.478999999999999</v>
      </c>
      <c r="W21">
        <v>40.457000000000001</v>
      </c>
      <c r="X21">
        <v>40.332999999999998</v>
      </c>
      <c r="Y21">
        <v>40.213999999999999</v>
      </c>
      <c r="Z21">
        <v>39.774000000000001</v>
      </c>
      <c r="AA21">
        <v>39.563000000000002</v>
      </c>
      <c r="AB21">
        <v>39.305999999999997</v>
      </c>
      <c r="AC21">
        <v>38.994</v>
      </c>
      <c r="AD21">
        <v>38.823999999999998</v>
      </c>
      <c r="AE21">
        <v>38.631999999999998</v>
      </c>
      <c r="AF21">
        <v>38.558</v>
      </c>
      <c r="AG21">
        <v>38.384</v>
      </c>
      <c r="AH21">
        <v>38.209000000000003</v>
      </c>
      <c r="AI21">
        <v>37.115000000000002</v>
      </c>
      <c r="AJ21">
        <v>37.415999999999997</v>
      </c>
      <c r="AK21">
        <v>38.536999999999999</v>
      </c>
      <c r="AL21">
        <v>39.533000000000001</v>
      </c>
      <c r="AM21">
        <v>39.399000000000001</v>
      </c>
      <c r="AN21">
        <v>39.241</v>
      </c>
    </row>
    <row r="22" spans="1:40" x14ac:dyDescent="0.25">
      <c r="A22" t="s">
        <v>49</v>
      </c>
      <c r="B22" t="s">
        <v>50</v>
      </c>
      <c r="C22" t="s">
        <v>14</v>
      </c>
      <c r="D22">
        <v>0</v>
      </c>
      <c r="E22">
        <v>48.668999999999997</v>
      </c>
      <c r="F22">
        <v>48.704999999999998</v>
      </c>
      <c r="G22">
        <v>48.752000000000002</v>
      </c>
      <c r="H22">
        <v>48.823</v>
      </c>
      <c r="I22">
        <v>48.887999999999998</v>
      </c>
      <c r="J22">
        <v>48.951999999999998</v>
      </c>
      <c r="K22">
        <v>49.006</v>
      </c>
      <c r="L22">
        <v>49.057000000000002</v>
      </c>
      <c r="M22">
        <v>49.100999999999999</v>
      </c>
      <c r="N22">
        <v>49.262</v>
      </c>
      <c r="O22">
        <v>49.511000000000003</v>
      </c>
      <c r="P22">
        <v>50.088000000000001</v>
      </c>
      <c r="Q22">
        <v>50.662999999999997</v>
      </c>
      <c r="R22">
        <v>51.259</v>
      </c>
      <c r="S22">
        <v>51.905000000000001</v>
      </c>
      <c r="T22">
        <v>52.584000000000003</v>
      </c>
      <c r="U22">
        <v>53.281999999999996</v>
      </c>
      <c r="V22">
        <v>54.17</v>
      </c>
      <c r="W22">
        <v>55.073</v>
      </c>
      <c r="X22">
        <v>55.988</v>
      </c>
      <c r="Y22">
        <v>53.337000000000003</v>
      </c>
      <c r="Z22">
        <v>54.161999999999999</v>
      </c>
      <c r="AA22">
        <v>54.887</v>
      </c>
      <c r="AB22">
        <v>55.432000000000002</v>
      </c>
      <c r="AC22">
        <v>55.889000000000003</v>
      </c>
      <c r="AD22">
        <v>56.287999999999997</v>
      </c>
      <c r="AE22">
        <v>56.68</v>
      </c>
      <c r="AF22">
        <v>57.101999999999997</v>
      </c>
      <c r="AG22">
        <v>57.555999999999997</v>
      </c>
      <c r="AH22">
        <v>58.043999999999997</v>
      </c>
      <c r="AI22">
        <v>56.142000000000003</v>
      </c>
      <c r="AJ22">
        <v>58.942999999999998</v>
      </c>
      <c r="AK22">
        <v>59.93</v>
      </c>
      <c r="AL22">
        <v>63.426000000000002</v>
      </c>
      <c r="AM22">
        <v>63.45</v>
      </c>
      <c r="AN22">
        <v>63.707999999999998</v>
      </c>
    </row>
    <row r="23" spans="1:40" x14ac:dyDescent="0.25">
      <c r="A23" t="s">
        <v>51</v>
      </c>
      <c r="B23" t="s">
        <v>52</v>
      </c>
      <c r="C23" t="s">
        <v>17</v>
      </c>
      <c r="D23">
        <v>0</v>
      </c>
      <c r="E23">
        <v>44.405000000000001</v>
      </c>
      <c r="F23">
        <v>44.487000000000002</v>
      </c>
      <c r="G23">
        <v>45.603999999999999</v>
      </c>
      <c r="H23">
        <v>46.718000000000004</v>
      </c>
      <c r="I23">
        <v>47.820999999999998</v>
      </c>
      <c r="J23">
        <v>48.915999999999997</v>
      </c>
      <c r="K23">
        <v>47.676000000000002</v>
      </c>
      <c r="L23">
        <v>48.677</v>
      </c>
      <c r="M23">
        <v>49.48</v>
      </c>
      <c r="N23">
        <v>50.801000000000002</v>
      </c>
      <c r="O23">
        <v>51.850999999999999</v>
      </c>
      <c r="P23">
        <v>52.957000000000001</v>
      </c>
      <c r="Q23">
        <v>54.57</v>
      </c>
      <c r="R23">
        <v>54.776000000000003</v>
      </c>
      <c r="S23">
        <v>55.642000000000003</v>
      </c>
      <c r="T23">
        <v>56.859000000000002</v>
      </c>
      <c r="U23">
        <v>56.545999999999999</v>
      </c>
      <c r="V23">
        <v>56.286000000000001</v>
      </c>
      <c r="W23">
        <v>56.039000000000001</v>
      </c>
      <c r="X23">
        <v>56.567</v>
      </c>
      <c r="Y23">
        <v>55.048999999999999</v>
      </c>
      <c r="Z23">
        <v>53.517000000000003</v>
      </c>
      <c r="AA23">
        <v>52.872999999999998</v>
      </c>
      <c r="AB23">
        <v>52.826000000000001</v>
      </c>
      <c r="AC23">
        <v>52.713999999999999</v>
      </c>
      <c r="AD23">
        <v>53.323</v>
      </c>
      <c r="AE23">
        <v>53.521999999999998</v>
      </c>
      <c r="AF23">
        <v>54.353000000000002</v>
      </c>
      <c r="AG23">
        <v>54.581000000000003</v>
      </c>
      <c r="AH23">
        <v>55.305999999999997</v>
      </c>
      <c r="AI23">
        <v>50.338000000000001</v>
      </c>
      <c r="AJ23">
        <v>52.481999999999999</v>
      </c>
      <c r="AK23">
        <v>53.863999999999997</v>
      </c>
      <c r="AL23">
        <v>53.204999999999998</v>
      </c>
      <c r="AM23">
        <v>53.576000000000001</v>
      </c>
      <c r="AN23">
        <v>53.411000000000001</v>
      </c>
    </row>
    <row r="24" spans="1:40" x14ac:dyDescent="0.25">
      <c r="A24" t="s">
        <v>53</v>
      </c>
      <c r="B24" t="s">
        <v>54</v>
      </c>
      <c r="C24" t="s">
        <v>22</v>
      </c>
      <c r="D24">
        <v>0</v>
      </c>
      <c r="E24">
        <v>46.963000000000001</v>
      </c>
      <c r="F24">
        <v>46.433999999999997</v>
      </c>
      <c r="G24">
        <v>47.473999999999997</v>
      </c>
      <c r="H24">
        <v>48.497</v>
      </c>
      <c r="I24">
        <v>49.487000000000002</v>
      </c>
      <c r="J24">
        <v>50.430999999999997</v>
      </c>
      <c r="K24">
        <v>51.337000000000003</v>
      </c>
      <c r="L24">
        <v>52.222000000000001</v>
      </c>
      <c r="M24">
        <v>53.104999999999997</v>
      </c>
      <c r="N24">
        <v>53.985999999999997</v>
      </c>
      <c r="O24">
        <v>54.850999999999999</v>
      </c>
      <c r="P24">
        <v>55.677999999999997</v>
      </c>
      <c r="Q24">
        <v>55.83</v>
      </c>
      <c r="R24">
        <v>55.963000000000001</v>
      </c>
      <c r="S24">
        <v>56.076000000000001</v>
      </c>
      <c r="T24">
        <v>56.173000000000002</v>
      </c>
      <c r="U24">
        <v>56.255000000000003</v>
      </c>
      <c r="V24">
        <v>56.329000000000001</v>
      </c>
      <c r="W24">
        <v>56.426000000000002</v>
      </c>
      <c r="X24">
        <v>56.588999999999999</v>
      </c>
      <c r="Y24">
        <v>56.829000000000001</v>
      </c>
      <c r="Z24">
        <v>57.073999999999998</v>
      </c>
      <c r="AA24">
        <v>57.223999999999997</v>
      </c>
      <c r="AB24">
        <v>57.304000000000002</v>
      </c>
      <c r="AC24">
        <v>57.354999999999997</v>
      </c>
      <c r="AD24">
        <v>57.383000000000003</v>
      </c>
      <c r="AE24">
        <v>57.411000000000001</v>
      </c>
      <c r="AF24">
        <v>57.457999999999998</v>
      </c>
      <c r="AG24">
        <v>57.72</v>
      </c>
      <c r="AH24">
        <v>55.057000000000002</v>
      </c>
      <c r="AI24">
        <v>54.472000000000001</v>
      </c>
      <c r="AJ24">
        <v>54.790999999999997</v>
      </c>
      <c r="AK24">
        <v>53.7</v>
      </c>
      <c r="AL24">
        <v>54.826999999999998</v>
      </c>
      <c r="AM24">
        <v>54.71</v>
      </c>
      <c r="AN24">
        <v>54.436</v>
      </c>
    </row>
    <row r="25" spans="1:40" x14ac:dyDescent="0.25">
      <c r="A25" t="s">
        <v>55</v>
      </c>
      <c r="B25" t="s">
        <v>56</v>
      </c>
      <c r="C25" t="s">
        <v>9</v>
      </c>
      <c r="D25">
        <v>0</v>
      </c>
      <c r="E25">
        <v>44.911000000000001</v>
      </c>
      <c r="F25">
        <v>44.732999999999997</v>
      </c>
      <c r="G25">
        <v>44.604999999999997</v>
      </c>
      <c r="H25">
        <v>44.445</v>
      </c>
      <c r="I25">
        <v>44.338000000000001</v>
      </c>
      <c r="J25">
        <v>44.215000000000003</v>
      </c>
      <c r="K25">
        <v>44.031999999999996</v>
      </c>
      <c r="L25">
        <v>44.448999999999998</v>
      </c>
      <c r="M25">
        <v>44.243000000000002</v>
      </c>
      <c r="N25">
        <v>44.55</v>
      </c>
      <c r="O25">
        <v>44.320999999999998</v>
      </c>
      <c r="P25">
        <v>46.664000000000001</v>
      </c>
      <c r="Q25">
        <v>46.197000000000003</v>
      </c>
      <c r="R25">
        <v>44.865000000000002</v>
      </c>
      <c r="S25">
        <v>45.710999999999999</v>
      </c>
      <c r="T25">
        <v>44.646000000000001</v>
      </c>
      <c r="U25">
        <v>46.741999999999997</v>
      </c>
      <c r="V25">
        <v>48.069000000000003</v>
      </c>
      <c r="W25">
        <v>48.92</v>
      </c>
      <c r="X25">
        <v>48.061999999999998</v>
      </c>
      <c r="Y25">
        <v>47.819000000000003</v>
      </c>
      <c r="Z25">
        <v>47.2</v>
      </c>
      <c r="AA25">
        <v>47.957999999999998</v>
      </c>
      <c r="AB25">
        <v>48.533999999999999</v>
      </c>
      <c r="AC25">
        <v>48.389000000000003</v>
      </c>
      <c r="AD25">
        <v>48.725000000000001</v>
      </c>
      <c r="AE25">
        <v>47.436999999999998</v>
      </c>
      <c r="AF25">
        <v>49.603999999999999</v>
      </c>
      <c r="AG25">
        <v>49.174999999999997</v>
      </c>
      <c r="AH25">
        <v>50.384999999999998</v>
      </c>
      <c r="AI25">
        <v>49.517000000000003</v>
      </c>
      <c r="AJ25">
        <v>49.192999999999998</v>
      </c>
      <c r="AK25">
        <v>50.802</v>
      </c>
      <c r="AL25">
        <v>51.029000000000003</v>
      </c>
      <c r="AM25">
        <v>50.487000000000002</v>
      </c>
      <c r="AN25">
        <v>50.375999999999998</v>
      </c>
    </row>
    <row r="26" spans="1:40" x14ac:dyDescent="0.25">
      <c r="A26" t="s">
        <v>57</v>
      </c>
      <c r="B26" t="s">
        <v>58</v>
      </c>
      <c r="C26" t="s">
        <v>14</v>
      </c>
      <c r="D26">
        <v>0</v>
      </c>
      <c r="E26">
        <v>79.394000000000005</v>
      </c>
      <c r="F26">
        <v>79.367000000000004</v>
      </c>
      <c r="G26">
        <v>79.153000000000006</v>
      </c>
      <c r="H26">
        <v>78.935000000000002</v>
      </c>
      <c r="I26">
        <v>78.713999999999999</v>
      </c>
      <c r="J26">
        <v>78.489000000000004</v>
      </c>
      <c r="K26">
        <v>78.263999999999996</v>
      </c>
      <c r="L26">
        <v>78.036000000000001</v>
      </c>
      <c r="M26">
        <v>77.801000000000002</v>
      </c>
      <c r="N26">
        <v>77.558999999999997</v>
      </c>
      <c r="O26">
        <v>77.314999999999998</v>
      </c>
      <c r="P26">
        <v>77.067999999999998</v>
      </c>
      <c r="Q26">
        <v>76.819000000000003</v>
      </c>
      <c r="R26">
        <v>76.567999999999998</v>
      </c>
      <c r="S26">
        <v>76.314999999999998</v>
      </c>
      <c r="T26">
        <v>76.061999999999998</v>
      </c>
      <c r="U26">
        <v>75.811000000000007</v>
      </c>
      <c r="V26">
        <v>75.561000000000007</v>
      </c>
      <c r="W26">
        <v>75.313999999999993</v>
      </c>
      <c r="X26">
        <v>75.066999999999993</v>
      </c>
      <c r="Y26">
        <v>74.816999999999993</v>
      </c>
      <c r="Z26">
        <v>74.564999999999998</v>
      </c>
      <c r="AA26">
        <v>74.31</v>
      </c>
      <c r="AB26">
        <v>74.052000000000007</v>
      </c>
      <c r="AC26">
        <v>73.793000000000006</v>
      </c>
      <c r="AD26">
        <v>73.531000000000006</v>
      </c>
      <c r="AE26">
        <v>73.266999999999996</v>
      </c>
      <c r="AF26">
        <v>73</v>
      </c>
      <c r="AG26">
        <v>72.733999999999995</v>
      </c>
      <c r="AH26">
        <v>72.466999999999999</v>
      </c>
      <c r="AI26">
        <v>69.456999999999994</v>
      </c>
      <c r="AJ26">
        <v>67.668000000000006</v>
      </c>
      <c r="AK26">
        <v>65.403000000000006</v>
      </c>
      <c r="AL26">
        <v>64.721999999999994</v>
      </c>
      <c r="AM26">
        <v>64.113</v>
      </c>
      <c r="AN26">
        <v>64.073999999999998</v>
      </c>
    </row>
    <row r="27" spans="1:40" x14ac:dyDescent="0.25">
      <c r="A27" t="s">
        <v>59</v>
      </c>
      <c r="B27" t="s">
        <v>60</v>
      </c>
      <c r="C27" t="s">
        <v>14</v>
      </c>
      <c r="D27">
        <v>0</v>
      </c>
      <c r="E27">
        <v>90.450999999999993</v>
      </c>
      <c r="F27">
        <v>89.953000000000003</v>
      </c>
      <c r="G27">
        <v>89.435000000000002</v>
      </c>
      <c r="H27">
        <v>88.762</v>
      </c>
      <c r="I27">
        <v>88.078000000000003</v>
      </c>
      <c r="J27">
        <v>87.478999999999999</v>
      </c>
      <c r="K27">
        <v>86.707999999999998</v>
      </c>
      <c r="L27">
        <v>85.85</v>
      </c>
      <c r="M27">
        <v>84.971999999999994</v>
      </c>
      <c r="N27">
        <v>84.182000000000002</v>
      </c>
      <c r="O27">
        <v>83.347999999999999</v>
      </c>
      <c r="P27">
        <v>82.48</v>
      </c>
      <c r="Q27">
        <v>81.561000000000007</v>
      </c>
      <c r="R27">
        <v>80.576999999999998</v>
      </c>
      <c r="S27">
        <v>79.525999999999996</v>
      </c>
      <c r="T27">
        <v>78.356999999999999</v>
      </c>
      <c r="U27">
        <v>77.057000000000002</v>
      </c>
      <c r="V27">
        <v>77.674999999999997</v>
      </c>
      <c r="W27">
        <v>78.218999999999994</v>
      </c>
      <c r="X27">
        <v>78.77</v>
      </c>
      <c r="Y27">
        <v>79.266999999999996</v>
      </c>
      <c r="Z27">
        <v>79.631</v>
      </c>
      <c r="AA27">
        <v>79.95</v>
      </c>
      <c r="AB27">
        <v>80.234999999999999</v>
      </c>
      <c r="AC27">
        <v>80.459999999999994</v>
      </c>
      <c r="AD27">
        <v>80.778000000000006</v>
      </c>
      <c r="AE27">
        <v>81.001000000000005</v>
      </c>
      <c r="AF27">
        <v>81.087000000000003</v>
      </c>
      <c r="AG27">
        <v>81.072999999999993</v>
      </c>
      <c r="AH27">
        <v>80.888000000000005</v>
      </c>
      <c r="AI27">
        <v>78.558000000000007</v>
      </c>
      <c r="AJ27">
        <v>80.488</v>
      </c>
      <c r="AK27">
        <v>80.248999999999995</v>
      </c>
      <c r="AL27">
        <v>79.98</v>
      </c>
      <c r="AM27">
        <v>79.727999999999994</v>
      </c>
      <c r="AN27">
        <v>79.498000000000005</v>
      </c>
    </row>
    <row r="28" spans="1:40" x14ac:dyDescent="0.25">
      <c r="A28" t="s">
        <v>61</v>
      </c>
      <c r="B28" t="s">
        <v>62</v>
      </c>
      <c r="C28" t="s">
        <v>14</v>
      </c>
      <c r="D28">
        <v>0</v>
      </c>
      <c r="E28">
        <v>40.945999999999998</v>
      </c>
      <c r="F28">
        <v>41.195999999999998</v>
      </c>
      <c r="G28">
        <v>41.460999999999999</v>
      </c>
      <c r="H28">
        <v>41.741</v>
      </c>
      <c r="I28">
        <v>42.036000000000001</v>
      </c>
      <c r="J28">
        <v>42.347000000000001</v>
      </c>
      <c r="K28">
        <v>42.673000000000002</v>
      </c>
      <c r="L28">
        <v>43.017000000000003</v>
      </c>
      <c r="M28">
        <v>43.375</v>
      </c>
      <c r="N28">
        <v>43.749000000000002</v>
      </c>
      <c r="O28">
        <v>44.134</v>
      </c>
      <c r="P28">
        <v>44.524000000000001</v>
      </c>
      <c r="Q28">
        <v>44.927999999999997</v>
      </c>
      <c r="R28">
        <v>45.351999999999997</v>
      </c>
      <c r="S28">
        <v>45.798999999999999</v>
      </c>
      <c r="T28">
        <v>46.268999999999998</v>
      </c>
      <c r="U28">
        <v>46.764000000000003</v>
      </c>
      <c r="V28">
        <v>47.284999999999997</v>
      </c>
      <c r="W28">
        <v>47.831000000000003</v>
      </c>
      <c r="X28">
        <v>48.402999999999999</v>
      </c>
      <c r="Y28">
        <v>51.329000000000001</v>
      </c>
      <c r="Z28">
        <v>51.430999999999997</v>
      </c>
      <c r="AA28">
        <v>51.536999999999999</v>
      </c>
      <c r="AB28">
        <v>51.640999999999998</v>
      </c>
      <c r="AC28">
        <v>51.743000000000002</v>
      </c>
      <c r="AD28">
        <v>51.843000000000004</v>
      </c>
      <c r="AE28">
        <v>51.941000000000003</v>
      </c>
      <c r="AF28">
        <v>52.037999999999997</v>
      </c>
      <c r="AG28">
        <v>48.62</v>
      </c>
      <c r="AH28">
        <v>50.406999999999996</v>
      </c>
      <c r="AI28">
        <v>46.76</v>
      </c>
      <c r="AJ28">
        <v>47.643000000000001</v>
      </c>
      <c r="AK28">
        <v>49.927</v>
      </c>
      <c r="AL28">
        <v>50.216000000000001</v>
      </c>
      <c r="AM28">
        <v>50.429000000000002</v>
      </c>
      <c r="AN28">
        <v>50.47</v>
      </c>
    </row>
    <row r="29" spans="1:40" x14ac:dyDescent="0.25">
      <c r="A29" t="s">
        <v>63</v>
      </c>
      <c r="B29" t="s">
        <v>64</v>
      </c>
      <c r="C29" t="s">
        <v>22</v>
      </c>
      <c r="D29">
        <v>0</v>
      </c>
      <c r="E29">
        <v>77.488</v>
      </c>
      <c r="F29">
        <v>77.388999999999996</v>
      </c>
      <c r="G29">
        <v>77.337000000000003</v>
      </c>
      <c r="H29">
        <v>77.376999999999995</v>
      </c>
      <c r="I29">
        <v>78.807000000000002</v>
      </c>
      <c r="J29">
        <v>78.774000000000001</v>
      </c>
      <c r="K29">
        <v>78.837000000000003</v>
      </c>
      <c r="L29">
        <v>78.936000000000007</v>
      </c>
      <c r="M29">
        <v>78.92</v>
      </c>
      <c r="N29">
        <v>78.594999999999999</v>
      </c>
      <c r="O29">
        <v>77.834000000000003</v>
      </c>
      <c r="P29">
        <v>77.073999999999998</v>
      </c>
      <c r="Q29">
        <v>76.314999999999998</v>
      </c>
      <c r="R29">
        <v>75.558999999999997</v>
      </c>
      <c r="S29">
        <v>75.325000000000003</v>
      </c>
      <c r="T29">
        <v>75.100999999999999</v>
      </c>
      <c r="U29">
        <v>74.887</v>
      </c>
      <c r="V29">
        <v>74.683000000000007</v>
      </c>
      <c r="W29">
        <v>71.971000000000004</v>
      </c>
      <c r="X29">
        <v>77.375</v>
      </c>
      <c r="Y29">
        <v>81.275000000000006</v>
      </c>
      <c r="Z29">
        <v>81.840999999999994</v>
      </c>
      <c r="AA29">
        <v>78.355999999999995</v>
      </c>
      <c r="AB29">
        <v>74.402000000000001</v>
      </c>
      <c r="AC29">
        <v>74.39</v>
      </c>
      <c r="AD29">
        <v>73.417000000000002</v>
      </c>
      <c r="AE29">
        <v>75.918000000000006</v>
      </c>
      <c r="AF29">
        <v>76.417000000000002</v>
      </c>
      <c r="AG29">
        <v>76.844999999999999</v>
      </c>
      <c r="AH29">
        <v>77.289000000000001</v>
      </c>
      <c r="AI29">
        <v>77.09</v>
      </c>
      <c r="AJ29">
        <v>73.710999999999999</v>
      </c>
      <c r="AK29">
        <v>77.173000000000002</v>
      </c>
      <c r="AL29">
        <v>77.22</v>
      </c>
      <c r="AM29">
        <v>77.299000000000007</v>
      </c>
      <c r="AN29">
        <v>77.350999999999999</v>
      </c>
    </row>
    <row r="30" spans="1:40" x14ac:dyDescent="0.25">
      <c r="A30" t="s">
        <v>65</v>
      </c>
      <c r="B30" t="s">
        <v>66</v>
      </c>
      <c r="C30" t="s">
        <v>14</v>
      </c>
      <c r="D30">
        <v>0</v>
      </c>
      <c r="E30">
        <v>77.584999999999994</v>
      </c>
      <c r="F30">
        <v>77.578999999999994</v>
      </c>
      <c r="G30">
        <v>77.578999999999994</v>
      </c>
      <c r="H30">
        <v>77.588999999999999</v>
      </c>
      <c r="I30">
        <v>77.608000000000004</v>
      </c>
      <c r="J30">
        <v>77.635999999999996</v>
      </c>
      <c r="K30">
        <v>77.677000000000007</v>
      </c>
      <c r="L30">
        <v>77.728999999999999</v>
      </c>
      <c r="M30">
        <v>77.78</v>
      </c>
      <c r="N30">
        <v>77.820999999999998</v>
      </c>
      <c r="O30">
        <v>77.861000000000004</v>
      </c>
      <c r="P30">
        <v>77.905000000000001</v>
      </c>
      <c r="Q30">
        <v>77.953999999999994</v>
      </c>
      <c r="R30">
        <v>77.998000000000005</v>
      </c>
      <c r="S30">
        <v>78.031000000000006</v>
      </c>
      <c r="T30">
        <v>78.055000000000007</v>
      </c>
      <c r="U30">
        <v>78.075000000000003</v>
      </c>
      <c r="V30">
        <v>78.096000000000004</v>
      </c>
      <c r="W30">
        <v>75.727000000000004</v>
      </c>
      <c r="X30">
        <v>73.186999999999998</v>
      </c>
      <c r="Y30">
        <v>70.480999999999995</v>
      </c>
      <c r="Z30">
        <v>69.623000000000005</v>
      </c>
      <c r="AA30">
        <v>68.757000000000005</v>
      </c>
      <c r="AB30">
        <v>67.885000000000005</v>
      </c>
      <c r="AC30">
        <v>67.006</v>
      </c>
      <c r="AD30">
        <v>65.628</v>
      </c>
      <c r="AE30">
        <v>64.23</v>
      </c>
      <c r="AF30">
        <v>62.820999999999998</v>
      </c>
      <c r="AG30">
        <v>61.418999999999997</v>
      </c>
      <c r="AH30">
        <v>60.034999999999997</v>
      </c>
      <c r="AI30">
        <v>58.058999999999997</v>
      </c>
      <c r="AJ30">
        <v>57.093000000000004</v>
      </c>
      <c r="AK30">
        <v>57.097999999999999</v>
      </c>
      <c r="AL30">
        <v>57.094999999999999</v>
      </c>
      <c r="AM30">
        <v>57.103999999999999</v>
      </c>
      <c r="AN30">
        <v>56.594999999999999</v>
      </c>
    </row>
    <row r="31" spans="1:40" x14ac:dyDescent="0.25">
      <c r="A31" t="s">
        <v>67</v>
      </c>
      <c r="B31" t="s">
        <v>68</v>
      </c>
      <c r="C31" t="s">
        <v>17</v>
      </c>
      <c r="D31">
        <v>0</v>
      </c>
      <c r="E31">
        <v>57.884</v>
      </c>
      <c r="F31">
        <v>57.826000000000001</v>
      </c>
      <c r="G31">
        <v>57.201999999999998</v>
      </c>
      <c r="H31">
        <v>57.009</v>
      </c>
      <c r="I31">
        <v>56.856000000000002</v>
      </c>
      <c r="J31">
        <v>56.808</v>
      </c>
      <c r="K31">
        <v>56.77</v>
      </c>
      <c r="L31">
        <v>57.085999999999999</v>
      </c>
      <c r="M31">
        <v>57.673999999999999</v>
      </c>
      <c r="N31">
        <v>58.201000000000001</v>
      </c>
      <c r="O31">
        <v>58.668999999999997</v>
      </c>
      <c r="P31">
        <v>58.978000000000002</v>
      </c>
      <c r="Q31">
        <v>60.158999999999999</v>
      </c>
      <c r="R31">
        <v>61.173999999999999</v>
      </c>
      <c r="S31">
        <v>61.292000000000002</v>
      </c>
      <c r="T31">
        <v>60.991999999999997</v>
      </c>
      <c r="U31">
        <v>61.268000000000001</v>
      </c>
      <c r="V31">
        <v>61.768999999999998</v>
      </c>
      <c r="W31">
        <v>61.9</v>
      </c>
      <c r="X31">
        <v>61.889000000000003</v>
      </c>
      <c r="Y31">
        <v>61.866999999999997</v>
      </c>
      <c r="Z31">
        <v>61.643000000000001</v>
      </c>
      <c r="AA31">
        <v>61.73</v>
      </c>
      <c r="AB31">
        <v>61.816000000000003</v>
      </c>
      <c r="AC31">
        <v>61.204000000000001</v>
      </c>
      <c r="AD31">
        <v>60.969000000000001</v>
      </c>
      <c r="AE31">
        <v>60.878999999999998</v>
      </c>
      <c r="AF31">
        <v>61.072000000000003</v>
      </c>
      <c r="AG31">
        <v>60.965000000000003</v>
      </c>
      <c r="AH31">
        <v>61.253</v>
      </c>
      <c r="AI31">
        <v>59.378999999999998</v>
      </c>
      <c r="AJ31">
        <v>60.634</v>
      </c>
      <c r="AK31">
        <v>61.048999999999999</v>
      </c>
      <c r="AL31">
        <v>61.134</v>
      </c>
      <c r="AM31">
        <v>60.414999999999999</v>
      </c>
      <c r="AN31">
        <v>60.204000000000001</v>
      </c>
    </row>
    <row r="32" spans="1:40" x14ac:dyDescent="0.25">
      <c r="A32" t="s">
        <v>69</v>
      </c>
      <c r="B32" t="s">
        <v>70</v>
      </c>
      <c r="C32" t="s">
        <v>14</v>
      </c>
      <c r="D32">
        <v>0</v>
      </c>
      <c r="E32">
        <v>65.971000000000004</v>
      </c>
      <c r="F32">
        <v>65.870999999999995</v>
      </c>
      <c r="G32">
        <v>65.801000000000002</v>
      </c>
      <c r="H32">
        <v>65.757999999999996</v>
      </c>
      <c r="I32">
        <v>65.736000000000004</v>
      </c>
      <c r="J32">
        <v>65.709000000000003</v>
      </c>
      <c r="K32">
        <v>65.688999999999993</v>
      </c>
      <c r="L32">
        <v>65.692999999999998</v>
      </c>
      <c r="M32">
        <v>65.709000000000003</v>
      </c>
      <c r="N32">
        <v>65.736999999999995</v>
      </c>
      <c r="O32">
        <v>65.774000000000001</v>
      </c>
      <c r="P32">
        <v>65.792000000000002</v>
      </c>
      <c r="Q32">
        <v>65.822000000000003</v>
      </c>
      <c r="R32">
        <v>65.863</v>
      </c>
      <c r="S32">
        <v>65.881</v>
      </c>
      <c r="T32">
        <v>65.897999999999996</v>
      </c>
      <c r="U32">
        <v>65.882999999999996</v>
      </c>
      <c r="V32">
        <v>65.846999999999994</v>
      </c>
      <c r="W32">
        <v>65.823999999999998</v>
      </c>
      <c r="X32">
        <v>65.870999999999995</v>
      </c>
      <c r="Y32">
        <v>65.914000000000001</v>
      </c>
      <c r="Z32">
        <v>65.831999999999994</v>
      </c>
      <c r="AA32">
        <v>65.692999999999998</v>
      </c>
      <c r="AB32">
        <v>65.549000000000007</v>
      </c>
      <c r="AC32">
        <v>65.391000000000005</v>
      </c>
      <c r="AD32">
        <v>65.301000000000002</v>
      </c>
      <c r="AE32">
        <v>65.301000000000002</v>
      </c>
      <c r="AF32">
        <v>65.308000000000007</v>
      </c>
      <c r="AG32">
        <v>65.313000000000002</v>
      </c>
      <c r="AH32">
        <v>65.358999999999995</v>
      </c>
      <c r="AI32">
        <v>64.775999999999996</v>
      </c>
      <c r="AJ32">
        <v>64.799000000000007</v>
      </c>
      <c r="AK32">
        <v>65.525000000000006</v>
      </c>
      <c r="AL32">
        <v>65.608000000000004</v>
      </c>
      <c r="AM32">
        <v>65.543999999999997</v>
      </c>
      <c r="AN32">
        <v>65.463999999999999</v>
      </c>
    </row>
    <row r="33" spans="1:40" x14ac:dyDescent="0.25">
      <c r="A33" t="s">
        <v>71</v>
      </c>
      <c r="B33" t="s">
        <v>72</v>
      </c>
      <c r="C33" t="s">
        <v>14</v>
      </c>
      <c r="D33">
        <v>0</v>
      </c>
      <c r="E33">
        <v>64.614999999999995</v>
      </c>
      <c r="F33">
        <v>64.623999999999995</v>
      </c>
      <c r="G33">
        <v>64.665999999999997</v>
      </c>
      <c r="H33">
        <v>64.471999999999994</v>
      </c>
      <c r="I33">
        <v>63.881</v>
      </c>
      <c r="J33">
        <v>63.276000000000003</v>
      </c>
      <c r="K33">
        <v>62.667000000000002</v>
      </c>
      <c r="L33">
        <v>62.058</v>
      </c>
      <c r="M33">
        <v>61.444000000000003</v>
      </c>
      <c r="N33">
        <v>60.823999999999998</v>
      </c>
      <c r="O33">
        <v>60.201000000000001</v>
      </c>
      <c r="P33">
        <v>59.573</v>
      </c>
      <c r="Q33">
        <v>58.941000000000003</v>
      </c>
      <c r="R33">
        <v>58.304000000000002</v>
      </c>
      <c r="S33">
        <v>57.661999999999999</v>
      </c>
      <c r="T33">
        <v>57.018999999999998</v>
      </c>
      <c r="U33">
        <v>56.375</v>
      </c>
      <c r="V33">
        <v>55.728999999999999</v>
      </c>
      <c r="W33">
        <v>55.079000000000001</v>
      </c>
      <c r="X33">
        <v>54.426000000000002</v>
      </c>
      <c r="Y33">
        <v>53.771999999999998</v>
      </c>
      <c r="Z33">
        <v>53.116</v>
      </c>
      <c r="AA33">
        <v>52.457999999999998</v>
      </c>
      <c r="AB33">
        <v>51.798999999999999</v>
      </c>
      <c r="AC33">
        <v>51.14</v>
      </c>
      <c r="AD33">
        <v>50.481000000000002</v>
      </c>
      <c r="AE33">
        <v>49.820999999999998</v>
      </c>
      <c r="AF33">
        <v>49.161000000000001</v>
      </c>
      <c r="AG33">
        <v>48.500999999999998</v>
      </c>
      <c r="AH33">
        <v>48.530999999999999</v>
      </c>
      <c r="AI33">
        <v>48.067</v>
      </c>
      <c r="AJ33">
        <v>48.119</v>
      </c>
      <c r="AK33">
        <v>47.933</v>
      </c>
      <c r="AL33">
        <v>47.817</v>
      </c>
      <c r="AM33">
        <v>47.554000000000002</v>
      </c>
      <c r="AN33">
        <v>47.301000000000002</v>
      </c>
    </row>
    <row r="34" spans="1:40" x14ac:dyDescent="0.25">
      <c r="A34" t="s">
        <v>73</v>
      </c>
      <c r="B34" t="s">
        <v>74</v>
      </c>
      <c r="C34" t="s">
        <v>17</v>
      </c>
      <c r="D34">
        <v>0</v>
      </c>
      <c r="E34">
        <v>30.983000000000001</v>
      </c>
      <c r="F34">
        <v>31.873000000000001</v>
      </c>
      <c r="G34">
        <v>33.204999999999998</v>
      </c>
      <c r="H34">
        <v>34.088000000000001</v>
      </c>
      <c r="I34">
        <v>34.783999999999999</v>
      </c>
      <c r="J34">
        <v>35.896000000000001</v>
      </c>
      <c r="K34">
        <v>36.756</v>
      </c>
      <c r="L34">
        <v>37.491999999999997</v>
      </c>
      <c r="M34">
        <v>37.853999999999999</v>
      </c>
      <c r="N34">
        <v>38.095999999999997</v>
      </c>
      <c r="O34">
        <v>37.700000000000003</v>
      </c>
      <c r="P34">
        <v>36.725999999999999</v>
      </c>
      <c r="Q34">
        <v>36.448</v>
      </c>
      <c r="R34">
        <v>37.799999999999997</v>
      </c>
      <c r="S34">
        <v>39.210999999999999</v>
      </c>
      <c r="T34">
        <v>40.131</v>
      </c>
      <c r="U34">
        <v>41.287999999999997</v>
      </c>
      <c r="V34">
        <v>42.234999999999999</v>
      </c>
      <c r="W34">
        <v>44.182000000000002</v>
      </c>
      <c r="X34">
        <v>44.615000000000002</v>
      </c>
      <c r="Y34">
        <v>46.856000000000002</v>
      </c>
      <c r="Z34">
        <v>48.912999999999997</v>
      </c>
      <c r="AA34">
        <v>49.179000000000002</v>
      </c>
      <c r="AB34">
        <v>49.655999999999999</v>
      </c>
      <c r="AC34">
        <v>50.287999999999997</v>
      </c>
      <c r="AD34">
        <v>50.351999999999997</v>
      </c>
      <c r="AE34">
        <v>50.756</v>
      </c>
      <c r="AF34">
        <v>51.738999999999997</v>
      </c>
      <c r="AG34">
        <v>52.415999999999997</v>
      </c>
      <c r="AH34">
        <v>52.651000000000003</v>
      </c>
      <c r="AI34">
        <v>45.442</v>
      </c>
      <c r="AJ34">
        <v>46.579000000000001</v>
      </c>
      <c r="AK34">
        <v>50.024999999999999</v>
      </c>
      <c r="AL34">
        <v>51.963000000000001</v>
      </c>
      <c r="AM34">
        <v>52.783999999999999</v>
      </c>
      <c r="AN34">
        <v>52.887</v>
      </c>
    </row>
    <row r="35" spans="1:40" x14ac:dyDescent="0.25">
      <c r="A35" t="s">
        <v>75</v>
      </c>
      <c r="B35" t="s">
        <v>76</v>
      </c>
      <c r="C35" t="s">
        <v>22</v>
      </c>
      <c r="D35">
        <v>0</v>
      </c>
      <c r="E35">
        <v>73.09</v>
      </c>
      <c r="F35">
        <v>72.594999999999999</v>
      </c>
      <c r="G35">
        <v>72.094999999999999</v>
      </c>
      <c r="H35">
        <v>71.588999999999999</v>
      </c>
      <c r="I35">
        <v>71.078999999999994</v>
      </c>
      <c r="J35">
        <v>70.563999999999993</v>
      </c>
      <c r="K35">
        <v>70.043999999999997</v>
      </c>
      <c r="L35">
        <v>69.518000000000001</v>
      </c>
      <c r="M35">
        <v>68.988</v>
      </c>
      <c r="N35">
        <v>68.453000000000003</v>
      </c>
      <c r="O35">
        <v>67.912999999999997</v>
      </c>
      <c r="P35">
        <v>67.501999999999995</v>
      </c>
      <c r="Q35">
        <v>67.087999999999994</v>
      </c>
      <c r="R35">
        <v>66.67</v>
      </c>
      <c r="S35">
        <v>66.25</v>
      </c>
      <c r="T35">
        <v>65.825999999999993</v>
      </c>
      <c r="U35">
        <v>65.400000000000006</v>
      </c>
      <c r="V35">
        <v>64.971999999999994</v>
      </c>
      <c r="W35">
        <v>64.540999999999997</v>
      </c>
      <c r="X35">
        <v>64.108000000000004</v>
      </c>
      <c r="Y35">
        <v>63.671999999999997</v>
      </c>
      <c r="Z35">
        <v>63.661999999999999</v>
      </c>
      <c r="AA35">
        <v>63.332999999999998</v>
      </c>
      <c r="AB35">
        <v>63.023000000000003</v>
      </c>
      <c r="AC35">
        <v>62.826000000000001</v>
      </c>
      <c r="AD35">
        <v>62.604999999999997</v>
      </c>
      <c r="AE35">
        <v>62.326000000000001</v>
      </c>
      <c r="AF35">
        <v>61.957000000000001</v>
      </c>
      <c r="AG35">
        <v>61.585000000000001</v>
      </c>
      <c r="AH35">
        <v>61.305</v>
      </c>
      <c r="AI35">
        <v>59.710999999999999</v>
      </c>
      <c r="AJ35">
        <v>61.182000000000002</v>
      </c>
      <c r="AK35">
        <v>60.097000000000001</v>
      </c>
      <c r="AL35">
        <v>60.216000000000001</v>
      </c>
      <c r="AM35">
        <v>59.448</v>
      </c>
      <c r="AN35">
        <v>59.148000000000003</v>
      </c>
    </row>
    <row r="36" spans="1:40" x14ac:dyDescent="0.25">
      <c r="A36" t="s">
        <v>77</v>
      </c>
      <c r="B36" t="s">
        <v>78</v>
      </c>
      <c r="C36" t="s">
        <v>17</v>
      </c>
      <c r="D36">
        <v>0</v>
      </c>
      <c r="E36">
        <v>53.360999999999997</v>
      </c>
      <c r="F36">
        <v>53.067</v>
      </c>
      <c r="G36">
        <v>53.091000000000001</v>
      </c>
      <c r="H36">
        <v>53.320999999999998</v>
      </c>
      <c r="I36">
        <v>53.646999999999998</v>
      </c>
      <c r="J36">
        <v>53.957000000000001</v>
      </c>
      <c r="K36">
        <v>53.923000000000002</v>
      </c>
      <c r="L36">
        <v>54.143999999999998</v>
      </c>
      <c r="M36">
        <v>54.012</v>
      </c>
      <c r="N36">
        <v>53.21</v>
      </c>
      <c r="O36">
        <v>53.39</v>
      </c>
      <c r="P36">
        <v>53.393000000000001</v>
      </c>
      <c r="Q36">
        <v>52.356000000000002</v>
      </c>
      <c r="R36">
        <v>53.712000000000003</v>
      </c>
      <c r="S36">
        <v>52.953000000000003</v>
      </c>
      <c r="T36">
        <v>51.148000000000003</v>
      </c>
      <c r="U36">
        <v>50.561999999999998</v>
      </c>
      <c r="V36">
        <v>49.981000000000002</v>
      </c>
      <c r="W36">
        <v>50.37</v>
      </c>
      <c r="X36">
        <v>53.921999999999997</v>
      </c>
      <c r="Y36">
        <v>54.414999999999999</v>
      </c>
      <c r="Z36">
        <v>54.945999999999998</v>
      </c>
      <c r="AA36">
        <v>56.011000000000003</v>
      </c>
      <c r="AB36">
        <v>55.302999999999997</v>
      </c>
      <c r="AC36">
        <v>55.002000000000002</v>
      </c>
      <c r="AD36">
        <v>55.255000000000003</v>
      </c>
      <c r="AE36">
        <v>54.719000000000001</v>
      </c>
      <c r="AF36">
        <v>54.343000000000004</v>
      </c>
      <c r="AG36">
        <v>53.244</v>
      </c>
      <c r="AH36">
        <v>52.398000000000003</v>
      </c>
      <c r="AI36">
        <v>51.107999999999997</v>
      </c>
      <c r="AJ36">
        <v>51.679000000000002</v>
      </c>
      <c r="AK36">
        <v>50.921999999999997</v>
      </c>
      <c r="AL36">
        <v>51.832999999999998</v>
      </c>
      <c r="AM36">
        <v>51.719000000000001</v>
      </c>
      <c r="AN36">
        <v>51.624000000000002</v>
      </c>
    </row>
    <row r="37" spans="1:40" x14ac:dyDescent="0.25">
      <c r="A37" t="s">
        <v>79</v>
      </c>
      <c r="B37" t="s">
        <v>80</v>
      </c>
      <c r="C37" t="s">
        <v>14</v>
      </c>
      <c r="D37">
        <v>0</v>
      </c>
      <c r="E37">
        <v>32.155999999999999</v>
      </c>
      <c r="F37">
        <v>32.183999999999997</v>
      </c>
      <c r="G37">
        <v>32.146999999999998</v>
      </c>
      <c r="H37">
        <v>32.052</v>
      </c>
      <c r="I37">
        <v>31.988</v>
      </c>
      <c r="J37">
        <v>31.954000000000001</v>
      </c>
      <c r="K37">
        <v>31.946999999999999</v>
      </c>
      <c r="L37">
        <v>31.972000000000001</v>
      </c>
      <c r="M37">
        <v>32.033000000000001</v>
      </c>
      <c r="N37">
        <v>32.131999999999998</v>
      </c>
      <c r="O37">
        <v>32.238</v>
      </c>
      <c r="P37">
        <v>32.314999999999998</v>
      </c>
      <c r="Q37">
        <v>32.372999999999998</v>
      </c>
      <c r="R37">
        <v>32.457000000000001</v>
      </c>
      <c r="S37">
        <v>32.619999999999997</v>
      </c>
      <c r="T37">
        <v>32.628999999999998</v>
      </c>
      <c r="U37">
        <v>32.634999999999998</v>
      </c>
      <c r="V37">
        <v>32.64</v>
      </c>
      <c r="W37">
        <v>32.646000000000001</v>
      </c>
      <c r="X37">
        <v>32.654000000000003</v>
      </c>
      <c r="Y37">
        <v>32.664999999999999</v>
      </c>
      <c r="Z37">
        <v>32.677999999999997</v>
      </c>
      <c r="AA37">
        <v>32.694000000000003</v>
      </c>
      <c r="AB37">
        <v>32.710999999999999</v>
      </c>
      <c r="AC37">
        <v>32.728999999999999</v>
      </c>
      <c r="AD37">
        <v>34.777999999999999</v>
      </c>
      <c r="AE37">
        <v>36.844999999999999</v>
      </c>
      <c r="AF37">
        <v>38.972999999999999</v>
      </c>
      <c r="AG37">
        <v>41.146999999999998</v>
      </c>
      <c r="AH37">
        <v>43.317999999999998</v>
      </c>
      <c r="AI37">
        <v>44.892000000000003</v>
      </c>
      <c r="AJ37">
        <v>47.073</v>
      </c>
      <c r="AK37">
        <v>47.033000000000001</v>
      </c>
      <c r="AL37">
        <v>47.058</v>
      </c>
      <c r="AM37">
        <v>47.125999999999998</v>
      </c>
      <c r="AN37">
        <v>47.649000000000001</v>
      </c>
    </row>
    <row r="38" spans="1:40" x14ac:dyDescent="0.25">
      <c r="A38" t="s">
        <v>81</v>
      </c>
      <c r="B38" t="s">
        <v>82</v>
      </c>
      <c r="C38" t="s">
        <v>14</v>
      </c>
      <c r="D38">
        <v>0</v>
      </c>
      <c r="E38">
        <v>71.837000000000003</v>
      </c>
      <c r="F38">
        <v>71.817999999999998</v>
      </c>
      <c r="G38">
        <v>71.799000000000007</v>
      </c>
      <c r="H38">
        <v>71.795000000000002</v>
      </c>
      <c r="I38">
        <v>71.933999999999997</v>
      </c>
      <c r="J38">
        <v>71.971000000000004</v>
      </c>
      <c r="K38">
        <v>71.709999999999994</v>
      </c>
      <c r="L38">
        <v>71.447000000000003</v>
      </c>
      <c r="M38">
        <v>71.361000000000004</v>
      </c>
      <c r="N38">
        <v>71.367999999999995</v>
      </c>
      <c r="O38">
        <v>71.352999999999994</v>
      </c>
      <c r="P38">
        <v>71.34</v>
      </c>
      <c r="Q38">
        <v>71.322999999999993</v>
      </c>
      <c r="R38">
        <v>71.296999999999997</v>
      </c>
      <c r="S38">
        <v>71.278999999999996</v>
      </c>
      <c r="T38">
        <v>71.275000000000006</v>
      </c>
      <c r="U38">
        <v>70.090999999999994</v>
      </c>
      <c r="V38">
        <v>68.88</v>
      </c>
      <c r="W38">
        <v>67.643000000000001</v>
      </c>
      <c r="X38">
        <v>66.381</v>
      </c>
      <c r="Y38">
        <v>65.096000000000004</v>
      </c>
      <c r="Z38">
        <v>63.786999999999999</v>
      </c>
      <c r="AA38">
        <v>62.457999999999998</v>
      </c>
      <c r="AB38">
        <v>62.255000000000003</v>
      </c>
      <c r="AC38">
        <v>62.048999999999999</v>
      </c>
      <c r="AD38">
        <v>61.84</v>
      </c>
      <c r="AE38">
        <v>61.661999999999999</v>
      </c>
      <c r="AF38">
        <v>61.491999999999997</v>
      </c>
      <c r="AG38">
        <v>61.274999999999999</v>
      </c>
      <c r="AH38">
        <v>61.037999999999997</v>
      </c>
      <c r="AI38">
        <v>60.259</v>
      </c>
      <c r="AJ38">
        <v>60.48</v>
      </c>
      <c r="AK38">
        <v>61.433999999999997</v>
      </c>
      <c r="AL38">
        <v>61.719000000000001</v>
      </c>
      <c r="AM38">
        <v>61.886000000000003</v>
      </c>
      <c r="AN38">
        <v>61.847999999999999</v>
      </c>
    </row>
    <row r="39" spans="1:40" x14ac:dyDescent="0.25">
      <c r="A39" t="s">
        <v>83</v>
      </c>
      <c r="B39" t="s">
        <v>84</v>
      </c>
      <c r="C39" t="s">
        <v>14</v>
      </c>
      <c r="D39">
        <v>0</v>
      </c>
      <c r="E39">
        <v>65.762</v>
      </c>
      <c r="F39">
        <v>65.819999999999993</v>
      </c>
      <c r="G39">
        <v>65.878</v>
      </c>
      <c r="H39">
        <v>65.947000000000003</v>
      </c>
      <c r="I39">
        <v>66.004999999999995</v>
      </c>
      <c r="J39">
        <v>66.042000000000002</v>
      </c>
      <c r="K39">
        <v>66.078999999999994</v>
      </c>
      <c r="L39">
        <v>66.052999999999997</v>
      </c>
      <c r="M39">
        <v>66.045000000000002</v>
      </c>
      <c r="N39">
        <v>66.117999999999995</v>
      </c>
      <c r="O39">
        <v>66.337999999999994</v>
      </c>
      <c r="P39">
        <v>66.536000000000001</v>
      </c>
      <c r="Q39">
        <v>66.545000000000002</v>
      </c>
      <c r="R39">
        <v>66.596000000000004</v>
      </c>
      <c r="S39">
        <v>66.706000000000003</v>
      </c>
      <c r="T39">
        <v>66.816999999999993</v>
      </c>
      <c r="U39">
        <v>66.924000000000007</v>
      </c>
      <c r="V39">
        <v>66.998999999999995</v>
      </c>
      <c r="W39">
        <v>67.001000000000005</v>
      </c>
      <c r="X39">
        <v>67.055000000000007</v>
      </c>
      <c r="Y39">
        <v>67.093999999999994</v>
      </c>
      <c r="Z39">
        <v>67.010999999999996</v>
      </c>
      <c r="AA39">
        <v>66.888000000000005</v>
      </c>
      <c r="AB39">
        <v>66.742000000000004</v>
      </c>
      <c r="AC39">
        <v>66.62</v>
      </c>
      <c r="AD39">
        <v>66.525999999999996</v>
      </c>
      <c r="AE39">
        <v>66.471000000000004</v>
      </c>
      <c r="AF39">
        <v>66.457999999999998</v>
      </c>
      <c r="AG39">
        <v>66.471999999999994</v>
      </c>
      <c r="AH39">
        <v>66.513000000000005</v>
      </c>
      <c r="AI39">
        <v>63.276000000000003</v>
      </c>
      <c r="AJ39">
        <v>64.018000000000001</v>
      </c>
      <c r="AK39">
        <v>65.72</v>
      </c>
      <c r="AL39">
        <v>65.641999999999996</v>
      </c>
      <c r="AM39">
        <v>65.603999999999999</v>
      </c>
      <c r="AN39">
        <v>65.575999999999993</v>
      </c>
    </row>
    <row r="40" spans="1:40" x14ac:dyDescent="0.25">
      <c r="A40" t="s">
        <v>85</v>
      </c>
      <c r="B40" t="s">
        <v>86</v>
      </c>
      <c r="C40" t="s">
        <v>17</v>
      </c>
      <c r="D40">
        <v>0</v>
      </c>
      <c r="E40">
        <v>32.866</v>
      </c>
      <c r="F40">
        <v>33.325000000000003</v>
      </c>
      <c r="G40">
        <v>32.6</v>
      </c>
      <c r="H40">
        <v>33.520000000000003</v>
      </c>
      <c r="I40">
        <v>34.664000000000001</v>
      </c>
      <c r="J40">
        <v>35.575000000000003</v>
      </c>
      <c r="K40">
        <v>34.067</v>
      </c>
      <c r="L40">
        <v>37.121000000000002</v>
      </c>
      <c r="M40">
        <v>39.442999999999998</v>
      </c>
      <c r="N40">
        <v>39.936</v>
      </c>
      <c r="O40">
        <v>38.642000000000003</v>
      </c>
      <c r="P40">
        <v>41.564</v>
      </c>
      <c r="Q40">
        <v>41.143000000000001</v>
      </c>
      <c r="R40">
        <v>41.454000000000001</v>
      </c>
      <c r="S40">
        <v>39.832000000000001</v>
      </c>
      <c r="T40">
        <v>43.679000000000002</v>
      </c>
      <c r="U40">
        <v>43.308999999999997</v>
      </c>
      <c r="V40">
        <v>44.3</v>
      </c>
      <c r="W40">
        <v>44.444000000000003</v>
      </c>
      <c r="X40">
        <v>44.826999999999998</v>
      </c>
      <c r="Y40">
        <v>44.113</v>
      </c>
      <c r="Z40">
        <v>46.478999999999999</v>
      </c>
      <c r="AA40">
        <v>51.436999999999998</v>
      </c>
      <c r="AB40">
        <v>51.249000000000002</v>
      </c>
      <c r="AC40">
        <v>51.34</v>
      </c>
      <c r="AD40">
        <v>50.06</v>
      </c>
      <c r="AE40">
        <v>46.018000000000001</v>
      </c>
      <c r="AF40">
        <v>45.905000000000001</v>
      </c>
      <c r="AG40">
        <v>48.658999999999999</v>
      </c>
      <c r="AH40">
        <v>52.725999999999999</v>
      </c>
      <c r="AI40">
        <v>48.643999999999998</v>
      </c>
      <c r="AJ40">
        <v>50.250999999999998</v>
      </c>
      <c r="AK40">
        <v>50.283000000000001</v>
      </c>
      <c r="AL40">
        <v>44.088000000000001</v>
      </c>
      <c r="AM40">
        <v>45.981999999999999</v>
      </c>
      <c r="AN40">
        <v>46.017000000000003</v>
      </c>
    </row>
    <row r="41" spans="1:40" x14ac:dyDescent="0.25">
      <c r="A41" t="s">
        <v>87</v>
      </c>
      <c r="B41" t="s">
        <v>88</v>
      </c>
      <c r="C41" t="s">
        <v>14</v>
      </c>
      <c r="D41">
        <v>0</v>
      </c>
      <c r="E41">
        <v>47.767000000000003</v>
      </c>
      <c r="F41">
        <v>47.844000000000001</v>
      </c>
      <c r="G41">
        <v>47.926000000000002</v>
      </c>
      <c r="H41">
        <v>48.006999999999998</v>
      </c>
      <c r="I41">
        <v>48.087000000000003</v>
      </c>
      <c r="J41">
        <v>48.167000000000002</v>
      </c>
      <c r="K41">
        <v>48.241</v>
      </c>
      <c r="L41">
        <v>48.308999999999997</v>
      </c>
      <c r="M41">
        <v>48.365000000000002</v>
      </c>
      <c r="N41">
        <v>49.362000000000002</v>
      </c>
      <c r="O41">
        <v>50.363</v>
      </c>
      <c r="P41">
        <v>51.366</v>
      </c>
      <c r="Q41">
        <v>52.371000000000002</v>
      </c>
      <c r="R41">
        <v>53.377000000000002</v>
      </c>
      <c r="S41">
        <v>54.384999999999998</v>
      </c>
      <c r="T41">
        <v>55.396000000000001</v>
      </c>
      <c r="U41">
        <v>56.408000000000001</v>
      </c>
      <c r="V41">
        <v>57.420999999999999</v>
      </c>
      <c r="W41">
        <v>58.42</v>
      </c>
      <c r="X41">
        <v>59.41</v>
      </c>
      <c r="Y41">
        <v>60.408999999999999</v>
      </c>
      <c r="Z41">
        <v>61.414999999999999</v>
      </c>
      <c r="AA41">
        <v>62.427</v>
      </c>
      <c r="AB41">
        <v>61.353999999999999</v>
      </c>
      <c r="AC41">
        <v>60.284999999999997</v>
      </c>
      <c r="AD41">
        <v>59.228000000000002</v>
      </c>
      <c r="AE41">
        <v>58.173000000000002</v>
      </c>
      <c r="AF41">
        <v>57.506999999999998</v>
      </c>
      <c r="AG41">
        <v>56.841000000000001</v>
      </c>
      <c r="AH41">
        <v>56.176000000000002</v>
      </c>
      <c r="AI41">
        <v>56.484000000000002</v>
      </c>
      <c r="AJ41">
        <v>57.845999999999997</v>
      </c>
      <c r="AK41">
        <v>59.058999999999997</v>
      </c>
      <c r="AL41">
        <v>59.258000000000003</v>
      </c>
      <c r="AM41">
        <v>59.465000000000003</v>
      </c>
      <c r="AN41">
        <v>59.454000000000001</v>
      </c>
    </row>
    <row r="42" spans="1:40" x14ac:dyDescent="0.25">
      <c r="A42" t="s">
        <v>89</v>
      </c>
      <c r="B42" t="s">
        <v>90</v>
      </c>
      <c r="C42" t="s">
        <v>9</v>
      </c>
      <c r="D42">
        <v>0</v>
      </c>
      <c r="E42">
        <v>47.311999999999998</v>
      </c>
      <c r="F42">
        <v>46.616</v>
      </c>
      <c r="G42">
        <v>46.311</v>
      </c>
      <c r="H42">
        <v>45.999000000000002</v>
      </c>
      <c r="I42">
        <v>45.692999999999998</v>
      </c>
      <c r="J42">
        <v>45.389000000000003</v>
      </c>
      <c r="K42">
        <v>45.115000000000002</v>
      </c>
      <c r="L42">
        <v>44.87</v>
      </c>
      <c r="M42">
        <v>44.656999999999996</v>
      </c>
      <c r="N42">
        <v>44.508000000000003</v>
      </c>
      <c r="O42">
        <v>44.411000000000001</v>
      </c>
      <c r="P42">
        <v>44.305</v>
      </c>
      <c r="Q42">
        <v>44.136000000000003</v>
      </c>
      <c r="R42">
        <v>44.088000000000001</v>
      </c>
      <c r="S42">
        <v>45.204000000000001</v>
      </c>
      <c r="T42">
        <v>45.393999999999998</v>
      </c>
      <c r="U42">
        <v>45.42</v>
      </c>
      <c r="V42">
        <v>45.055</v>
      </c>
      <c r="W42">
        <v>45.65</v>
      </c>
      <c r="X42">
        <v>46.582000000000001</v>
      </c>
      <c r="Y42">
        <v>46.029000000000003</v>
      </c>
      <c r="Z42">
        <v>44.475000000000001</v>
      </c>
      <c r="AA42">
        <v>44.466000000000001</v>
      </c>
      <c r="AB42">
        <v>44.453000000000003</v>
      </c>
      <c r="AC42">
        <v>46.252000000000002</v>
      </c>
      <c r="AD42">
        <v>46.661999999999999</v>
      </c>
      <c r="AE42">
        <v>45.148000000000003</v>
      </c>
      <c r="AF42">
        <v>45.235999999999997</v>
      </c>
      <c r="AG42">
        <v>45.012</v>
      </c>
      <c r="AH42">
        <v>44.78</v>
      </c>
      <c r="AI42">
        <v>44.447000000000003</v>
      </c>
      <c r="AJ42">
        <v>45.869</v>
      </c>
      <c r="AK42">
        <v>46.975000000000001</v>
      </c>
      <c r="AL42">
        <v>47.139000000000003</v>
      </c>
      <c r="AM42">
        <v>47.540999999999997</v>
      </c>
      <c r="AN42">
        <v>47.377000000000002</v>
      </c>
    </row>
    <row r="43" spans="1:40" x14ac:dyDescent="0.25">
      <c r="A43" t="s">
        <v>91</v>
      </c>
      <c r="B43" t="s">
        <v>92</v>
      </c>
      <c r="C43" t="s">
        <v>9</v>
      </c>
      <c r="D43">
        <v>0</v>
      </c>
      <c r="E43">
        <v>42.670999999999999</v>
      </c>
      <c r="F43">
        <v>43.442999999999998</v>
      </c>
      <c r="G43">
        <v>43.862000000000002</v>
      </c>
      <c r="H43">
        <v>44.606999999999999</v>
      </c>
      <c r="I43">
        <v>45.371000000000002</v>
      </c>
      <c r="J43">
        <v>46.116</v>
      </c>
      <c r="K43">
        <v>46.826000000000001</v>
      </c>
      <c r="L43">
        <v>47.491</v>
      </c>
      <c r="M43">
        <v>48.113999999999997</v>
      </c>
      <c r="N43">
        <v>48.712000000000003</v>
      </c>
      <c r="O43">
        <v>49.302</v>
      </c>
      <c r="P43">
        <v>51.87</v>
      </c>
      <c r="Q43">
        <v>52.341999999999999</v>
      </c>
      <c r="R43">
        <v>53.747</v>
      </c>
      <c r="S43">
        <v>53.673999999999999</v>
      </c>
      <c r="T43">
        <v>53.506999999999998</v>
      </c>
      <c r="U43">
        <v>54.295999999999999</v>
      </c>
      <c r="V43">
        <v>55.716999999999999</v>
      </c>
      <c r="W43">
        <v>56.119</v>
      </c>
      <c r="X43">
        <v>56.692</v>
      </c>
      <c r="Y43">
        <v>57.838999999999999</v>
      </c>
      <c r="Z43">
        <v>57.515999999999998</v>
      </c>
      <c r="AA43">
        <v>57.201999999999998</v>
      </c>
      <c r="AB43">
        <v>57.37</v>
      </c>
      <c r="AC43">
        <v>58.944000000000003</v>
      </c>
      <c r="AD43">
        <v>59.097000000000001</v>
      </c>
      <c r="AE43">
        <v>58.280999999999999</v>
      </c>
      <c r="AF43">
        <v>58.921999999999997</v>
      </c>
      <c r="AG43">
        <v>59.627000000000002</v>
      </c>
      <c r="AH43">
        <v>60.095999999999997</v>
      </c>
      <c r="AI43">
        <v>59.05</v>
      </c>
      <c r="AJ43">
        <v>59.533999999999999</v>
      </c>
      <c r="AK43">
        <v>61.219000000000001</v>
      </c>
      <c r="AL43">
        <v>62.494999999999997</v>
      </c>
      <c r="AM43">
        <v>61.408000000000001</v>
      </c>
      <c r="AN43">
        <v>61.213000000000001</v>
      </c>
    </row>
    <row r="44" spans="1:40" x14ac:dyDescent="0.25">
      <c r="A44" t="s">
        <v>93</v>
      </c>
      <c r="B44" t="s">
        <v>94</v>
      </c>
      <c r="C44" t="s">
        <v>9</v>
      </c>
      <c r="D44">
        <v>0</v>
      </c>
      <c r="E44">
        <v>52.738</v>
      </c>
      <c r="F44">
        <v>52.287999999999997</v>
      </c>
      <c r="G44">
        <v>52.322000000000003</v>
      </c>
      <c r="H44">
        <v>52.36</v>
      </c>
      <c r="I44">
        <v>52.618000000000002</v>
      </c>
      <c r="J44">
        <v>52.401000000000003</v>
      </c>
      <c r="K44">
        <v>51.865000000000002</v>
      </c>
      <c r="L44">
        <v>51.856000000000002</v>
      </c>
      <c r="M44">
        <v>51.963000000000001</v>
      </c>
      <c r="N44">
        <v>52.152999999999999</v>
      </c>
      <c r="O44">
        <v>51.637</v>
      </c>
      <c r="P44">
        <v>51.274000000000001</v>
      </c>
      <c r="Q44">
        <v>50.954000000000001</v>
      </c>
      <c r="R44">
        <v>50.83</v>
      </c>
      <c r="S44">
        <v>50.554000000000002</v>
      </c>
      <c r="T44">
        <v>50.656999999999996</v>
      </c>
      <c r="U44">
        <v>50.53</v>
      </c>
      <c r="V44">
        <v>49.75</v>
      </c>
      <c r="W44">
        <v>49.223999999999997</v>
      </c>
      <c r="X44">
        <v>49.436</v>
      </c>
      <c r="Y44">
        <v>49.231000000000002</v>
      </c>
      <c r="Z44">
        <v>49.472000000000001</v>
      </c>
      <c r="AA44">
        <v>50.040999999999997</v>
      </c>
      <c r="AB44">
        <v>50.887999999999998</v>
      </c>
      <c r="AC44">
        <v>50.802999999999997</v>
      </c>
      <c r="AD44">
        <v>51.186999999999998</v>
      </c>
      <c r="AE44">
        <v>51.734999999999999</v>
      </c>
      <c r="AF44">
        <v>52.113999999999997</v>
      </c>
      <c r="AG44">
        <v>52.558999999999997</v>
      </c>
      <c r="AH44">
        <v>52.3</v>
      </c>
      <c r="AI44">
        <v>51.463000000000001</v>
      </c>
      <c r="AJ44">
        <v>51.555</v>
      </c>
      <c r="AK44">
        <v>52.191000000000003</v>
      </c>
      <c r="AL44">
        <v>53.241</v>
      </c>
      <c r="AM44">
        <v>53.655999999999999</v>
      </c>
      <c r="AN44">
        <v>53.456000000000003</v>
      </c>
    </row>
    <row r="45" spans="1:40" x14ac:dyDescent="0.25">
      <c r="A45" t="s">
        <v>95</v>
      </c>
      <c r="B45" t="s">
        <v>96</v>
      </c>
      <c r="C45" t="s">
        <v>9</v>
      </c>
      <c r="D45">
        <v>0</v>
      </c>
      <c r="E45">
        <v>61.106000000000002</v>
      </c>
      <c r="F45">
        <v>61.442999999999998</v>
      </c>
      <c r="G45">
        <v>61.591000000000001</v>
      </c>
      <c r="H45">
        <v>60.996000000000002</v>
      </c>
      <c r="I45">
        <v>57.917999999999999</v>
      </c>
      <c r="J45">
        <v>57.908000000000001</v>
      </c>
      <c r="K45">
        <v>58.316000000000003</v>
      </c>
      <c r="L45">
        <v>58.603999999999999</v>
      </c>
      <c r="M45">
        <v>59.36</v>
      </c>
      <c r="N45">
        <v>60.155000000000001</v>
      </c>
      <c r="O45">
        <v>60.03</v>
      </c>
      <c r="P45">
        <v>59.874000000000002</v>
      </c>
      <c r="Q45">
        <v>60.308999999999997</v>
      </c>
      <c r="R45">
        <v>59.948999999999998</v>
      </c>
      <c r="S45">
        <v>60.627000000000002</v>
      </c>
      <c r="T45">
        <v>60.62</v>
      </c>
      <c r="U45">
        <v>61.295999999999999</v>
      </c>
      <c r="V45">
        <v>60.848999999999997</v>
      </c>
      <c r="W45">
        <v>60.052</v>
      </c>
      <c r="X45">
        <v>59.768000000000001</v>
      </c>
      <c r="Y45">
        <v>58.97</v>
      </c>
      <c r="Z45">
        <v>58.71</v>
      </c>
      <c r="AA45">
        <v>58.280999999999999</v>
      </c>
      <c r="AB45">
        <v>57.679000000000002</v>
      </c>
      <c r="AC45">
        <v>57.097000000000001</v>
      </c>
      <c r="AD45">
        <v>56.837000000000003</v>
      </c>
      <c r="AE45">
        <v>57.677</v>
      </c>
      <c r="AF45">
        <v>57.738999999999997</v>
      </c>
      <c r="AG45">
        <v>57.649000000000001</v>
      </c>
      <c r="AH45">
        <v>58.06</v>
      </c>
      <c r="AI45">
        <v>57.886000000000003</v>
      </c>
      <c r="AJ45">
        <v>58.161000000000001</v>
      </c>
      <c r="AK45">
        <v>59.551000000000002</v>
      </c>
      <c r="AL45">
        <v>59.811999999999998</v>
      </c>
      <c r="AM45">
        <v>60.902000000000001</v>
      </c>
      <c r="AN45">
        <v>60.792000000000002</v>
      </c>
    </row>
    <row r="46" spans="1:40" x14ac:dyDescent="0.25">
      <c r="A46" t="s">
        <v>97</v>
      </c>
      <c r="B46" t="s">
        <v>98</v>
      </c>
      <c r="C46" t="s">
        <v>6</v>
      </c>
      <c r="D46">
        <v>0</v>
      </c>
      <c r="E46">
        <v>15.379</v>
      </c>
      <c r="F46">
        <v>15.423</v>
      </c>
      <c r="G46">
        <v>15.474</v>
      </c>
      <c r="H46">
        <v>15.53</v>
      </c>
      <c r="I46">
        <v>15.582000000000001</v>
      </c>
      <c r="J46">
        <v>15.641</v>
      </c>
      <c r="K46">
        <v>15.718</v>
      </c>
      <c r="L46">
        <v>15.869</v>
      </c>
      <c r="M46">
        <v>16.053000000000001</v>
      </c>
      <c r="N46">
        <v>16.193999999999999</v>
      </c>
      <c r="O46">
        <v>16.302</v>
      </c>
      <c r="P46">
        <v>16.405999999999999</v>
      </c>
      <c r="Q46">
        <v>16.501999999999999</v>
      </c>
      <c r="R46">
        <v>16.542000000000002</v>
      </c>
      <c r="S46">
        <v>16.548999999999999</v>
      </c>
      <c r="T46">
        <v>16.581</v>
      </c>
      <c r="U46">
        <v>16.66</v>
      </c>
      <c r="V46">
        <v>16.771000000000001</v>
      </c>
      <c r="W46">
        <v>16.89</v>
      </c>
      <c r="X46">
        <v>17.010000000000002</v>
      </c>
      <c r="Y46">
        <v>17.125</v>
      </c>
      <c r="Z46">
        <v>17.241</v>
      </c>
      <c r="AA46">
        <v>17.359000000000002</v>
      </c>
      <c r="AB46">
        <v>17.484999999999999</v>
      </c>
      <c r="AC46">
        <v>17.626999999999999</v>
      </c>
      <c r="AD46">
        <v>17.785</v>
      </c>
      <c r="AE46">
        <v>17.959</v>
      </c>
      <c r="AF46">
        <v>18.146000000000001</v>
      </c>
      <c r="AG46">
        <v>18.34</v>
      </c>
      <c r="AH46">
        <v>18.530999999999999</v>
      </c>
      <c r="AI46">
        <v>18.263999999999999</v>
      </c>
      <c r="AJ46">
        <v>18.536999999999999</v>
      </c>
      <c r="AK46">
        <v>18.678000000000001</v>
      </c>
      <c r="AL46">
        <v>18.936</v>
      </c>
      <c r="AM46">
        <v>19.234999999999999</v>
      </c>
      <c r="AN46">
        <v>19.364999999999998</v>
      </c>
    </row>
    <row r="47" spans="1:40" x14ac:dyDescent="0.25">
      <c r="A47" t="s">
        <v>99</v>
      </c>
      <c r="B47" t="s">
        <v>100</v>
      </c>
      <c r="C47" t="s">
        <v>17</v>
      </c>
      <c r="D47">
        <v>0</v>
      </c>
      <c r="E47">
        <v>35.381999999999998</v>
      </c>
      <c r="F47">
        <v>35.409999999999997</v>
      </c>
      <c r="G47">
        <v>36.188000000000002</v>
      </c>
      <c r="H47">
        <v>36.700000000000003</v>
      </c>
      <c r="I47">
        <v>36.863</v>
      </c>
      <c r="J47">
        <v>37.267000000000003</v>
      </c>
      <c r="K47">
        <v>37.700000000000003</v>
      </c>
      <c r="L47">
        <v>38.363999999999997</v>
      </c>
      <c r="M47">
        <v>38.89</v>
      </c>
      <c r="N47">
        <v>39.363999999999997</v>
      </c>
      <c r="O47">
        <v>39.729999999999997</v>
      </c>
      <c r="P47">
        <v>38.363</v>
      </c>
      <c r="Q47">
        <v>40.04</v>
      </c>
      <c r="R47">
        <v>39.183999999999997</v>
      </c>
      <c r="S47">
        <v>39.167999999999999</v>
      </c>
      <c r="T47">
        <v>39.790999999999997</v>
      </c>
      <c r="U47">
        <v>40.6</v>
      </c>
      <c r="V47">
        <v>40.274999999999999</v>
      </c>
      <c r="W47">
        <v>41.847999999999999</v>
      </c>
      <c r="X47">
        <v>38.945</v>
      </c>
      <c r="Y47">
        <v>41.671999999999997</v>
      </c>
      <c r="Z47">
        <v>43.661999999999999</v>
      </c>
      <c r="AA47">
        <v>45.206000000000003</v>
      </c>
      <c r="AB47">
        <v>45.088000000000001</v>
      </c>
      <c r="AC47">
        <v>45.368000000000002</v>
      </c>
      <c r="AD47">
        <v>48.156999999999996</v>
      </c>
      <c r="AE47">
        <v>48.820999999999998</v>
      </c>
      <c r="AF47">
        <v>49.009</v>
      </c>
      <c r="AG47">
        <v>50.284999999999997</v>
      </c>
      <c r="AH47">
        <v>52.542000000000002</v>
      </c>
      <c r="AI47">
        <v>47.411999999999999</v>
      </c>
      <c r="AJ47">
        <v>51.06</v>
      </c>
      <c r="AK47">
        <v>50.478000000000002</v>
      </c>
      <c r="AL47">
        <v>52.481999999999999</v>
      </c>
      <c r="AM47">
        <v>53.265999999999998</v>
      </c>
      <c r="AN47">
        <v>53.655000000000001</v>
      </c>
    </row>
    <row r="48" spans="1:40" x14ac:dyDescent="0.25">
      <c r="A48" t="s">
        <v>101</v>
      </c>
      <c r="B48" t="s">
        <v>102</v>
      </c>
      <c r="C48" t="s">
        <v>17</v>
      </c>
      <c r="D48">
        <v>0</v>
      </c>
      <c r="E48">
        <v>46.947000000000003</v>
      </c>
      <c r="F48">
        <v>47.264000000000003</v>
      </c>
      <c r="G48">
        <v>47.34</v>
      </c>
      <c r="H48">
        <v>47.418999999999997</v>
      </c>
      <c r="I48">
        <v>47.813000000000002</v>
      </c>
      <c r="J48">
        <v>47.973999999999997</v>
      </c>
      <c r="K48">
        <v>48.08</v>
      </c>
      <c r="L48">
        <v>48.534999999999997</v>
      </c>
      <c r="M48">
        <v>51.694000000000003</v>
      </c>
      <c r="N48">
        <v>48.8</v>
      </c>
      <c r="O48">
        <v>45.875999999999998</v>
      </c>
      <c r="P48">
        <v>46.975999999999999</v>
      </c>
      <c r="Q48">
        <v>48.073999999999998</v>
      </c>
      <c r="R48">
        <v>49.17</v>
      </c>
      <c r="S48">
        <v>52.725999999999999</v>
      </c>
      <c r="T48">
        <v>51.915999999999997</v>
      </c>
      <c r="U48">
        <v>52.7</v>
      </c>
      <c r="V48">
        <v>51.954999999999998</v>
      </c>
      <c r="W48">
        <v>52.021999999999998</v>
      </c>
      <c r="X48">
        <v>49.664000000000001</v>
      </c>
      <c r="Y48">
        <v>48.011000000000003</v>
      </c>
      <c r="Z48">
        <v>47.064999999999998</v>
      </c>
      <c r="AA48">
        <v>48.081000000000003</v>
      </c>
      <c r="AB48">
        <v>48.131</v>
      </c>
      <c r="AC48">
        <v>47.689</v>
      </c>
      <c r="AD48">
        <v>51.905000000000001</v>
      </c>
      <c r="AE48">
        <v>55.405999999999999</v>
      </c>
      <c r="AF48">
        <v>56.173000000000002</v>
      </c>
      <c r="AG48">
        <v>54.481000000000002</v>
      </c>
      <c r="AH48">
        <v>54.402000000000001</v>
      </c>
      <c r="AI48">
        <v>48.241</v>
      </c>
      <c r="AJ48">
        <v>53.63</v>
      </c>
      <c r="AK48">
        <v>54.244</v>
      </c>
      <c r="AL48">
        <v>52.521000000000001</v>
      </c>
      <c r="AM48">
        <v>52.393999999999998</v>
      </c>
      <c r="AN48">
        <v>52.386000000000003</v>
      </c>
    </row>
    <row r="49" spans="1:40" x14ac:dyDescent="0.25">
      <c r="A49" t="s">
        <v>103</v>
      </c>
      <c r="B49" t="s">
        <v>104</v>
      </c>
      <c r="C49" t="s">
        <v>6</v>
      </c>
      <c r="D49">
        <v>0</v>
      </c>
      <c r="E49">
        <v>22.187999999999999</v>
      </c>
      <c r="F49">
        <v>22.16</v>
      </c>
      <c r="G49">
        <v>22.971</v>
      </c>
      <c r="H49">
        <v>22.286000000000001</v>
      </c>
      <c r="I49">
        <v>23.111000000000001</v>
      </c>
      <c r="J49">
        <v>21.75</v>
      </c>
      <c r="K49">
        <v>21.05</v>
      </c>
      <c r="L49">
        <v>20.367000000000001</v>
      </c>
      <c r="M49">
        <v>19.695</v>
      </c>
      <c r="N49">
        <v>20.512</v>
      </c>
      <c r="O49">
        <v>20.405999999999999</v>
      </c>
      <c r="P49">
        <v>20.337</v>
      </c>
      <c r="Q49">
        <v>18.190999999999999</v>
      </c>
      <c r="R49">
        <v>18.925000000000001</v>
      </c>
      <c r="S49">
        <v>19.68</v>
      </c>
      <c r="T49">
        <v>20.457000000000001</v>
      </c>
      <c r="U49">
        <v>21.259</v>
      </c>
      <c r="V49">
        <v>23.326000000000001</v>
      </c>
      <c r="W49">
        <v>21.895</v>
      </c>
      <c r="X49">
        <v>22.914999999999999</v>
      </c>
      <c r="Y49">
        <v>23.19</v>
      </c>
      <c r="Z49">
        <v>22.536999999999999</v>
      </c>
      <c r="AA49">
        <v>22.510999999999999</v>
      </c>
      <c r="AB49">
        <v>23.012</v>
      </c>
      <c r="AC49">
        <v>23.166</v>
      </c>
      <c r="AD49">
        <v>22.812999999999999</v>
      </c>
      <c r="AE49">
        <v>23.071999999999999</v>
      </c>
      <c r="AF49">
        <v>22.184000000000001</v>
      </c>
      <c r="AG49">
        <v>18.414999999999999</v>
      </c>
      <c r="AH49">
        <v>15.859</v>
      </c>
      <c r="AI49">
        <v>14.609</v>
      </c>
      <c r="AJ49">
        <v>15.59</v>
      </c>
      <c r="AK49">
        <v>15.233000000000001</v>
      </c>
      <c r="AL49">
        <v>18.478000000000002</v>
      </c>
      <c r="AM49">
        <v>18.468</v>
      </c>
      <c r="AN49">
        <v>18.454999999999998</v>
      </c>
    </row>
    <row r="50" spans="1:40" x14ac:dyDescent="0.25">
      <c r="A50" t="s">
        <v>105</v>
      </c>
      <c r="B50" t="s">
        <v>106</v>
      </c>
      <c r="C50" t="s">
        <v>17</v>
      </c>
      <c r="D50">
        <v>0</v>
      </c>
      <c r="E50">
        <v>40.970999999999997</v>
      </c>
      <c r="F50">
        <v>41.018000000000001</v>
      </c>
      <c r="G50">
        <v>41.557000000000002</v>
      </c>
      <c r="H50">
        <v>43.444000000000003</v>
      </c>
      <c r="I50">
        <v>44.902000000000001</v>
      </c>
      <c r="J50">
        <v>43.131</v>
      </c>
      <c r="K50">
        <v>41.878</v>
      </c>
      <c r="L50">
        <v>41.851999999999997</v>
      </c>
      <c r="M50">
        <v>45.566000000000003</v>
      </c>
      <c r="N50">
        <v>45.685000000000002</v>
      </c>
      <c r="O50">
        <v>45.421999999999997</v>
      </c>
      <c r="P50">
        <v>45.176000000000002</v>
      </c>
      <c r="Q50">
        <v>44.942999999999998</v>
      </c>
      <c r="R50">
        <v>46.280999999999999</v>
      </c>
      <c r="S50">
        <v>44.499000000000002</v>
      </c>
      <c r="T50">
        <v>45.218000000000004</v>
      </c>
      <c r="U50">
        <v>45.914999999999999</v>
      </c>
      <c r="V50">
        <v>46.1</v>
      </c>
      <c r="W50">
        <v>46.076000000000001</v>
      </c>
      <c r="X50">
        <v>46.029000000000003</v>
      </c>
      <c r="Y50">
        <v>45.966000000000001</v>
      </c>
      <c r="Z50">
        <v>45.533000000000001</v>
      </c>
      <c r="AA50">
        <v>46.448999999999998</v>
      </c>
      <c r="AB50">
        <v>47.404000000000003</v>
      </c>
      <c r="AC50">
        <v>46.055</v>
      </c>
      <c r="AD50">
        <v>45.09</v>
      </c>
      <c r="AE50">
        <v>45.811</v>
      </c>
      <c r="AF50">
        <v>45.154000000000003</v>
      </c>
      <c r="AG50">
        <v>44.927999999999997</v>
      </c>
      <c r="AH50">
        <v>45.982999999999997</v>
      </c>
      <c r="AI50">
        <v>43.207000000000001</v>
      </c>
      <c r="AJ50">
        <v>45.216999999999999</v>
      </c>
      <c r="AK50">
        <v>46.027999999999999</v>
      </c>
      <c r="AL50">
        <v>48.521000000000001</v>
      </c>
      <c r="AM50">
        <v>48.957000000000001</v>
      </c>
      <c r="AN50">
        <v>49.052</v>
      </c>
    </row>
    <row r="51" spans="1:40" x14ac:dyDescent="0.25">
      <c r="A51" t="s">
        <v>107</v>
      </c>
      <c r="B51" t="s">
        <v>108</v>
      </c>
      <c r="C51" t="s">
        <v>14</v>
      </c>
      <c r="D51">
        <v>0</v>
      </c>
      <c r="E51">
        <v>52.378999999999998</v>
      </c>
      <c r="F51">
        <v>52.451000000000001</v>
      </c>
      <c r="G51">
        <v>52.511000000000003</v>
      </c>
      <c r="H51">
        <v>52.558999999999997</v>
      </c>
      <c r="I51">
        <v>52.597000000000001</v>
      </c>
      <c r="J51">
        <v>52.625</v>
      </c>
      <c r="K51">
        <v>52.643999999999998</v>
      </c>
      <c r="L51">
        <v>52.66</v>
      </c>
      <c r="M51">
        <v>52.670999999999999</v>
      </c>
      <c r="N51">
        <v>52.674999999999997</v>
      </c>
      <c r="O51">
        <v>52.655000000000001</v>
      </c>
      <c r="P51">
        <v>52.613999999999997</v>
      </c>
      <c r="Q51">
        <v>52.563000000000002</v>
      </c>
      <c r="R51">
        <v>52.496000000000002</v>
      </c>
      <c r="S51">
        <v>52.398000000000003</v>
      </c>
      <c r="T51">
        <v>52.305999999999997</v>
      </c>
      <c r="U51">
        <v>52.247999999999998</v>
      </c>
      <c r="V51">
        <v>52.222000000000001</v>
      </c>
      <c r="W51">
        <v>52.238999999999997</v>
      </c>
      <c r="X51">
        <v>52.323999999999998</v>
      </c>
      <c r="Y51">
        <v>52.484999999999999</v>
      </c>
      <c r="Z51">
        <v>52.695999999999998</v>
      </c>
      <c r="AA51">
        <v>52.930999999999997</v>
      </c>
      <c r="AB51">
        <v>53.176000000000002</v>
      </c>
      <c r="AC51">
        <v>53.404000000000003</v>
      </c>
      <c r="AD51">
        <v>53.595999999999997</v>
      </c>
      <c r="AE51">
        <v>53.744999999999997</v>
      </c>
      <c r="AF51">
        <v>53.85</v>
      </c>
      <c r="AG51">
        <v>53.911000000000001</v>
      </c>
      <c r="AH51">
        <v>53.930999999999997</v>
      </c>
      <c r="AI51">
        <v>50.146000000000001</v>
      </c>
      <c r="AJ51">
        <v>50.951000000000001</v>
      </c>
      <c r="AK51">
        <v>53.526000000000003</v>
      </c>
      <c r="AL51">
        <v>53.265000000000001</v>
      </c>
      <c r="AM51">
        <v>53.043999999999997</v>
      </c>
      <c r="AN51">
        <v>52.616</v>
      </c>
    </row>
    <row r="52" spans="1:40" x14ac:dyDescent="0.25">
      <c r="A52" t="s">
        <v>109</v>
      </c>
      <c r="B52" t="s">
        <v>110</v>
      </c>
      <c r="C52" t="s">
        <v>14</v>
      </c>
      <c r="D52">
        <v>1</v>
      </c>
      <c r="E52">
        <v>74.444000000000003</v>
      </c>
      <c r="F52">
        <v>74.382000000000005</v>
      </c>
      <c r="G52">
        <v>74.302999999999997</v>
      </c>
      <c r="H52">
        <v>74.269000000000005</v>
      </c>
      <c r="I52">
        <v>74.241</v>
      </c>
      <c r="J52">
        <v>74.274000000000001</v>
      </c>
      <c r="K52">
        <v>74.311000000000007</v>
      </c>
      <c r="L52">
        <v>74.271000000000001</v>
      </c>
      <c r="M52">
        <v>74.206999999999994</v>
      </c>
      <c r="N52">
        <v>74.150999999999996</v>
      </c>
      <c r="O52">
        <v>74.090999999999994</v>
      </c>
      <c r="P52">
        <v>74.070999999999998</v>
      </c>
      <c r="Q52">
        <v>74.061000000000007</v>
      </c>
      <c r="R52">
        <v>74.069999999999993</v>
      </c>
      <c r="S52">
        <v>74.082999999999998</v>
      </c>
      <c r="T52">
        <v>74.064999999999998</v>
      </c>
      <c r="U52">
        <v>74.022000000000006</v>
      </c>
      <c r="V52">
        <v>73.954999999999998</v>
      </c>
      <c r="W52">
        <v>73.902000000000001</v>
      </c>
      <c r="X52">
        <v>73.844999999999999</v>
      </c>
      <c r="Y52">
        <v>73.783000000000001</v>
      </c>
      <c r="Z52">
        <v>73.715999999999994</v>
      </c>
      <c r="AA52">
        <v>73.632000000000005</v>
      </c>
      <c r="AB52">
        <v>73.558999999999997</v>
      </c>
      <c r="AC52">
        <v>73.474999999999994</v>
      </c>
      <c r="AD52">
        <v>73.372</v>
      </c>
      <c r="AE52">
        <v>73.272999999999996</v>
      </c>
      <c r="AF52">
        <v>73.159000000000006</v>
      </c>
      <c r="AG52">
        <v>73.043999999999997</v>
      </c>
      <c r="AH52">
        <v>72.929000000000002</v>
      </c>
      <c r="AI52">
        <v>71.989000000000004</v>
      </c>
      <c r="AJ52">
        <v>72.622</v>
      </c>
      <c r="AK52">
        <v>72.850999999999999</v>
      </c>
      <c r="AL52">
        <v>72.861999999999995</v>
      </c>
      <c r="AM52">
        <v>72.853999999999999</v>
      </c>
      <c r="AN52">
        <v>72.837999999999994</v>
      </c>
    </row>
    <row r="53" spans="1:40" x14ac:dyDescent="0.25">
      <c r="A53" t="s">
        <v>111</v>
      </c>
      <c r="B53" t="s">
        <v>112</v>
      </c>
      <c r="C53" t="s">
        <v>9</v>
      </c>
      <c r="D53">
        <v>0</v>
      </c>
      <c r="E53">
        <v>59.68</v>
      </c>
      <c r="F53">
        <v>58.231000000000002</v>
      </c>
      <c r="G53">
        <v>55.771000000000001</v>
      </c>
      <c r="H53">
        <v>54.713999999999999</v>
      </c>
      <c r="I53">
        <v>54.667000000000002</v>
      </c>
      <c r="J53">
        <v>53.704999999999998</v>
      </c>
      <c r="K53">
        <v>53.511000000000003</v>
      </c>
      <c r="L53">
        <v>54.27</v>
      </c>
      <c r="M53">
        <v>52.707999999999998</v>
      </c>
      <c r="N53">
        <v>51.917000000000002</v>
      </c>
      <c r="O53">
        <v>52.575000000000003</v>
      </c>
      <c r="P53">
        <v>51.985999999999997</v>
      </c>
      <c r="Q53">
        <v>51.03</v>
      </c>
      <c r="R53">
        <v>52.274000000000001</v>
      </c>
      <c r="S53">
        <v>53.198</v>
      </c>
      <c r="T53">
        <v>53.512</v>
      </c>
      <c r="U53">
        <v>54.655999999999999</v>
      </c>
      <c r="V53">
        <v>54.018999999999998</v>
      </c>
      <c r="W53">
        <v>54.783999999999999</v>
      </c>
      <c r="X53">
        <v>54.713999999999999</v>
      </c>
      <c r="Y53">
        <v>55.069000000000003</v>
      </c>
      <c r="Z53">
        <v>55.616999999999997</v>
      </c>
      <c r="AA53">
        <v>55.38</v>
      </c>
      <c r="AB53">
        <v>55.341000000000001</v>
      </c>
      <c r="AC53">
        <v>54.54</v>
      </c>
      <c r="AD53">
        <v>55.747</v>
      </c>
      <c r="AE53">
        <v>56.295000000000002</v>
      </c>
      <c r="AF53">
        <v>57.006</v>
      </c>
      <c r="AG53">
        <v>57.280999999999999</v>
      </c>
      <c r="AH53">
        <v>57.34</v>
      </c>
      <c r="AI53">
        <v>57.133000000000003</v>
      </c>
      <c r="AJ53">
        <v>57.777000000000001</v>
      </c>
      <c r="AK53">
        <v>60.137999999999998</v>
      </c>
      <c r="AL53">
        <v>61.048999999999999</v>
      </c>
      <c r="AM53">
        <v>61.258000000000003</v>
      </c>
      <c r="AN53">
        <v>60.984000000000002</v>
      </c>
    </row>
    <row r="54" spans="1:40" x14ac:dyDescent="0.25">
      <c r="A54" t="s">
        <v>113</v>
      </c>
      <c r="B54" t="s">
        <v>114</v>
      </c>
      <c r="C54" t="s">
        <v>14</v>
      </c>
      <c r="D54">
        <v>0</v>
      </c>
      <c r="E54">
        <v>43.27</v>
      </c>
      <c r="F54">
        <v>43.39</v>
      </c>
      <c r="G54">
        <v>43.512</v>
      </c>
      <c r="H54">
        <v>43.570999999999998</v>
      </c>
      <c r="I54">
        <v>43.383000000000003</v>
      </c>
      <c r="J54">
        <v>43.259</v>
      </c>
      <c r="K54">
        <v>43.401000000000003</v>
      </c>
      <c r="L54">
        <v>43.604999999999997</v>
      </c>
      <c r="M54">
        <v>43.871000000000002</v>
      </c>
      <c r="N54">
        <v>44.152999999999999</v>
      </c>
      <c r="O54">
        <v>44.423999999999999</v>
      </c>
      <c r="P54">
        <v>44.668999999999997</v>
      </c>
      <c r="Q54">
        <v>44.887999999999998</v>
      </c>
      <c r="R54">
        <v>45.076999999999998</v>
      </c>
      <c r="S54">
        <v>45.238</v>
      </c>
      <c r="T54">
        <v>45.375</v>
      </c>
      <c r="U54">
        <v>45.494</v>
      </c>
      <c r="V54">
        <v>45.631999999999998</v>
      </c>
      <c r="W54">
        <v>45.802999999999997</v>
      </c>
      <c r="X54">
        <v>45.98</v>
      </c>
      <c r="Y54">
        <v>46.143999999999998</v>
      </c>
      <c r="Z54">
        <v>46.29</v>
      </c>
      <c r="AA54">
        <v>46.414000000000001</v>
      </c>
      <c r="AB54">
        <v>46.530999999999999</v>
      </c>
      <c r="AC54">
        <v>46.665999999999997</v>
      </c>
      <c r="AD54">
        <v>46.819000000000003</v>
      </c>
      <c r="AE54">
        <v>46.965000000000003</v>
      </c>
      <c r="AF54">
        <v>47.015999999999998</v>
      </c>
      <c r="AG54">
        <v>47.082999999999998</v>
      </c>
      <c r="AH54">
        <v>47.158000000000001</v>
      </c>
      <c r="AI54">
        <v>46.451999999999998</v>
      </c>
      <c r="AJ54">
        <v>46.901000000000003</v>
      </c>
      <c r="AK54">
        <v>47.226999999999997</v>
      </c>
      <c r="AL54">
        <v>48.24</v>
      </c>
      <c r="AM54">
        <v>48.421999999999997</v>
      </c>
      <c r="AN54">
        <v>48.518000000000001</v>
      </c>
    </row>
    <row r="55" spans="1:40" x14ac:dyDescent="0.25">
      <c r="A55" t="s">
        <v>115</v>
      </c>
      <c r="B55" t="s">
        <v>116</v>
      </c>
      <c r="C55" t="s">
        <v>14</v>
      </c>
      <c r="D55">
        <v>1</v>
      </c>
      <c r="E55">
        <v>74.912999999999997</v>
      </c>
      <c r="F55">
        <v>74.902000000000001</v>
      </c>
      <c r="G55">
        <v>74.884</v>
      </c>
      <c r="H55">
        <v>74.846999999999994</v>
      </c>
      <c r="I55">
        <v>74.811000000000007</v>
      </c>
      <c r="J55">
        <v>74.774000000000001</v>
      </c>
      <c r="K55">
        <v>74.734999999999999</v>
      </c>
      <c r="L55">
        <v>74.691000000000003</v>
      </c>
      <c r="M55">
        <v>74.644999999999996</v>
      </c>
      <c r="N55">
        <v>74.605999999999995</v>
      </c>
      <c r="O55">
        <v>74.575000000000003</v>
      </c>
      <c r="P55">
        <v>74.554000000000002</v>
      </c>
      <c r="Q55">
        <v>74.546000000000006</v>
      </c>
      <c r="R55">
        <v>74.548000000000002</v>
      </c>
      <c r="S55">
        <v>74.557000000000002</v>
      </c>
      <c r="T55">
        <v>74.570999999999998</v>
      </c>
      <c r="U55">
        <v>74.525000000000006</v>
      </c>
      <c r="V55">
        <v>74.480999999999995</v>
      </c>
      <c r="W55">
        <v>74.438999999999993</v>
      </c>
      <c r="X55">
        <v>74.399000000000001</v>
      </c>
      <c r="Y55">
        <v>74.36</v>
      </c>
      <c r="Z55">
        <v>74.322000000000003</v>
      </c>
      <c r="AA55">
        <v>74.286000000000001</v>
      </c>
      <c r="AB55">
        <v>74.251000000000005</v>
      </c>
      <c r="AC55">
        <v>72.218999999999994</v>
      </c>
      <c r="AD55">
        <v>70.185000000000002</v>
      </c>
      <c r="AE55">
        <v>68.147999999999996</v>
      </c>
      <c r="AF55">
        <v>66.108000000000004</v>
      </c>
      <c r="AG55">
        <v>64.058999999999997</v>
      </c>
      <c r="AH55">
        <v>62.000999999999998</v>
      </c>
      <c r="AI55">
        <v>59.296999999999997</v>
      </c>
      <c r="AJ55">
        <v>57.555</v>
      </c>
      <c r="AK55">
        <v>58.000999999999998</v>
      </c>
      <c r="AL55">
        <v>58.140999999999998</v>
      </c>
      <c r="AM55">
        <v>58.390999999999998</v>
      </c>
      <c r="AN55">
        <v>58.456000000000003</v>
      </c>
    </row>
    <row r="56" spans="1:40" x14ac:dyDescent="0.25">
      <c r="A56" t="s">
        <v>117</v>
      </c>
      <c r="B56" t="s">
        <v>118</v>
      </c>
      <c r="C56" t="s">
        <v>22</v>
      </c>
      <c r="D56">
        <v>0</v>
      </c>
      <c r="E56">
        <v>39.676000000000002</v>
      </c>
      <c r="F56">
        <v>39.729999999999997</v>
      </c>
      <c r="G56">
        <v>39.652999999999999</v>
      </c>
      <c r="H56">
        <v>39.631999999999998</v>
      </c>
      <c r="I56">
        <v>39.570999999999998</v>
      </c>
      <c r="J56">
        <v>39.542999999999999</v>
      </c>
      <c r="K56">
        <v>39.491</v>
      </c>
      <c r="L56">
        <v>39.08</v>
      </c>
      <c r="M56">
        <v>38.665999999999997</v>
      </c>
      <c r="N56">
        <v>38.253</v>
      </c>
      <c r="O56">
        <v>37.841000000000001</v>
      </c>
      <c r="P56">
        <v>37.429000000000002</v>
      </c>
      <c r="Q56">
        <v>37.017000000000003</v>
      </c>
      <c r="R56">
        <v>36.604999999999997</v>
      </c>
      <c r="S56">
        <v>36.192</v>
      </c>
      <c r="T56">
        <v>34.969000000000001</v>
      </c>
      <c r="U56">
        <v>36.710999999999999</v>
      </c>
      <c r="V56">
        <v>38.475000000000001</v>
      </c>
      <c r="W56">
        <v>40.268000000000001</v>
      </c>
      <c r="X56">
        <v>42.085999999999999</v>
      </c>
      <c r="Y56">
        <v>43.911999999999999</v>
      </c>
      <c r="Z56">
        <v>45.74</v>
      </c>
      <c r="AA56">
        <v>44.326000000000001</v>
      </c>
      <c r="AB56">
        <v>42.924999999999997</v>
      </c>
      <c r="AC56">
        <v>41.54</v>
      </c>
      <c r="AD56">
        <v>40.015999999999998</v>
      </c>
      <c r="AE56">
        <v>38.51</v>
      </c>
      <c r="AF56">
        <v>38.500999999999998</v>
      </c>
      <c r="AG56">
        <v>38.505000000000003</v>
      </c>
      <c r="AH56">
        <v>38.526000000000003</v>
      </c>
      <c r="AI56">
        <v>36.179000000000002</v>
      </c>
      <c r="AJ56">
        <v>36.549999999999997</v>
      </c>
      <c r="AK56">
        <v>38.204999999999998</v>
      </c>
      <c r="AL56">
        <v>38.418999999999997</v>
      </c>
      <c r="AM56">
        <v>38.500999999999998</v>
      </c>
      <c r="AN56">
        <v>38.451000000000001</v>
      </c>
    </row>
    <row r="57" spans="1:40" x14ac:dyDescent="0.25">
      <c r="A57" t="s">
        <v>119</v>
      </c>
      <c r="B57" t="s">
        <v>120</v>
      </c>
      <c r="C57" t="s">
        <v>9</v>
      </c>
      <c r="D57">
        <v>0</v>
      </c>
      <c r="E57">
        <v>58.63</v>
      </c>
      <c r="F57">
        <v>57.384999999999998</v>
      </c>
      <c r="G57">
        <v>56.171999999999997</v>
      </c>
      <c r="H57">
        <v>55.444000000000003</v>
      </c>
      <c r="I57">
        <v>54.716999999999999</v>
      </c>
      <c r="J57">
        <v>54.633000000000003</v>
      </c>
      <c r="K57">
        <v>54.555</v>
      </c>
      <c r="L57">
        <v>54.859000000000002</v>
      </c>
      <c r="M57">
        <v>55.058</v>
      </c>
      <c r="N57">
        <v>56.323</v>
      </c>
      <c r="O57">
        <v>56.566000000000003</v>
      </c>
      <c r="P57">
        <v>57.280999999999999</v>
      </c>
      <c r="Q57">
        <v>57.75</v>
      </c>
      <c r="R57">
        <v>57.631</v>
      </c>
      <c r="S57">
        <v>57.573</v>
      </c>
      <c r="T57">
        <v>58.156999999999996</v>
      </c>
      <c r="U57">
        <v>58.337000000000003</v>
      </c>
      <c r="V57">
        <v>57.33</v>
      </c>
      <c r="W57">
        <v>57.374000000000002</v>
      </c>
      <c r="X57">
        <v>56.860999999999997</v>
      </c>
      <c r="Y57">
        <v>55.871000000000002</v>
      </c>
      <c r="Z57">
        <v>55.743000000000002</v>
      </c>
      <c r="AA57">
        <v>55.865000000000002</v>
      </c>
      <c r="AB57">
        <v>55.567999999999998</v>
      </c>
      <c r="AC57">
        <v>55.296999999999997</v>
      </c>
      <c r="AD57">
        <v>55.406999999999996</v>
      </c>
      <c r="AE57">
        <v>54.981999999999999</v>
      </c>
      <c r="AF57">
        <v>55.027000000000001</v>
      </c>
      <c r="AG57">
        <v>55.688000000000002</v>
      </c>
      <c r="AH57">
        <v>55.677</v>
      </c>
      <c r="AI57">
        <v>55.174999999999997</v>
      </c>
      <c r="AJ57">
        <v>55.927</v>
      </c>
      <c r="AK57">
        <v>57.267000000000003</v>
      </c>
      <c r="AL57">
        <v>57.488999999999997</v>
      </c>
      <c r="AM57">
        <v>56.667999999999999</v>
      </c>
      <c r="AN57">
        <v>56.493000000000002</v>
      </c>
    </row>
    <row r="58" spans="1:40" x14ac:dyDescent="0.25">
      <c r="A58" t="s">
        <v>121</v>
      </c>
      <c r="B58" t="s">
        <v>122</v>
      </c>
      <c r="C58" t="s">
        <v>9</v>
      </c>
      <c r="D58">
        <v>0</v>
      </c>
      <c r="E58">
        <v>46.420999999999999</v>
      </c>
      <c r="F58">
        <v>46.459000000000003</v>
      </c>
      <c r="G58">
        <v>46.850999999999999</v>
      </c>
      <c r="H58">
        <v>47.305999999999997</v>
      </c>
      <c r="I58">
        <v>47.466999999999999</v>
      </c>
      <c r="J58">
        <v>47.774999999999999</v>
      </c>
      <c r="K58">
        <v>48.146000000000001</v>
      </c>
      <c r="L58">
        <v>47.735999999999997</v>
      </c>
      <c r="M58">
        <v>48.064</v>
      </c>
      <c r="N58">
        <v>48.448999999999998</v>
      </c>
      <c r="O58">
        <v>48.534999999999997</v>
      </c>
      <c r="P58">
        <v>48.323999999999998</v>
      </c>
      <c r="Q58">
        <v>48.534999999999997</v>
      </c>
      <c r="R58">
        <v>49.735999999999997</v>
      </c>
      <c r="S58">
        <v>49.582000000000001</v>
      </c>
      <c r="T58">
        <v>50.137</v>
      </c>
      <c r="U58">
        <v>50.228999999999999</v>
      </c>
      <c r="V58">
        <v>50.62</v>
      </c>
      <c r="W58">
        <v>50.74</v>
      </c>
      <c r="X58">
        <v>51.064999999999998</v>
      </c>
      <c r="Y58">
        <v>51.082999999999998</v>
      </c>
      <c r="Z58">
        <v>50.994999999999997</v>
      </c>
      <c r="AA58">
        <v>51.195999999999998</v>
      </c>
      <c r="AB58">
        <v>51.317999999999998</v>
      </c>
      <c r="AC58">
        <v>51.012</v>
      </c>
      <c r="AD58">
        <v>50.957000000000001</v>
      </c>
      <c r="AE58">
        <v>50.83</v>
      </c>
      <c r="AF58">
        <v>50.625</v>
      </c>
      <c r="AG58">
        <v>50.813000000000002</v>
      </c>
      <c r="AH58">
        <v>50.615000000000002</v>
      </c>
      <c r="AI58">
        <v>50.05</v>
      </c>
      <c r="AJ58">
        <v>51.604999999999997</v>
      </c>
      <c r="AK58">
        <v>51.862000000000002</v>
      </c>
      <c r="AL58">
        <v>52.107999999999997</v>
      </c>
      <c r="AM58">
        <v>51.773000000000003</v>
      </c>
      <c r="AN58">
        <v>51.48</v>
      </c>
    </row>
    <row r="59" spans="1:40" x14ac:dyDescent="0.25">
      <c r="A59" t="s">
        <v>123</v>
      </c>
      <c r="B59" t="s">
        <v>124</v>
      </c>
      <c r="C59" t="s">
        <v>14</v>
      </c>
      <c r="D59">
        <v>0</v>
      </c>
      <c r="E59">
        <v>37.412999999999997</v>
      </c>
      <c r="F59">
        <v>37.386000000000003</v>
      </c>
      <c r="G59">
        <v>37.363</v>
      </c>
      <c r="H59">
        <v>37.36</v>
      </c>
      <c r="I59">
        <v>37.377000000000002</v>
      </c>
      <c r="J59">
        <v>37.42</v>
      </c>
      <c r="K59">
        <v>37.484000000000002</v>
      </c>
      <c r="L59">
        <v>37.569000000000003</v>
      </c>
      <c r="M59">
        <v>37.664000000000001</v>
      </c>
      <c r="N59">
        <v>37.753999999999998</v>
      </c>
      <c r="O59">
        <v>37.865000000000002</v>
      </c>
      <c r="P59">
        <v>37.994999999999997</v>
      </c>
      <c r="Q59">
        <v>38.139000000000003</v>
      </c>
      <c r="R59">
        <v>38.308999999999997</v>
      </c>
      <c r="S59">
        <v>38.499000000000002</v>
      </c>
      <c r="T59">
        <v>38.707999999999998</v>
      </c>
      <c r="U59">
        <v>38.932000000000002</v>
      </c>
      <c r="V59">
        <v>39.192</v>
      </c>
      <c r="W59">
        <v>39.454999999999998</v>
      </c>
      <c r="X59">
        <v>39.731999999999999</v>
      </c>
      <c r="Y59">
        <v>40.024999999999999</v>
      </c>
      <c r="Z59">
        <v>40.322000000000003</v>
      </c>
      <c r="AA59">
        <v>40.622</v>
      </c>
      <c r="AB59">
        <v>40.924999999999997</v>
      </c>
      <c r="AC59">
        <v>41.207999999999998</v>
      </c>
      <c r="AD59">
        <v>41.453000000000003</v>
      </c>
      <c r="AE59">
        <v>41.649000000000001</v>
      </c>
      <c r="AF59">
        <v>41.795999999999999</v>
      </c>
      <c r="AG59">
        <v>41.908999999999999</v>
      </c>
      <c r="AH59">
        <v>41.994</v>
      </c>
      <c r="AI59">
        <v>39.063000000000002</v>
      </c>
      <c r="AJ59">
        <v>39.762999999999998</v>
      </c>
      <c r="AK59">
        <v>41.904000000000003</v>
      </c>
      <c r="AL59">
        <v>41.875999999999998</v>
      </c>
      <c r="AM59">
        <v>41.808</v>
      </c>
      <c r="AN59">
        <v>41.628999999999998</v>
      </c>
    </row>
    <row r="60" spans="1:40" x14ac:dyDescent="0.25">
      <c r="A60" t="s">
        <v>125</v>
      </c>
      <c r="B60" t="s">
        <v>126</v>
      </c>
      <c r="C60" t="s">
        <v>14</v>
      </c>
      <c r="D60">
        <v>0</v>
      </c>
      <c r="E60">
        <v>45.277000000000001</v>
      </c>
      <c r="F60">
        <v>45.198</v>
      </c>
      <c r="G60">
        <v>45.152000000000001</v>
      </c>
      <c r="H60">
        <v>45.12</v>
      </c>
      <c r="I60">
        <v>44.927999999999997</v>
      </c>
      <c r="J60">
        <v>44.814</v>
      </c>
      <c r="K60">
        <v>44.795000000000002</v>
      </c>
      <c r="L60">
        <v>44.959000000000003</v>
      </c>
      <c r="M60">
        <v>45.015000000000001</v>
      </c>
      <c r="N60">
        <v>45.268999999999998</v>
      </c>
      <c r="O60">
        <v>45.454000000000001</v>
      </c>
      <c r="P60">
        <v>45.656999999999996</v>
      </c>
      <c r="Q60">
        <v>45.183999999999997</v>
      </c>
      <c r="R60">
        <v>45.45</v>
      </c>
      <c r="S60">
        <v>45.722999999999999</v>
      </c>
      <c r="T60">
        <v>45.295000000000002</v>
      </c>
      <c r="U60">
        <v>44.999000000000002</v>
      </c>
      <c r="V60">
        <v>44.963000000000001</v>
      </c>
      <c r="W60">
        <v>45.154000000000003</v>
      </c>
      <c r="X60">
        <v>45.375</v>
      </c>
      <c r="Y60">
        <v>45.545999999999999</v>
      </c>
      <c r="Z60">
        <v>44.652999999999999</v>
      </c>
      <c r="AA60">
        <v>44.783999999999999</v>
      </c>
      <c r="AB60">
        <v>44.75</v>
      </c>
      <c r="AC60">
        <v>44.404000000000003</v>
      </c>
      <c r="AD60">
        <v>44.465000000000003</v>
      </c>
      <c r="AE60">
        <v>44.377000000000002</v>
      </c>
      <c r="AF60">
        <v>44.497999999999998</v>
      </c>
      <c r="AG60">
        <v>44.792000000000002</v>
      </c>
      <c r="AH60">
        <v>45.017000000000003</v>
      </c>
      <c r="AI60">
        <v>44.823</v>
      </c>
      <c r="AJ60">
        <v>44.966999999999999</v>
      </c>
      <c r="AK60">
        <v>45.13</v>
      </c>
      <c r="AL60">
        <v>45.241999999999997</v>
      </c>
      <c r="AM60">
        <v>45.427999999999997</v>
      </c>
      <c r="AN60">
        <v>45.459000000000003</v>
      </c>
    </row>
    <row r="61" spans="1:40" x14ac:dyDescent="0.25">
      <c r="A61" t="s">
        <v>127</v>
      </c>
      <c r="B61" t="s">
        <v>128</v>
      </c>
      <c r="C61" t="s">
        <v>6</v>
      </c>
      <c r="D61">
        <v>0</v>
      </c>
      <c r="E61">
        <v>70.317999999999998</v>
      </c>
      <c r="F61">
        <v>71.498000000000005</v>
      </c>
      <c r="G61">
        <v>72.805999999999997</v>
      </c>
      <c r="H61">
        <v>74.262</v>
      </c>
      <c r="I61">
        <v>75.882000000000005</v>
      </c>
      <c r="J61">
        <v>74.811000000000007</v>
      </c>
      <c r="K61">
        <v>72.436999999999998</v>
      </c>
      <c r="L61">
        <v>70.325000000000003</v>
      </c>
      <c r="M61">
        <v>69.477999999999994</v>
      </c>
      <c r="N61">
        <v>68.75</v>
      </c>
      <c r="O61">
        <v>68.204999999999998</v>
      </c>
      <c r="P61">
        <v>67.319000000000003</v>
      </c>
      <c r="Q61">
        <v>66.463999999999999</v>
      </c>
      <c r="R61">
        <v>65.003</v>
      </c>
      <c r="S61">
        <v>64.224000000000004</v>
      </c>
      <c r="T61">
        <v>63.093000000000004</v>
      </c>
      <c r="U61">
        <v>62.088999999999999</v>
      </c>
      <c r="V61">
        <v>60.953000000000003</v>
      </c>
      <c r="W61">
        <v>60.720999999999997</v>
      </c>
      <c r="X61">
        <v>60.942999999999998</v>
      </c>
      <c r="Y61">
        <v>60.384</v>
      </c>
      <c r="Z61">
        <v>59.768999999999998</v>
      </c>
      <c r="AA61">
        <v>59.313000000000002</v>
      </c>
      <c r="AB61">
        <v>59.008000000000003</v>
      </c>
      <c r="AC61">
        <v>58.811</v>
      </c>
      <c r="AD61">
        <v>58.677999999999997</v>
      </c>
      <c r="AE61">
        <v>58.551000000000002</v>
      </c>
      <c r="AF61">
        <v>58.381999999999998</v>
      </c>
      <c r="AG61">
        <v>55.741999999999997</v>
      </c>
      <c r="AH61">
        <v>54.716000000000001</v>
      </c>
      <c r="AI61">
        <v>55.206000000000003</v>
      </c>
      <c r="AJ61">
        <v>53.055</v>
      </c>
      <c r="AK61">
        <v>55.755000000000003</v>
      </c>
      <c r="AL61">
        <v>56.250999999999998</v>
      </c>
      <c r="AM61">
        <v>56.673000000000002</v>
      </c>
      <c r="AN61">
        <v>56.697000000000003</v>
      </c>
    </row>
    <row r="62" spans="1:40" x14ac:dyDescent="0.25">
      <c r="A62" t="s">
        <v>129</v>
      </c>
      <c r="B62" t="s">
        <v>130</v>
      </c>
      <c r="C62" t="s">
        <v>9</v>
      </c>
      <c r="D62">
        <v>0</v>
      </c>
      <c r="E62">
        <v>45.167999999999999</v>
      </c>
      <c r="F62">
        <v>47.908000000000001</v>
      </c>
      <c r="G62">
        <v>47.816000000000003</v>
      </c>
      <c r="H62">
        <v>47.472000000000001</v>
      </c>
      <c r="I62">
        <v>47.98</v>
      </c>
      <c r="J62">
        <v>47.834000000000003</v>
      </c>
      <c r="K62">
        <v>47.853999999999999</v>
      </c>
      <c r="L62">
        <v>48.357999999999997</v>
      </c>
      <c r="M62">
        <v>48.536999999999999</v>
      </c>
      <c r="N62">
        <v>49.054000000000002</v>
      </c>
      <c r="O62">
        <v>49.000999999999998</v>
      </c>
      <c r="P62">
        <v>49.347000000000001</v>
      </c>
      <c r="Q62">
        <v>49.58</v>
      </c>
      <c r="R62">
        <v>49.984999999999999</v>
      </c>
      <c r="S62">
        <v>49.741999999999997</v>
      </c>
      <c r="T62">
        <v>50.694000000000003</v>
      </c>
      <c r="U62">
        <v>51.758000000000003</v>
      </c>
      <c r="V62">
        <v>52.21</v>
      </c>
      <c r="W62">
        <v>51.997999999999998</v>
      </c>
      <c r="X62">
        <v>52.624000000000002</v>
      </c>
      <c r="Y62">
        <v>52.527999999999999</v>
      </c>
      <c r="Z62">
        <v>53.71</v>
      </c>
      <c r="AA62">
        <v>53.68</v>
      </c>
      <c r="AB62">
        <v>54.194000000000003</v>
      </c>
      <c r="AC62">
        <v>54.468000000000004</v>
      </c>
      <c r="AD62">
        <v>54.441000000000003</v>
      </c>
      <c r="AE62">
        <v>54.808</v>
      </c>
      <c r="AF62">
        <v>55.137999999999998</v>
      </c>
      <c r="AG62">
        <v>55.210999999999999</v>
      </c>
      <c r="AH62">
        <v>55.709000000000003</v>
      </c>
      <c r="AI62">
        <v>55.113</v>
      </c>
      <c r="AJ62">
        <v>55.018000000000001</v>
      </c>
      <c r="AK62">
        <v>55.537999999999997</v>
      </c>
      <c r="AL62">
        <v>55.820999999999998</v>
      </c>
      <c r="AM62">
        <v>55.622</v>
      </c>
      <c r="AN62">
        <v>55.287999999999997</v>
      </c>
    </row>
    <row r="63" spans="1:40" x14ac:dyDescent="0.25">
      <c r="A63" t="s">
        <v>131</v>
      </c>
      <c r="B63" t="s">
        <v>132</v>
      </c>
      <c r="C63" t="s">
        <v>14</v>
      </c>
      <c r="D63">
        <v>0</v>
      </c>
      <c r="E63">
        <v>70.054000000000002</v>
      </c>
      <c r="F63">
        <v>70.073999999999998</v>
      </c>
      <c r="G63">
        <v>69.942999999999998</v>
      </c>
      <c r="H63">
        <v>69.811000000000007</v>
      </c>
      <c r="I63">
        <v>69.680999999999997</v>
      </c>
      <c r="J63">
        <v>69.552999999999997</v>
      </c>
      <c r="K63">
        <v>69.424000000000007</v>
      </c>
      <c r="L63">
        <v>69.293000000000006</v>
      </c>
      <c r="M63">
        <v>69.161000000000001</v>
      </c>
      <c r="N63">
        <v>69.028000000000006</v>
      </c>
      <c r="O63">
        <v>68.894999999999996</v>
      </c>
      <c r="P63">
        <v>68.760000000000005</v>
      </c>
      <c r="Q63">
        <v>68.625</v>
      </c>
      <c r="R63">
        <v>68.489000000000004</v>
      </c>
      <c r="S63">
        <v>68.353999999999999</v>
      </c>
      <c r="T63">
        <v>68.218000000000004</v>
      </c>
      <c r="U63">
        <v>68.082999999999998</v>
      </c>
      <c r="V63">
        <v>67.947000000000003</v>
      </c>
      <c r="W63">
        <v>67.811000000000007</v>
      </c>
      <c r="X63">
        <v>67.674999999999997</v>
      </c>
      <c r="Y63">
        <v>67.539000000000001</v>
      </c>
      <c r="Z63">
        <v>67.403999999999996</v>
      </c>
      <c r="AA63">
        <v>67.268000000000001</v>
      </c>
      <c r="AB63">
        <v>67.132000000000005</v>
      </c>
      <c r="AC63">
        <v>66.096000000000004</v>
      </c>
      <c r="AD63">
        <v>65.049000000000007</v>
      </c>
      <c r="AE63">
        <v>64.013000000000005</v>
      </c>
      <c r="AF63">
        <v>62.966999999999999</v>
      </c>
      <c r="AG63">
        <v>61.515999999999998</v>
      </c>
      <c r="AH63">
        <v>60.063000000000002</v>
      </c>
      <c r="AI63">
        <v>57.957000000000001</v>
      </c>
      <c r="AJ63">
        <v>56.85</v>
      </c>
      <c r="AK63">
        <v>55.506999999999998</v>
      </c>
      <c r="AL63">
        <v>55.53</v>
      </c>
      <c r="AM63">
        <v>55.732999999999997</v>
      </c>
      <c r="AN63">
        <v>55.265000000000001</v>
      </c>
    </row>
    <row r="64" spans="1:40" x14ac:dyDescent="0.25">
      <c r="A64" t="s">
        <v>133</v>
      </c>
      <c r="B64" t="s">
        <v>134</v>
      </c>
      <c r="C64" t="s">
        <v>9</v>
      </c>
      <c r="D64">
        <v>0</v>
      </c>
      <c r="E64">
        <v>35.539000000000001</v>
      </c>
      <c r="F64">
        <v>33.326000000000001</v>
      </c>
      <c r="G64">
        <v>34.554000000000002</v>
      </c>
      <c r="H64">
        <v>34.755000000000003</v>
      </c>
      <c r="I64">
        <v>35.402999999999999</v>
      </c>
      <c r="J64">
        <v>35.997999999999998</v>
      </c>
      <c r="K64">
        <v>37.22</v>
      </c>
      <c r="L64">
        <v>37.21</v>
      </c>
      <c r="M64">
        <v>39.030999999999999</v>
      </c>
      <c r="N64">
        <v>39.518999999999998</v>
      </c>
      <c r="O64">
        <v>39.478000000000002</v>
      </c>
      <c r="P64">
        <v>38.728999999999999</v>
      </c>
      <c r="Q64">
        <v>39.270000000000003</v>
      </c>
      <c r="R64">
        <v>39.859000000000002</v>
      </c>
      <c r="S64">
        <v>41.048000000000002</v>
      </c>
      <c r="T64">
        <v>41.255000000000003</v>
      </c>
      <c r="U64">
        <v>41.606999999999999</v>
      </c>
      <c r="V64">
        <v>41.488</v>
      </c>
      <c r="W64">
        <v>41.531999999999996</v>
      </c>
      <c r="X64">
        <v>42.576000000000001</v>
      </c>
      <c r="Y64">
        <v>43.228999999999999</v>
      </c>
      <c r="Z64">
        <v>43.076999999999998</v>
      </c>
      <c r="AA64">
        <v>43.383000000000003</v>
      </c>
      <c r="AB64">
        <v>43.171999999999997</v>
      </c>
      <c r="AC64">
        <v>43.517000000000003</v>
      </c>
      <c r="AD64">
        <v>44.027999999999999</v>
      </c>
      <c r="AE64">
        <v>44.091000000000001</v>
      </c>
      <c r="AF64">
        <v>43.828000000000003</v>
      </c>
      <c r="AG64">
        <v>43.387</v>
      </c>
      <c r="AH64">
        <v>43.512999999999998</v>
      </c>
      <c r="AI64">
        <v>42.720999999999997</v>
      </c>
      <c r="AJ64">
        <v>43.261000000000003</v>
      </c>
      <c r="AK64">
        <v>44.412999999999997</v>
      </c>
      <c r="AL64">
        <v>44.646000000000001</v>
      </c>
      <c r="AM64">
        <v>45.027000000000001</v>
      </c>
      <c r="AN64">
        <v>44.665999999999997</v>
      </c>
    </row>
    <row r="65" spans="1:40" x14ac:dyDescent="0.25">
      <c r="A65" t="s">
        <v>135</v>
      </c>
      <c r="B65" t="s">
        <v>136</v>
      </c>
      <c r="C65" t="s">
        <v>17</v>
      </c>
      <c r="D65">
        <v>0</v>
      </c>
      <c r="E65">
        <v>44.286000000000001</v>
      </c>
      <c r="F65">
        <v>44.424999999999997</v>
      </c>
      <c r="G65">
        <v>44.665999999999997</v>
      </c>
      <c r="H65">
        <v>44.835000000000001</v>
      </c>
      <c r="I65">
        <v>44.993000000000002</v>
      </c>
      <c r="J65">
        <v>45.209000000000003</v>
      </c>
      <c r="K65">
        <v>45.279000000000003</v>
      </c>
      <c r="L65">
        <v>45.475999999999999</v>
      </c>
      <c r="M65">
        <v>45.735999999999997</v>
      </c>
      <c r="N65">
        <v>45.912999999999997</v>
      </c>
      <c r="O65">
        <v>46.075000000000003</v>
      </c>
      <c r="P65">
        <v>46.14</v>
      </c>
      <c r="Q65">
        <v>46.345999999999997</v>
      </c>
      <c r="R65">
        <v>47.981999999999999</v>
      </c>
      <c r="S65">
        <v>42.045000000000002</v>
      </c>
      <c r="T65">
        <v>41.947000000000003</v>
      </c>
      <c r="U65">
        <v>41.857999999999997</v>
      </c>
      <c r="V65">
        <v>41.777999999999999</v>
      </c>
      <c r="W65">
        <v>41.707999999999998</v>
      </c>
      <c r="X65">
        <v>41.648000000000003</v>
      </c>
      <c r="Y65">
        <v>41.597999999999999</v>
      </c>
      <c r="Z65">
        <v>40.095999999999997</v>
      </c>
      <c r="AA65">
        <v>44.985999999999997</v>
      </c>
      <c r="AB65">
        <v>39.686999999999998</v>
      </c>
      <c r="AC65">
        <v>39.978000000000002</v>
      </c>
      <c r="AD65">
        <v>38.436999999999998</v>
      </c>
      <c r="AE65">
        <v>39.524999999999999</v>
      </c>
      <c r="AF65">
        <v>38.655999999999999</v>
      </c>
      <c r="AG65">
        <v>38.408000000000001</v>
      </c>
      <c r="AH65">
        <v>37.106999999999999</v>
      </c>
      <c r="AI65">
        <v>38.298999999999999</v>
      </c>
      <c r="AJ65">
        <v>42.496000000000002</v>
      </c>
      <c r="AK65">
        <v>40.502000000000002</v>
      </c>
      <c r="AL65">
        <v>38.14</v>
      </c>
      <c r="AM65">
        <v>38.42</v>
      </c>
      <c r="AN65">
        <v>38.323999999999998</v>
      </c>
    </row>
    <row r="66" spans="1:40" x14ac:dyDescent="0.25">
      <c r="A66" t="s">
        <v>137</v>
      </c>
      <c r="B66" t="s">
        <v>138</v>
      </c>
      <c r="C66" t="s">
        <v>14</v>
      </c>
      <c r="D66">
        <v>0</v>
      </c>
      <c r="E66">
        <v>63.491</v>
      </c>
      <c r="F66">
        <v>63.46</v>
      </c>
      <c r="G66">
        <v>63.418999999999997</v>
      </c>
      <c r="H66">
        <v>63.378</v>
      </c>
      <c r="I66">
        <v>63.332999999999998</v>
      </c>
      <c r="J66">
        <v>63.295000000000002</v>
      </c>
      <c r="K66">
        <v>63.262</v>
      </c>
      <c r="L66">
        <v>63.145000000000003</v>
      </c>
      <c r="M66">
        <v>63.027999999999999</v>
      </c>
      <c r="N66">
        <v>62.976999999999997</v>
      </c>
      <c r="O66">
        <v>62.906999999999996</v>
      </c>
      <c r="P66">
        <v>62.780999999999999</v>
      </c>
      <c r="Q66">
        <v>62.713000000000001</v>
      </c>
      <c r="R66">
        <v>61.566000000000003</v>
      </c>
      <c r="S66">
        <v>60.41</v>
      </c>
      <c r="T66">
        <v>59.249000000000002</v>
      </c>
      <c r="U66">
        <v>58.078000000000003</v>
      </c>
      <c r="V66">
        <v>56.893999999999998</v>
      </c>
      <c r="W66">
        <v>55.7</v>
      </c>
      <c r="X66">
        <v>54.499000000000002</v>
      </c>
      <c r="Y66">
        <v>53.290999999999997</v>
      </c>
      <c r="Z66">
        <v>52.076999999999998</v>
      </c>
      <c r="AA66">
        <v>50.859000000000002</v>
      </c>
      <c r="AB66">
        <v>49.637999999999998</v>
      </c>
      <c r="AC66">
        <v>48.414000000000001</v>
      </c>
      <c r="AD66">
        <v>47.185000000000002</v>
      </c>
      <c r="AE66">
        <v>45.954000000000001</v>
      </c>
      <c r="AF66">
        <v>44.725000000000001</v>
      </c>
      <c r="AG66">
        <v>43.497</v>
      </c>
      <c r="AH66">
        <v>42.271000000000001</v>
      </c>
      <c r="AI66">
        <v>41.853999999999999</v>
      </c>
      <c r="AJ66">
        <v>41.988999999999997</v>
      </c>
      <c r="AK66">
        <v>42.529000000000003</v>
      </c>
      <c r="AL66">
        <v>42.738999999999997</v>
      </c>
      <c r="AM66">
        <v>42.881999999999998</v>
      </c>
      <c r="AN66">
        <v>42.646000000000001</v>
      </c>
    </row>
    <row r="67" spans="1:40" x14ac:dyDescent="0.25">
      <c r="A67" t="s">
        <v>139</v>
      </c>
      <c r="B67" t="s">
        <v>140</v>
      </c>
      <c r="C67" t="s">
        <v>14</v>
      </c>
      <c r="D67">
        <v>0</v>
      </c>
      <c r="E67">
        <v>55.237000000000002</v>
      </c>
      <c r="F67">
        <v>55.277000000000001</v>
      </c>
      <c r="G67">
        <v>55.302</v>
      </c>
      <c r="H67">
        <v>55.311999999999998</v>
      </c>
      <c r="I67">
        <v>55.314</v>
      </c>
      <c r="J67">
        <v>55.326999999999998</v>
      </c>
      <c r="K67">
        <v>55.353000000000002</v>
      </c>
      <c r="L67">
        <v>55.386000000000003</v>
      </c>
      <c r="M67">
        <v>55.423999999999999</v>
      </c>
      <c r="N67">
        <v>55.465000000000003</v>
      </c>
      <c r="O67">
        <v>55.506999999999998</v>
      </c>
      <c r="P67">
        <v>55.548000000000002</v>
      </c>
      <c r="Q67">
        <v>55.587000000000003</v>
      </c>
      <c r="R67">
        <v>55.622999999999998</v>
      </c>
      <c r="S67">
        <v>55.66</v>
      </c>
      <c r="T67">
        <v>55.692999999999998</v>
      </c>
      <c r="U67">
        <v>55.716999999999999</v>
      </c>
      <c r="V67">
        <v>55.743000000000002</v>
      </c>
      <c r="W67">
        <v>55.774000000000001</v>
      </c>
      <c r="X67">
        <v>55.811999999999998</v>
      </c>
      <c r="Y67">
        <v>55.853999999999999</v>
      </c>
      <c r="Z67">
        <v>55.896000000000001</v>
      </c>
      <c r="AA67">
        <v>55.939</v>
      </c>
      <c r="AB67">
        <v>55.987000000000002</v>
      </c>
      <c r="AC67">
        <v>56.042000000000002</v>
      </c>
      <c r="AD67">
        <v>56.11</v>
      </c>
      <c r="AE67">
        <v>56.189</v>
      </c>
      <c r="AF67">
        <v>56.284999999999997</v>
      </c>
      <c r="AG67">
        <v>56.399000000000001</v>
      </c>
      <c r="AH67">
        <v>56.063000000000002</v>
      </c>
      <c r="AI67">
        <v>56.768000000000001</v>
      </c>
      <c r="AJ67">
        <v>58.375</v>
      </c>
      <c r="AK67">
        <v>59.972000000000001</v>
      </c>
      <c r="AL67">
        <v>60.084000000000003</v>
      </c>
      <c r="AM67">
        <v>60.17</v>
      </c>
      <c r="AN67">
        <v>60.286999999999999</v>
      </c>
    </row>
    <row r="68" spans="1:40" x14ac:dyDescent="0.25">
      <c r="A68" t="s">
        <v>141</v>
      </c>
      <c r="B68" t="s">
        <v>142</v>
      </c>
      <c r="C68" t="s">
        <v>17</v>
      </c>
      <c r="D68">
        <v>0</v>
      </c>
      <c r="E68">
        <v>37.53</v>
      </c>
      <c r="F68">
        <v>38.058999999999997</v>
      </c>
      <c r="G68">
        <v>38.662999999999997</v>
      </c>
      <c r="H68">
        <v>39.268999999999998</v>
      </c>
      <c r="I68">
        <v>38.728000000000002</v>
      </c>
      <c r="J68">
        <v>38.19</v>
      </c>
      <c r="K68">
        <v>37.649000000000001</v>
      </c>
      <c r="L68">
        <v>37.100999999999999</v>
      </c>
      <c r="M68">
        <v>36.542000000000002</v>
      </c>
      <c r="N68">
        <v>35.975000000000001</v>
      </c>
      <c r="O68">
        <v>35.401000000000003</v>
      </c>
      <c r="P68">
        <v>34.817999999999998</v>
      </c>
      <c r="Q68">
        <v>34.228000000000002</v>
      </c>
      <c r="R68">
        <v>34.892000000000003</v>
      </c>
      <c r="S68">
        <v>35.542999999999999</v>
      </c>
      <c r="T68">
        <v>36.189</v>
      </c>
      <c r="U68">
        <v>36.826999999999998</v>
      </c>
      <c r="V68">
        <v>37.454000000000001</v>
      </c>
      <c r="W68">
        <v>38.07</v>
      </c>
      <c r="X68">
        <v>38.674999999999997</v>
      </c>
      <c r="Y68">
        <v>39.268000000000001</v>
      </c>
      <c r="Z68">
        <v>39.85</v>
      </c>
      <c r="AA68">
        <v>40.442</v>
      </c>
      <c r="AB68">
        <v>41.048999999999999</v>
      </c>
      <c r="AC68">
        <v>41.656999999999996</v>
      </c>
      <c r="AD68">
        <v>42.273000000000003</v>
      </c>
      <c r="AE68">
        <v>42.902000000000001</v>
      </c>
      <c r="AF68">
        <v>43.542999999999999</v>
      </c>
      <c r="AG68">
        <v>44.262999999999998</v>
      </c>
      <c r="AH68">
        <v>41.347000000000001</v>
      </c>
      <c r="AI68">
        <v>40.298999999999999</v>
      </c>
      <c r="AJ68">
        <v>40.752000000000002</v>
      </c>
      <c r="AK68">
        <v>45.133000000000003</v>
      </c>
      <c r="AL68">
        <v>46.478999999999999</v>
      </c>
      <c r="AM68">
        <v>47.381</v>
      </c>
      <c r="AN68">
        <v>47.35</v>
      </c>
    </row>
    <row r="69" spans="1:40" x14ac:dyDescent="0.25">
      <c r="A69" t="s">
        <v>143</v>
      </c>
      <c r="B69" t="s">
        <v>144</v>
      </c>
      <c r="C69" t="s">
        <v>17</v>
      </c>
      <c r="D69">
        <v>0</v>
      </c>
      <c r="E69">
        <v>56.680999999999997</v>
      </c>
      <c r="F69">
        <v>56.744999999999997</v>
      </c>
      <c r="G69">
        <v>56.814</v>
      </c>
      <c r="H69">
        <v>56.890999999999998</v>
      </c>
      <c r="I69">
        <v>56.973999999999997</v>
      </c>
      <c r="J69">
        <v>57.063000000000002</v>
      </c>
      <c r="K69">
        <v>57.005000000000003</v>
      </c>
      <c r="L69">
        <v>56.954000000000001</v>
      </c>
      <c r="M69">
        <v>56.908000000000001</v>
      </c>
      <c r="N69">
        <v>56.868000000000002</v>
      </c>
      <c r="O69">
        <v>56.835000000000001</v>
      </c>
      <c r="P69">
        <v>57.148000000000003</v>
      </c>
      <c r="Q69">
        <v>57.462000000000003</v>
      </c>
      <c r="R69">
        <v>57.774999999999999</v>
      </c>
      <c r="S69">
        <v>58.087000000000003</v>
      </c>
      <c r="T69">
        <v>58.4</v>
      </c>
      <c r="U69">
        <v>58.841999999999999</v>
      </c>
      <c r="V69">
        <v>59.283999999999999</v>
      </c>
      <c r="W69">
        <v>59.723999999999997</v>
      </c>
      <c r="X69">
        <v>60.161999999999999</v>
      </c>
      <c r="Y69">
        <v>60.595999999999997</v>
      </c>
      <c r="Z69">
        <v>61.033999999999999</v>
      </c>
      <c r="AA69">
        <v>61.031999999999996</v>
      </c>
      <c r="AB69">
        <v>61.378999999999998</v>
      </c>
      <c r="AC69">
        <v>61.601999999999997</v>
      </c>
      <c r="AD69">
        <v>61.695</v>
      </c>
      <c r="AE69">
        <v>61.826999999999998</v>
      </c>
      <c r="AF69">
        <v>62.02</v>
      </c>
      <c r="AG69">
        <v>62.139000000000003</v>
      </c>
      <c r="AH69">
        <v>61.951999999999998</v>
      </c>
      <c r="AI69">
        <v>61.366</v>
      </c>
      <c r="AJ69">
        <v>62.098999999999997</v>
      </c>
      <c r="AK69">
        <v>59.948</v>
      </c>
      <c r="AL69">
        <v>59.350999999999999</v>
      </c>
      <c r="AM69">
        <v>58.320999999999998</v>
      </c>
      <c r="AN69">
        <v>58.337000000000003</v>
      </c>
    </row>
    <row r="70" spans="1:40" x14ac:dyDescent="0.25">
      <c r="A70" t="s">
        <v>145</v>
      </c>
      <c r="B70" t="s">
        <v>146</v>
      </c>
      <c r="C70" t="s">
        <v>17</v>
      </c>
      <c r="D70">
        <v>0</v>
      </c>
      <c r="E70">
        <v>44.542999999999999</v>
      </c>
      <c r="F70">
        <v>44.078000000000003</v>
      </c>
      <c r="G70">
        <v>44.381999999999998</v>
      </c>
      <c r="H70">
        <v>44.725000000000001</v>
      </c>
      <c r="I70">
        <v>44.575000000000003</v>
      </c>
      <c r="J70">
        <v>44.908000000000001</v>
      </c>
      <c r="K70">
        <v>44.905000000000001</v>
      </c>
      <c r="L70">
        <v>45.128999999999998</v>
      </c>
      <c r="M70">
        <v>45.292000000000002</v>
      </c>
      <c r="N70">
        <v>45.106999999999999</v>
      </c>
      <c r="O70">
        <v>43.405999999999999</v>
      </c>
      <c r="P70">
        <v>42.99</v>
      </c>
      <c r="Q70">
        <v>42.581000000000003</v>
      </c>
      <c r="R70">
        <v>42.177999999999997</v>
      </c>
      <c r="S70">
        <v>41.781999999999996</v>
      </c>
      <c r="T70">
        <v>41.393999999999998</v>
      </c>
      <c r="U70">
        <v>38.459000000000003</v>
      </c>
      <c r="V70">
        <v>37.826999999999998</v>
      </c>
      <c r="W70">
        <v>39.44</v>
      </c>
      <c r="X70">
        <v>40.917999999999999</v>
      </c>
      <c r="Y70">
        <v>42.655999999999999</v>
      </c>
      <c r="Z70">
        <v>39.674999999999997</v>
      </c>
      <c r="AA70">
        <v>38.293999999999997</v>
      </c>
      <c r="AB70">
        <v>43.408000000000001</v>
      </c>
      <c r="AC70">
        <v>46.005000000000003</v>
      </c>
      <c r="AD70">
        <v>46.551000000000002</v>
      </c>
      <c r="AE70">
        <v>45.912999999999997</v>
      </c>
      <c r="AF70">
        <v>45.758000000000003</v>
      </c>
      <c r="AG70">
        <v>50.021999999999998</v>
      </c>
      <c r="AH70">
        <v>44.526000000000003</v>
      </c>
      <c r="AI70">
        <v>47.039000000000001</v>
      </c>
      <c r="AJ70">
        <v>48.070999999999998</v>
      </c>
      <c r="AK70">
        <v>43.606000000000002</v>
      </c>
      <c r="AL70">
        <v>39.363999999999997</v>
      </c>
      <c r="AM70">
        <v>39.616999999999997</v>
      </c>
      <c r="AN70">
        <v>39.590000000000003</v>
      </c>
    </row>
    <row r="71" spans="1:40" x14ac:dyDescent="0.25">
      <c r="A71" t="s">
        <v>147</v>
      </c>
      <c r="B71" t="s">
        <v>148</v>
      </c>
      <c r="C71" t="s">
        <v>22</v>
      </c>
      <c r="D71">
        <v>0</v>
      </c>
      <c r="E71">
        <v>47.058999999999997</v>
      </c>
      <c r="F71">
        <v>47.948</v>
      </c>
      <c r="G71">
        <v>46.759</v>
      </c>
      <c r="H71">
        <v>46.363999999999997</v>
      </c>
      <c r="I71">
        <v>46.9</v>
      </c>
      <c r="J71">
        <v>47.384</v>
      </c>
      <c r="K71">
        <v>47.634999999999998</v>
      </c>
      <c r="L71">
        <v>47.857999999999997</v>
      </c>
      <c r="M71">
        <v>48.417999999999999</v>
      </c>
      <c r="N71">
        <v>48.710999999999999</v>
      </c>
      <c r="O71">
        <v>48.985999999999997</v>
      </c>
      <c r="P71">
        <v>50.308</v>
      </c>
      <c r="Q71">
        <v>51.448999999999998</v>
      </c>
      <c r="R71">
        <v>51.021999999999998</v>
      </c>
      <c r="S71">
        <v>51.273000000000003</v>
      </c>
      <c r="T71">
        <v>51.65</v>
      </c>
      <c r="U71">
        <v>52.017000000000003</v>
      </c>
      <c r="V71">
        <v>52.503</v>
      </c>
      <c r="W71">
        <v>52.445999999999998</v>
      </c>
      <c r="X71">
        <v>52.56</v>
      </c>
      <c r="Y71">
        <v>51.256999999999998</v>
      </c>
      <c r="Z71">
        <v>52.325000000000003</v>
      </c>
      <c r="AA71">
        <v>52.893000000000001</v>
      </c>
      <c r="AB71">
        <v>53.869</v>
      </c>
      <c r="AC71">
        <v>53.936</v>
      </c>
      <c r="AD71">
        <v>54.210999999999999</v>
      </c>
      <c r="AE71">
        <v>54.28</v>
      </c>
      <c r="AF71">
        <v>54.645000000000003</v>
      </c>
      <c r="AG71">
        <v>54.747</v>
      </c>
      <c r="AH71">
        <v>54.51</v>
      </c>
      <c r="AI71">
        <v>53.728000000000002</v>
      </c>
      <c r="AJ71">
        <v>53.718000000000004</v>
      </c>
      <c r="AK71">
        <v>52.789000000000001</v>
      </c>
      <c r="AL71">
        <v>52.27</v>
      </c>
      <c r="AM71">
        <v>52.256</v>
      </c>
      <c r="AN71">
        <v>51.805</v>
      </c>
    </row>
    <row r="72" spans="1:40" x14ac:dyDescent="0.25">
      <c r="A72" t="s">
        <v>149</v>
      </c>
      <c r="B72" t="s">
        <v>150</v>
      </c>
      <c r="C72" t="s">
        <v>9</v>
      </c>
      <c r="D72">
        <v>0</v>
      </c>
      <c r="E72">
        <v>46.119</v>
      </c>
      <c r="F72">
        <v>45.646999999999998</v>
      </c>
      <c r="G72">
        <v>45.470999999999997</v>
      </c>
      <c r="H72">
        <v>45.383000000000003</v>
      </c>
      <c r="I72">
        <v>45.337000000000003</v>
      </c>
      <c r="J72">
        <v>45.271000000000001</v>
      </c>
      <c r="K72">
        <v>45.201999999999998</v>
      </c>
      <c r="L72">
        <v>45.177</v>
      </c>
      <c r="M72">
        <v>45.182000000000002</v>
      </c>
      <c r="N72">
        <v>45.281999999999996</v>
      </c>
      <c r="O72">
        <v>45.552</v>
      </c>
      <c r="P72">
        <v>45.883000000000003</v>
      </c>
      <c r="Q72">
        <v>46.188000000000002</v>
      </c>
      <c r="R72">
        <v>46.402999999999999</v>
      </c>
      <c r="S72">
        <v>46.651000000000003</v>
      </c>
      <c r="T72">
        <v>46.814</v>
      </c>
      <c r="U72">
        <v>46.929000000000002</v>
      </c>
      <c r="V72">
        <v>46.789000000000001</v>
      </c>
      <c r="W72">
        <v>46.639000000000003</v>
      </c>
      <c r="X72">
        <v>45.845999999999997</v>
      </c>
      <c r="Y72">
        <v>46.637999999999998</v>
      </c>
      <c r="Z72">
        <v>46.838000000000001</v>
      </c>
      <c r="AA72">
        <v>47.454999999999998</v>
      </c>
      <c r="AB72">
        <v>47.735999999999997</v>
      </c>
      <c r="AC72">
        <v>48.884</v>
      </c>
      <c r="AD72">
        <v>49.901000000000003</v>
      </c>
      <c r="AE72">
        <v>50.838999999999999</v>
      </c>
      <c r="AF72">
        <v>51.061999999999998</v>
      </c>
      <c r="AG72">
        <v>51.527000000000001</v>
      </c>
      <c r="AH72">
        <v>51.338999999999999</v>
      </c>
      <c r="AI72">
        <v>51.34</v>
      </c>
      <c r="AJ72">
        <v>52.210999999999999</v>
      </c>
      <c r="AK72">
        <v>53.057000000000002</v>
      </c>
      <c r="AL72">
        <v>53.994999999999997</v>
      </c>
      <c r="AM72">
        <v>54.398000000000003</v>
      </c>
      <c r="AN72">
        <v>54.311999999999998</v>
      </c>
    </row>
    <row r="73" spans="1:40" x14ac:dyDescent="0.25">
      <c r="A73" t="s">
        <v>151</v>
      </c>
      <c r="B73" t="s">
        <v>152</v>
      </c>
      <c r="C73" t="s">
        <v>9</v>
      </c>
      <c r="D73">
        <v>0</v>
      </c>
      <c r="E73">
        <v>66.203999999999994</v>
      </c>
      <c r="F73">
        <v>66.216999999999999</v>
      </c>
      <c r="G73">
        <v>67.075999999999993</v>
      </c>
      <c r="H73">
        <v>67.388999999999996</v>
      </c>
      <c r="I73">
        <v>67.872</v>
      </c>
      <c r="J73">
        <v>70.126000000000005</v>
      </c>
      <c r="K73">
        <v>68.707999999999998</v>
      </c>
      <c r="L73">
        <v>67.634</v>
      </c>
      <c r="M73">
        <v>69.391000000000005</v>
      </c>
      <c r="N73">
        <v>71.221999999999994</v>
      </c>
      <c r="O73">
        <v>73.471000000000004</v>
      </c>
      <c r="P73">
        <v>72.558999999999997</v>
      </c>
      <c r="Q73">
        <v>71.742999999999995</v>
      </c>
      <c r="R73">
        <v>72.063999999999993</v>
      </c>
      <c r="S73">
        <v>70.444999999999993</v>
      </c>
      <c r="T73">
        <v>70.906999999999996</v>
      </c>
      <c r="U73">
        <v>71.724999999999994</v>
      </c>
      <c r="V73">
        <v>71.322000000000003</v>
      </c>
      <c r="W73">
        <v>70.66</v>
      </c>
      <c r="X73">
        <v>70.221000000000004</v>
      </c>
      <c r="Y73">
        <v>70.489999999999995</v>
      </c>
      <c r="Z73">
        <v>70.046999999999997</v>
      </c>
      <c r="AA73">
        <v>70.614999999999995</v>
      </c>
      <c r="AB73">
        <v>71.063999999999993</v>
      </c>
      <c r="AC73">
        <v>71.89</v>
      </c>
      <c r="AD73">
        <v>72.787000000000006</v>
      </c>
      <c r="AE73">
        <v>72.997</v>
      </c>
      <c r="AF73">
        <v>72.591999999999999</v>
      </c>
      <c r="AG73">
        <v>71.596000000000004</v>
      </c>
      <c r="AH73">
        <v>71.456999999999994</v>
      </c>
      <c r="AI73">
        <v>69.308999999999997</v>
      </c>
      <c r="AJ73">
        <v>69.147999999999996</v>
      </c>
      <c r="AK73">
        <v>70.569999999999993</v>
      </c>
      <c r="AL73">
        <v>70.367999999999995</v>
      </c>
      <c r="AM73">
        <v>70.251999999999995</v>
      </c>
      <c r="AN73">
        <v>70.012</v>
      </c>
    </row>
    <row r="74" spans="1:40" x14ac:dyDescent="0.25">
      <c r="A74" t="s">
        <v>153</v>
      </c>
      <c r="B74" t="s">
        <v>154</v>
      </c>
      <c r="C74" t="s">
        <v>22</v>
      </c>
      <c r="D74">
        <v>0</v>
      </c>
      <c r="E74">
        <v>30.257000000000001</v>
      </c>
      <c r="F74">
        <v>30.361000000000001</v>
      </c>
      <c r="G74">
        <v>30.475999999999999</v>
      </c>
      <c r="H74">
        <v>30.594999999999999</v>
      </c>
      <c r="I74">
        <v>30.736000000000001</v>
      </c>
      <c r="J74">
        <v>31.331</v>
      </c>
      <c r="K74">
        <v>31.934000000000001</v>
      </c>
      <c r="L74">
        <v>32.542000000000002</v>
      </c>
      <c r="M74">
        <v>33.156999999999996</v>
      </c>
      <c r="N74">
        <v>33.774999999999999</v>
      </c>
      <c r="O74">
        <v>34.396999999999998</v>
      </c>
      <c r="P74">
        <v>34.482999999999997</v>
      </c>
      <c r="Q74">
        <v>34.57</v>
      </c>
      <c r="R74">
        <v>34.659999999999997</v>
      </c>
      <c r="S74">
        <v>34.753</v>
      </c>
      <c r="T74">
        <v>34.851999999999997</v>
      </c>
      <c r="U74">
        <v>33.499000000000002</v>
      </c>
      <c r="V74">
        <v>32.179000000000002</v>
      </c>
      <c r="W74">
        <v>30.891999999999999</v>
      </c>
      <c r="X74">
        <v>29.640999999999998</v>
      </c>
      <c r="Y74">
        <v>28.425000000000001</v>
      </c>
      <c r="Z74">
        <v>27.582999999999998</v>
      </c>
      <c r="AA74">
        <v>26.763999999999999</v>
      </c>
      <c r="AB74">
        <v>26.669</v>
      </c>
      <c r="AC74">
        <v>26.606999999999999</v>
      </c>
      <c r="AD74">
        <v>26.582000000000001</v>
      </c>
      <c r="AE74">
        <v>26.574999999999999</v>
      </c>
      <c r="AF74">
        <v>26.577999999999999</v>
      </c>
      <c r="AG74">
        <v>26.568000000000001</v>
      </c>
      <c r="AH74">
        <v>26.539000000000001</v>
      </c>
      <c r="AI74">
        <v>25.998000000000001</v>
      </c>
      <c r="AJ74">
        <v>27.724</v>
      </c>
      <c r="AK74">
        <v>29.347999999999999</v>
      </c>
      <c r="AL74">
        <v>30.984000000000002</v>
      </c>
      <c r="AM74">
        <v>32.414999999999999</v>
      </c>
      <c r="AN74">
        <v>32.424999999999997</v>
      </c>
    </row>
    <row r="75" spans="1:40" x14ac:dyDescent="0.25">
      <c r="A75" t="s">
        <v>155</v>
      </c>
      <c r="B75" t="s">
        <v>156</v>
      </c>
      <c r="C75" t="s">
        <v>22</v>
      </c>
      <c r="D75">
        <v>0</v>
      </c>
      <c r="E75">
        <v>50.49</v>
      </c>
      <c r="F75">
        <v>49.54</v>
      </c>
      <c r="G75">
        <v>50.38</v>
      </c>
      <c r="H75">
        <v>49.426000000000002</v>
      </c>
      <c r="I75">
        <v>50.670999999999999</v>
      </c>
      <c r="J75">
        <v>50.673000000000002</v>
      </c>
      <c r="K75">
        <v>50.673999999999999</v>
      </c>
      <c r="L75">
        <v>49.829000000000001</v>
      </c>
      <c r="M75">
        <v>51.093000000000004</v>
      </c>
      <c r="N75">
        <v>51.170999999999999</v>
      </c>
      <c r="O75">
        <v>51.67</v>
      </c>
      <c r="P75">
        <v>49.985999999999997</v>
      </c>
      <c r="Q75">
        <v>48.048000000000002</v>
      </c>
      <c r="R75">
        <v>47.845999999999997</v>
      </c>
      <c r="S75">
        <v>47.235999999999997</v>
      </c>
      <c r="T75">
        <v>46.082000000000001</v>
      </c>
      <c r="U75">
        <v>46.008000000000003</v>
      </c>
      <c r="V75">
        <v>49.838999999999999</v>
      </c>
      <c r="W75">
        <v>50.387</v>
      </c>
      <c r="X75">
        <v>50.3</v>
      </c>
      <c r="Y75">
        <v>50.972999999999999</v>
      </c>
      <c r="Z75">
        <v>50.988999999999997</v>
      </c>
      <c r="AA75">
        <v>51.49</v>
      </c>
      <c r="AB75">
        <v>50.713999999999999</v>
      </c>
      <c r="AC75">
        <v>50.64</v>
      </c>
      <c r="AD75">
        <v>50.771999999999998</v>
      </c>
      <c r="AE75">
        <v>50.948999999999998</v>
      </c>
      <c r="AF75">
        <v>51.942999999999998</v>
      </c>
      <c r="AG75">
        <v>53.131</v>
      </c>
      <c r="AH75">
        <v>53.948999999999998</v>
      </c>
      <c r="AI75">
        <v>53.203000000000003</v>
      </c>
      <c r="AJ75">
        <v>52.069000000000003</v>
      </c>
      <c r="AK75">
        <v>52.561999999999998</v>
      </c>
      <c r="AL75">
        <v>53.487000000000002</v>
      </c>
      <c r="AM75">
        <v>53.588000000000001</v>
      </c>
      <c r="AN75">
        <v>53.72</v>
      </c>
    </row>
    <row r="76" spans="1:40" x14ac:dyDescent="0.25">
      <c r="A76" t="s">
        <v>157</v>
      </c>
      <c r="B76" t="s">
        <v>158</v>
      </c>
      <c r="C76" t="s">
        <v>6</v>
      </c>
      <c r="D76">
        <v>0</v>
      </c>
      <c r="E76">
        <v>9.57</v>
      </c>
      <c r="F76">
        <v>9.7690000000000001</v>
      </c>
      <c r="G76">
        <v>9.907</v>
      </c>
      <c r="H76">
        <v>10.048</v>
      </c>
      <c r="I76">
        <v>10.208</v>
      </c>
      <c r="J76">
        <v>10.395</v>
      </c>
      <c r="K76">
        <v>10.590999999999999</v>
      </c>
      <c r="L76">
        <v>11.304</v>
      </c>
      <c r="M76">
        <v>12.058</v>
      </c>
      <c r="N76">
        <v>12.853</v>
      </c>
      <c r="O76">
        <v>13.691000000000001</v>
      </c>
      <c r="P76">
        <v>14.577999999999999</v>
      </c>
      <c r="Q76">
        <v>15.5</v>
      </c>
      <c r="R76">
        <v>16.486000000000001</v>
      </c>
      <c r="S76">
        <v>17.555</v>
      </c>
      <c r="T76">
        <v>18.684000000000001</v>
      </c>
      <c r="U76">
        <v>18.042000000000002</v>
      </c>
      <c r="V76">
        <v>17.004999999999999</v>
      </c>
      <c r="W76">
        <v>14.763</v>
      </c>
      <c r="X76">
        <v>15.692</v>
      </c>
      <c r="Y76">
        <v>15.14</v>
      </c>
      <c r="Z76">
        <v>13.595000000000001</v>
      </c>
      <c r="AA76">
        <v>14.89</v>
      </c>
      <c r="AB76">
        <v>13.343999999999999</v>
      </c>
      <c r="AC76">
        <v>12.994</v>
      </c>
      <c r="AD76">
        <v>14.362</v>
      </c>
      <c r="AE76">
        <v>16.173999999999999</v>
      </c>
      <c r="AF76">
        <v>17.358000000000001</v>
      </c>
      <c r="AG76">
        <v>17.341000000000001</v>
      </c>
      <c r="AH76">
        <v>16.812000000000001</v>
      </c>
      <c r="AI76">
        <v>13.723000000000001</v>
      </c>
      <c r="AJ76">
        <v>13.086</v>
      </c>
      <c r="AK76">
        <v>13.468999999999999</v>
      </c>
      <c r="AL76">
        <v>14.128</v>
      </c>
      <c r="AM76">
        <v>14.144</v>
      </c>
      <c r="AN76">
        <v>14.013</v>
      </c>
    </row>
    <row r="77" spans="1:40" x14ac:dyDescent="0.25">
      <c r="A77" t="s">
        <v>159</v>
      </c>
      <c r="B77" t="s">
        <v>160</v>
      </c>
      <c r="C77" t="s">
        <v>6</v>
      </c>
      <c r="D77">
        <v>0</v>
      </c>
      <c r="E77">
        <v>8.5120000000000005</v>
      </c>
      <c r="F77">
        <v>8.5519999999999996</v>
      </c>
      <c r="G77">
        <v>8.6660000000000004</v>
      </c>
      <c r="H77">
        <v>8.6929999999999996</v>
      </c>
      <c r="I77">
        <v>8.7140000000000004</v>
      </c>
      <c r="J77">
        <v>8.7539999999999996</v>
      </c>
      <c r="K77">
        <v>8.7799999999999994</v>
      </c>
      <c r="L77">
        <v>8.85</v>
      </c>
      <c r="M77">
        <v>9.1460000000000008</v>
      </c>
      <c r="N77">
        <v>9.4510000000000005</v>
      </c>
      <c r="O77">
        <v>9.7650000000000006</v>
      </c>
      <c r="P77">
        <v>10.089</v>
      </c>
      <c r="Q77">
        <v>10.423</v>
      </c>
      <c r="R77">
        <v>10.77</v>
      </c>
      <c r="S77">
        <v>11.131</v>
      </c>
      <c r="T77">
        <v>11.504</v>
      </c>
      <c r="U77">
        <v>11.89</v>
      </c>
      <c r="V77">
        <v>12.29</v>
      </c>
      <c r="W77">
        <v>12.215</v>
      </c>
      <c r="X77">
        <v>12.132</v>
      </c>
      <c r="Y77">
        <v>12.048</v>
      </c>
      <c r="Z77">
        <v>11.965</v>
      </c>
      <c r="AA77">
        <v>11.882999999999999</v>
      </c>
      <c r="AB77">
        <v>12.776999999999999</v>
      </c>
      <c r="AC77">
        <v>13.722</v>
      </c>
      <c r="AD77">
        <v>14.178000000000001</v>
      </c>
      <c r="AE77">
        <v>14.65</v>
      </c>
      <c r="AF77">
        <v>11.334</v>
      </c>
      <c r="AG77">
        <v>11.446</v>
      </c>
      <c r="AH77">
        <v>11.582000000000001</v>
      </c>
      <c r="AI77">
        <v>10.885</v>
      </c>
      <c r="AJ77">
        <v>10.901999999999999</v>
      </c>
      <c r="AK77">
        <v>11.183</v>
      </c>
      <c r="AL77">
        <v>10.913</v>
      </c>
      <c r="AM77">
        <v>11.003</v>
      </c>
      <c r="AN77">
        <v>10.936999999999999</v>
      </c>
    </row>
    <row r="78" spans="1:40" x14ac:dyDescent="0.25">
      <c r="A78" t="s">
        <v>161</v>
      </c>
      <c r="B78" t="s">
        <v>162</v>
      </c>
      <c r="C78" t="s">
        <v>9</v>
      </c>
      <c r="D78">
        <v>0</v>
      </c>
      <c r="E78">
        <v>41.720999999999997</v>
      </c>
      <c r="F78">
        <v>42.454000000000001</v>
      </c>
      <c r="G78">
        <v>42.887999999999998</v>
      </c>
      <c r="H78">
        <v>44.307000000000002</v>
      </c>
      <c r="I78">
        <v>45.28</v>
      </c>
      <c r="J78">
        <v>46.304000000000002</v>
      </c>
      <c r="K78">
        <v>48.15</v>
      </c>
      <c r="L78">
        <v>48.341000000000001</v>
      </c>
      <c r="M78">
        <v>49.774999999999999</v>
      </c>
      <c r="N78">
        <v>50.811</v>
      </c>
      <c r="O78">
        <v>51.936</v>
      </c>
      <c r="P78">
        <v>52.424999999999997</v>
      </c>
      <c r="Q78">
        <v>53.12</v>
      </c>
      <c r="R78">
        <v>53.228999999999999</v>
      </c>
      <c r="S78">
        <v>53.323</v>
      </c>
      <c r="T78">
        <v>54.981999999999999</v>
      </c>
      <c r="U78">
        <v>55.734999999999999</v>
      </c>
      <c r="V78">
        <v>56.969000000000001</v>
      </c>
      <c r="W78">
        <v>56.826999999999998</v>
      </c>
      <c r="X78">
        <v>56.101999999999997</v>
      </c>
      <c r="Y78">
        <v>55.247</v>
      </c>
      <c r="Z78">
        <v>54.93</v>
      </c>
      <c r="AA78">
        <v>54.719000000000001</v>
      </c>
      <c r="AB78">
        <v>55.226999999999997</v>
      </c>
      <c r="AC78">
        <v>54.884</v>
      </c>
      <c r="AD78">
        <v>54.808999999999997</v>
      </c>
      <c r="AE78">
        <v>55.533000000000001</v>
      </c>
      <c r="AF78">
        <v>55.588999999999999</v>
      </c>
      <c r="AG78">
        <v>55.999000000000002</v>
      </c>
      <c r="AH78">
        <v>56.207000000000001</v>
      </c>
      <c r="AI78">
        <v>55.055</v>
      </c>
      <c r="AJ78">
        <v>57.850999999999999</v>
      </c>
      <c r="AK78">
        <v>59.113999999999997</v>
      </c>
      <c r="AL78">
        <v>60.155000000000001</v>
      </c>
      <c r="AM78">
        <v>59.838000000000001</v>
      </c>
      <c r="AN78">
        <v>59.755000000000003</v>
      </c>
    </row>
    <row r="79" spans="1:40" x14ac:dyDescent="0.25">
      <c r="A79" t="s">
        <v>163</v>
      </c>
      <c r="B79" t="s">
        <v>164</v>
      </c>
      <c r="C79" t="s">
        <v>9</v>
      </c>
      <c r="D79">
        <v>0</v>
      </c>
      <c r="E79">
        <v>46.277000000000001</v>
      </c>
      <c r="F79">
        <v>46.685000000000002</v>
      </c>
      <c r="G79">
        <v>47.962000000000003</v>
      </c>
      <c r="H79">
        <v>49.079000000000001</v>
      </c>
      <c r="I79">
        <v>50.697000000000003</v>
      </c>
      <c r="J79">
        <v>51.664999999999999</v>
      </c>
      <c r="K79">
        <v>51.462000000000003</v>
      </c>
      <c r="L79">
        <v>51.402999999999999</v>
      </c>
      <c r="M79">
        <v>51.32</v>
      </c>
      <c r="N79">
        <v>52.465000000000003</v>
      </c>
      <c r="O79">
        <v>53.469000000000001</v>
      </c>
      <c r="P79">
        <v>53.73</v>
      </c>
      <c r="Q79">
        <v>53.29</v>
      </c>
      <c r="R79">
        <v>54.173999999999999</v>
      </c>
      <c r="S79">
        <v>54.665999999999997</v>
      </c>
      <c r="T79">
        <v>55.28</v>
      </c>
      <c r="U79">
        <v>55.654000000000003</v>
      </c>
      <c r="V79">
        <v>56.161999999999999</v>
      </c>
      <c r="W79">
        <v>56.195999999999998</v>
      </c>
      <c r="X79">
        <v>57.131999999999998</v>
      </c>
      <c r="Y79">
        <v>57.466000000000001</v>
      </c>
      <c r="Z79">
        <v>57.125999999999998</v>
      </c>
      <c r="AA79">
        <v>59.332999999999998</v>
      </c>
      <c r="AB79">
        <v>59.183</v>
      </c>
      <c r="AC79">
        <v>60.146000000000001</v>
      </c>
      <c r="AD79">
        <v>60.113999999999997</v>
      </c>
      <c r="AE79">
        <v>60.411999999999999</v>
      </c>
      <c r="AF79">
        <v>60.283000000000001</v>
      </c>
      <c r="AG79">
        <v>60.856999999999999</v>
      </c>
      <c r="AH79">
        <v>60.618000000000002</v>
      </c>
      <c r="AI79">
        <v>59.402999999999999</v>
      </c>
      <c r="AJ79">
        <v>59.695999999999998</v>
      </c>
      <c r="AK79">
        <v>61.109000000000002</v>
      </c>
      <c r="AL79">
        <v>61.338000000000001</v>
      </c>
      <c r="AM79">
        <v>62.195999999999998</v>
      </c>
      <c r="AN79">
        <v>62.277999999999999</v>
      </c>
    </row>
    <row r="80" spans="1:40" x14ac:dyDescent="0.25">
      <c r="A80" t="s">
        <v>165</v>
      </c>
      <c r="B80" t="s">
        <v>166</v>
      </c>
      <c r="C80" t="s">
        <v>9</v>
      </c>
      <c r="D80">
        <v>0</v>
      </c>
      <c r="E80">
        <v>34.954999999999998</v>
      </c>
      <c r="F80">
        <v>35.484000000000002</v>
      </c>
      <c r="G80">
        <v>33.868000000000002</v>
      </c>
      <c r="H80">
        <v>33.328000000000003</v>
      </c>
      <c r="I80">
        <v>33.098999999999997</v>
      </c>
      <c r="J80">
        <v>33.142000000000003</v>
      </c>
      <c r="K80">
        <v>33.789000000000001</v>
      </c>
      <c r="L80">
        <v>33.984000000000002</v>
      </c>
      <c r="M80">
        <v>34.476999999999997</v>
      </c>
      <c r="N80">
        <v>35.158000000000001</v>
      </c>
      <c r="O80">
        <v>35.396000000000001</v>
      </c>
      <c r="P80">
        <v>35.863</v>
      </c>
      <c r="Q80">
        <v>36.326000000000001</v>
      </c>
      <c r="R80">
        <v>36.802999999999997</v>
      </c>
      <c r="S80">
        <v>38.128</v>
      </c>
      <c r="T80">
        <v>37.755000000000003</v>
      </c>
      <c r="U80">
        <v>37.887999999999998</v>
      </c>
      <c r="V80">
        <v>37.674999999999997</v>
      </c>
      <c r="W80">
        <v>38.396000000000001</v>
      </c>
      <c r="X80">
        <v>37.951000000000001</v>
      </c>
      <c r="Y80">
        <v>37.881</v>
      </c>
      <c r="Z80">
        <v>38.069000000000003</v>
      </c>
      <c r="AA80">
        <v>39.368000000000002</v>
      </c>
      <c r="AB80">
        <v>39.323</v>
      </c>
      <c r="AC80">
        <v>39.746000000000002</v>
      </c>
      <c r="AD80">
        <v>39.390999999999998</v>
      </c>
      <c r="AE80">
        <v>40.069000000000003</v>
      </c>
      <c r="AF80">
        <v>40.578000000000003</v>
      </c>
      <c r="AG80">
        <v>40.777000000000001</v>
      </c>
      <c r="AH80">
        <v>40.908000000000001</v>
      </c>
      <c r="AI80">
        <v>39.500999999999998</v>
      </c>
      <c r="AJ80">
        <v>39.884</v>
      </c>
      <c r="AK80">
        <v>40.517000000000003</v>
      </c>
      <c r="AL80">
        <v>41.311999999999998</v>
      </c>
      <c r="AM80">
        <v>41.03</v>
      </c>
      <c r="AN80">
        <v>40.805999999999997</v>
      </c>
    </row>
    <row r="81" spans="1:40" x14ac:dyDescent="0.25">
      <c r="A81" t="s">
        <v>167</v>
      </c>
      <c r="B81" t="s">
        <v>168</v>
      </c>
      <c r="C81" t="s">
        <v>17</v>
      </c>
      <c r="D81">
        <v>0</v>
      </c>
      <c r="E81">
        <v>63.881</v>
      </c>
      <c r="F81">
        <v>63.441000000000003</v>
      </c>
      <c r="G81">
        <v>63.033000000000001</v>
      </c>
      <c r="H81">
        <v>62.628</v>
      </c>
      <c r="I81">
        <v>62.173999999999999</v>
      </c>
      <c r="J81">
        <v>61.673000000000002</v>
      </c>
      <c r="K81">
        <v>61.131</v>
      </c>
      <c r="L81">
        <v>60.543999999999997</v>
      </c>
      <c r="M81">
        <v>59.927999999999997</v>
      </c>
      <c r="N81">
        <v>58.984000000000002</v>
      </c>
      <c r="O81">
        <v>58.146999999999998</v>
      </c>
      <c r="P81">
        <v>57.325000000000003</v>
      </c>
      <c r="Q81">
        <v>56.932000000000002</v>
      </c>
      <c r="R81">
        <v>56.533999999999999</v>
      </c>
      <c r="S81">
        <v>56.564999999999998</v>
      </c>
      <c r="T81">
        <v>56.393999999999998</v>
      </c>
      <c r="U81">
        <v>56.177</v>
      </c>
      <c r="V81">
        <v>55.936999999999998</v>
      </c>
      <c r="W81">
        <v>55.689</v>
      </c>
      <c r="X81">
        <v>53.753</v>
      </c>
      <c r="Y81">
        <v>52.347000000000001</v>
      </c>
      <c r="Z81">
        <v>52.646000000000001</v>
      </c>
      <c r="AA81">
        <v>53.024000000000001</v>
      </c>
      <c r="AB81">
        <v>53.938000000000002</v>
      </c>
      <c r="AC81">
        <v>54.469000000000001</v>
      </c>
      <c r="AD81">
        <v>58.524000000000001</v>
      </c>
      <c r="AE81">
        <v>57.654000000000003</v>
      </c>
      <c r="AF81">
        <v>58.603999999999999</v>
      </c>
      <c r="AG81">
        <v>58.308999999999997</v>
      </c>
      <c r="AH81">
        <v>59.835000000000001</v>
      </c>
      <c r="AI81">
        <v>57.579000000000001</v>
      </c>
      <c r="AJ81">
        <v>58.395000000000003</v>
      </c>
      <c r="AK81">
        <v>60.802999999999997</v>
      </c>
      <c r="AL81">
        <v>63.046999999999997</v>
      </c>
      <c r="AM81">
        <v>62.912999999999997</v>
      </c>
      <c r="AN81">
        <v>63.033000000000001</v>
      </c>
    </row>
    <row r="82" spans="1:40" x14ac:dyDescent="0.25">
      <c r="A82" t="s">
        <v>169</v>
      </c>
      <c r="B82" t="s">
        <v>170</v>
      </c>
      <c r="C82" t="s">
        <v>22</v>
      </c>
      <c r="D82">
        <v>0</v>
      </c>
      <c r="E82">
        <v>50.061999999999998</v>
      </c>
      <c r="F82">
        <v>50.627000000000002</v>
      </c>
      <c r="G82">
        <v>50.667000000000002</v>
      </c>
      <c r="H82">
        <v>50.265000000000001</v>
      </c>
      <c r="I82">
        <v>50.110999999999997</v>
      </c>
      <c r="J82">
        <v>49.914000000000001</v>
      </c>
      <c r="K82">
        <v>49.968000000000004</v>
      </c>
      <c r="L82">
        <v>50.317999999999998</v>
      </c>
      <c r="M82">
        <v>50.064</v>
      </c>
      <c r="N82">
        <v>49.521999999999998</v>
      </c>
      <c r="O82">
        <v>49.19</v>
      </c>
      <c r="P82">
        <v>49.051000000000002</v>
      </c>
      <c r="Q82">
        <v>48.457000000000001</v>
      </c>
      <c r="R82">
        <v>48.156999999999996</v>
      </c>
      <c r="S82">
        <v>48.162999999999997</v>
      </c>
      <c r="T82">
        <v>48.283999999999999</v>
      </c>
      <c r="U82">
        <v>48.401000000000003</v>
      </c>
      <c r="V82">
        <v>48.387999999999998</v>
      </c>
      <c r="W82">
        <v>48.36</v>
      </c>
      <c r="X82">
        <v>48.438000000000002</v>
      </c>
      <c r="Y82">
        <v>48.34</v>
      </c>
      <c r="Z82">
        <v>48.09</v>
      </c>
      <c r="AA82">
        <v>48.027999999999999</v>
      </c>
      <c r="AB82">
        <v>48.738999999999997</v>
      </c>
      <c r="AC82">
        <v>49.176000000000002</v>
      </c>
      <c r="AD82">
        <v>49.41</v>
      </c>
      <c r="AE82">
        <v>50.207999999999998</v>
      </c>
      <c r="AF82">
        <v>51.030999999999999</v>
      </c>
      <c r="AG82">
        <v>52.368000000000002</v>
      </c>
      <c r="AH82">
        <v>53.24</v>
      </c>
      <c r="AI82">
        <v>53.09</v>
      </c>
      <c r="AJ82">
        <v>53.46</v>
      </c>
      <c r="AK82">
        <v>54.173000000000002</v>
      </c>
      <c r="AL82">
        <v>54.847000000000001</v>
      </c>
      <c r="AM82">
        <v>55.595999999999997</v>
      </c>
      <c r="AN82">
        <v>55.905000000000001</v>
      </c>
    </row>
    <row r="83" spans="1:40" x14ac:dyDescent="0.25">
      <c r="A83" t="s">
        <v>171</v>
      </c>
      <c r="B83" t="s">
        <v>172</v>
      </c>
      <c r="C83" t="s">
        <v>6</v>
      </c>
      <c r="D83">
        <v>0</v>
      </c>
      <c r="E83">
        <v>11.201000000000001</v>
      </c>
      <c r="F83">
        <v>11.141999999999999</v>
      </c>
      <c r="G83">
        <v>11.406000000000001</v>
      </c>
      <c r="H83">
        <v>11.44</v>
      </c>
      <c r="I83">
        <v>11.488</v>
      </c>
      <c r="J83">
        <v>11.571999999999999</v>
      </c>
      <c r="K83">
        <v>11.569000000000001</v>
      </c>
      <c r="L83">
        <v>11.61</v>
      </c>
      <c r="M83">
        <v>11.663</v>
      </c>
      <c r="N83">
        <v>11.739000000000001</v>
      </c>
      <c r="O83">
        <v>11.845000000000001</v>
      </c>
      <c r="P83">
        <v>11.289</v>
      </c>
      <c r="Q83">
        <v>11.891999999999999</v>
      </c>
      <c r="R83">
        <v>10.852</v>
      </c>
      <c r="S83">
        <v>11.116</v>
      </c>
      <c r="T83">
        <v>11.382</v>
      </c>
      <c r="U83">
        <v>11.579000000000001</v>
      </c>
      <c r="V83">
        <v>14.367000000000001</v>
      </c>
      <c r="W83">
        <v>13.939</v>
      </c>
      <c r="X83">
        <v>14.589</v>
      </c>
      <c r="Y83">
        <v>14.464</v>
      </c>
      <c r="Z83">
        <v>14.423999999999999</v>
      </c>
      <c r="AA83">
        <v>13.864000000000001</v>
      </c>
      <c r="AB83">
        <v>12.946</v>
      </c>
      <c r="AC83">
        <v>12.282999999999999</v>
      </c>
      <c r="AD83">
        <v>13.599</v>
      </c>
      <c r="AE83">
        <v>15.051</v>
      </c>
      <c r="AF83">
        <v>16.611999999999998</v>
      </c>
      <c r="AG83">
        <v>14.648999999999999</v>
      </c>
      <c r="AH83">
        <v>13.685</v>
      </c>
      <c r="AI83">
        <v>14.975</v>
      </c>
      <c r="AJ83">
        <v>13.964</v>
      </c>
      <c r="AK83">
        <v>13.922000000000001</v>
      </c>
      <c r="AL83">
        <v>15.933</v>
      </c>
      <c r="AM83">
        <v>16.007999999999999</v>
      </c>
      <c r="AN83">
        <v>16.029</v>
      </c>
    </row>
    <row r="84" spans="1:40" x14ac:dyDescent="0.25">
      <c r="A84" t="s">
        <v>173</v>
      </c>
      <c r="B84" t="s">
        <v>174</v>
      </c>
      <c r="C84" t="s">
        <v>6</v>
      </c>
      <c r="D84">
        <v>0</v>
      </c>
      <c r="E84">
        <v>64.778999999999996</v>
      </c>
      <c r="F84">
        <v>65.143000000000001</v>
      </c>
      <c r="G84">
        <v>65.370999999999995</v>
      </c>
      <c r="H84">
        <v>65.813999999999993</v>
      </c>
      <c r="I84">
        <v>66.528000000000006</v>
      </c>
      <c r="J84">
        <v>66.992999999999995</v>
      </c>
      <c r="K84">
        <v>66.837999999999994</v>
      </c>
      <c r="L84">
        <v>66.587999999999994</v>
      </c>
      <c r="M84">
        <v>66.566999999999993</v>
      </c>
      <c r="N84">
        <v>66.335999999999999</v>
      </c>
      <c r="O84">
        <v>65.834000000000003</v>
      </c>
      <c r="P84">
        <v>65.290000000000006</v>
      </c>
      <c r="Q84">
        <v>64.992999999999995</v>
      </c>
      <c r="R84">
        <v>65.084999999999994</v>
      </c>
      <c r="S84">
        <v>64.825999999999993</v>
      </c>
      <c r="T84">
        <v>64.626000000000005</v>
      </c>
      <c r="U84">
        <v>65.019000000000005</v>
      </c>
      <c r="V84">
        <v>65.858999999999995</v>
      </c>
      <c r="W84">
        <v>66.715999999999994</v>
      </c>
      <c r="X84">
        <v>66.47</v>
      </c>
      <c r="Y84">
        <v>66.332999999999998</v>
      </c>
      <c r="Z84">
        <v>66.206999999999994</v>
      </c>
      <c r="AA84">
        <v>66.037000000000006</v>
      </c>
      <c r="AB84">
        <v>65.891999999999996</v>
      </c>
      <c r="AC84">
        <v>65.709999999999994</v>
      </c>
      <c r="AD84">
        <v>65.459999999999994</v>
      </c>
      <c r="AE84">
        <v>65.204999999999998</v>
      </c>
      <c r="AF84">
        <v>65.018000000000001</v>
      </c>
      <c r="AG84">
        <v>64.817999999999998</v>
      </c>
      <c r="AH84">
        <v>64.661000000000001</v>
      </c>
      <c r="AI84">
        <v>63.606999999999999</v>
      </c>
      <c r="AJ84">
        <v>64.067999999999998</v>
      </c>
      <c r="AK84">
        <v>64.742999999999995</v>
      </c>
      <c r="AL84">
        <v>65.028999999999996</v>
      </c>
      <c r="AM84">
        <v>65.290999999999997</v>
      </c>
      <c r="AN84">
        <v>62.649000000000001</v>
      </c>
    </row>
    <row r="85" spans="1:40" x14ac:dyDescent="0.25">
      <c r="A85" t="s">
        <v>175</v>
      </c>
      <c r="B85" t="s">
        <v>176</v>
      </c>
      <c r="C85" t="s">
        <v>14</v>
      </c>
      <c r="D85">
        <v>1</v>
      </c>
      <c r="E85">
        <v>69.733000000000004</v>
      </c>
      <c r="F85">
        <v>69.795000000000002</v>
      </c>
      <c r="G85">
        <v>69.858999999999995</v>
      </c>
      <c r="H85">
        <v>69.932000000000002</v>
      </c>
      <c r="I85">
        <v>70.012</v>
      </c>
      <c r="J85">
        <v>70.091999999999999</v>
      </c>
      <c r="K85">
        <v>70.168999999999997</v>
      </c>
      <c r="L85">
        <v>70.248000000000005</v>
      </c>
      <c r="M85">
        <v>70.326999999999998</v>
      </c>
      <c r="N85">
        <v>70.418000000000006</v>
      </c>
      <c r="O85">
        <v>70.474000000000004</v>
      </c>
      <c r="P85">
        <v>70.531000000000006</v>
      </c>
      <c r="Q85">
        <v>70.587999999999994</v>
      </c>
      <c r="R85">
        <v>70.646000000000001</v>
      </c>
      <c r="S85">
        <v>70.703000000000003</v>
      </c>
      <c r="T85">
        <v>70.760999999999996</v>
      </c>
      <c r="U85">
        <v>70.819000000000003</v>
      </c>
      <c r="V85">
        <v>70.876999999999995</v>
      </c>
      <c r="W85">
        <v>70.936000000000007</v>
      </c>
      <c r="X85">
        <v>70.995000000000005</v>
      </c>
      <c r="Y85">
        <v>71.055000000000007</v>
      </c>
      <c r="Z85">
        <v>71.114000000000004</v>
      </c>
      <c r="AA85">
        <v>71.174999999999997</v>
      </c>
      <c r="AB85">
        <v>71.234999999999999</v>
      </c>
      <c r="AC85">
        <v>71.295000000000002</v>
      </c>
      <c r="AD85">
        <v>71.355999999999995</v>
      </c>
      <c r="AE85">
        <v>71.417000000000002</v>
      </c>
      <c r="AF85">
        <v>68.685000000000002</v>
      </c>
      <c r="AG85">
        <v>65.813999999999993</v>
      </c>
      <c r="AH85">
        <v>62.817</v>
      </c>
      <c r="AI85">
        <v>62.167000000000002</v>
      </c>
      <c r="AJ85">
        <v>62.667999999999999</v>
      </c>
      <c r="AK85">
        <v>62.832000000000001</v>
      </c>
      <c r="AL85">
        <v>62.945999999999998</v>
      </c>
      <c r="AM85">
        <v>63.012</v>
      </c>
      <c r="AN85">
        <v>63.036000000000001</v>
      </c>
    </row>
    <row r="86" spans="1:40" x14ac:dyDescent="0.25">
      <c r="A86" t="s">
        <v>177</v>
      </c>
      <c r="B86" t="s">
        <v>178</v>
      </c>
      <c r="C86" t="s">
        <v>22</v>
      </c>
      <c r="D86">
        <v>0</v>
      </c>
      <c r="E86">
        <v>76.635000000000005</v>
      </c>
      <c r="F86">
        <v>76.816999999999993</v>
      </c>
      <c r="G86">
        <v>77.099000000000004</v>
      </c>
      <c r="H86">
        <v>77.298000000000002</v>
      </c>
      <c r="I86">
        <v>77.415999999999997</v>
      </c>
      <c r="J86">
        <v>77.611999999999995</v>
      </c>
      <c r="K86">
        <v>77.766000000000005</v>
      </c>
      <c r="L86">
        <v>78.042000000000002</v>
      </c>
      <c r="M86">
        <v>78.105000000000004</v>
      </c>
      <c r="N86">
        <v>77.912999999999997</v>
      </c>
      <c r="O86">
        <v>77.921999999999997</v>
      </c>
      <c r="P86">
        <v>77.808000000000007</v>
      </c>
      <c r="Q86">
        <v>77.781999999999996</v>
      </c>
      <c r="R86">
        <v>77.736000000000004</v>
      </c>
      <c r="S86">
        <v>77.685000000000002</v>
      </c>
      <c r="T86">
        <v>77.572000000000003</v>
      </c>
      <c r="U86">
        <v>77.626000000000005</v>
      </c>
      <c r="V86">
        <v>77.683999999999997</v>
      </c>
      <c r="W86">
        <v>77.59</v>
      </c>
      <c r="X86">
        <v>77.635000000000005</v>
      </c>
      <c r="Y86">
        <v>77.662999999999997</v>
      </c>
      <c r="Z86">
        <v>77.646000000000001</v>
      </c>
      <c r="AA86">
        <v>77.61</v>
      </c>
      <c r="AB86">
        <v>77.581999999999994</v>
      </c>
      <c r="AC86">
        <v>77.555999999999997</v>
      </c>
      <c r="AD86">
        <v>77.608000000000004</v>
      </c>
      <c r="AE86">
        <v>77.483999999999995</v>
      </c>
      <c r="AF86">
        <v>77.622</v>
      </c>
      <c r="AG86">
        <v>77.787999999999997</v>
      </c>
      <c r="AH86">
        <v>77.787000000000006</v>
      </c>
      <c r="AI86">
        <v>76.305999999999997</v>
      </c>
      <c r="AJ86">
        <v>76.483000000000004</v>
      </c>
      <c r="AK86">
        <v>77.692999999999998</v>
      </c>
      <c r="AL86">
        <v>77.724000000000004</v>
      </c>
      <c r="AM86">
        <v>77.721999999999994</v>
      </c>
      <c r="AN86">
        <v>77.712999999999994</v>
      </c>
    </row>
    <row r="87" spans="1:40" x14ac:dyDescent="0.25">
      <c r="A87" t="s">
        <v>179</v>
      </c>
      <c r="B87" t="s">
        <v>180</v>
      </c>
      <c r="C87" t="s">
        <v>22</v>
      </c>
      <c r="D87">
        <v>0</v>
      </c>
      <c r="E87">
        <v>47.207000000000001</v>
      </c>
      <c r="F87">
        <v>47.219000000000001</v>
      </c>
      <c r="G87">
        <v>47.198999999999998</v>
      </c>
      <c r="H87">
        <v>47.16</v>
      </c>
      <c r="I87">
        <v>47.905999999999999</v>
      </c>
      <c r="J87">
        <v>48.448999999999998</v>
      </c>
      <c r="K87">
        <v>48.948</v>
      </c>
      <c r="L87">
        <v>49.826000000000001</v>
      </c>
      <c r="M87">
        <v>47.124000000000002</v>
      </c>
      <c r="N87">
        <v>47.674999999999997</v>
      </c>
      <c r="O87">
        <v>49.35</v>
      </c>
      <c r="P87">
        <v>50.000999999999998</v>
      </c>
      <c r="Q87">
        <v>50.369</v>
      </c>
      <c r="R87">
        <v>49.476999999999997</v>
      </c>
      <c r="S87">
        <v>50.637</v>
      </c>
      <c r="T87">
        <v>50.664000000000001</v>
      </c>
      <c r="U87">
        <v>50.832999999999998</v>
      </c>
      <c r="V87">
        <v>50.648000000000003</v>
      </c>
      <c r="W87">
        <v>50.353000000000002</v>
      </c>
      <c r="X87">
        <v>49.575000000000003</v>
      </c>
      <c r="Y87">
        <v>49.767000000000003</v>
      </c>
      <c r="Z87">
        <v>49.994</v>
      </c>
      <c r="AA87">
        <v>50.29</v>
      </c>
      <c r="AB87">
        <v>50.805</v>
      </c>
      <c r="AC87">
        <v>51.838999999999999</v>
      </c>
      <c r="AD87">
        <v>52.390999999999998</v>
      </c>
      <c r="AE87">
        <v>52.567999999999998</v>
      </c>
      <c r="AF87">
        <v>53.073</v>
      </c>
      <c r="AG87">
        <v>53.223999999999997</v>
      </c>
      <c r="AH87">
        <v>53.771999999999998</v>
      </c>
      <c r="AI87">
        <v>53.137</v>
      </c>
      <c r="AJ87">
        <v>53.65</v>
      </c>
      <c r="AK87">
        <v>55.03</v>
      </c>
      <c r="AL87">
        <v>56.037999999999997</v>
      </c>
      <c r="AM87">
        <v>56.826000000000001</v>
      </c>
      <c r="AN87">
        <v>56.781999999999996</v>
      </c>
    </row>
    <row r="88" spans="1:40" x14ac:dyDescent="0.25">
      <c r="A88" t="s">
        <v>181</v>
      </c>
      <c r="B88" t="s">
        <v>182</v>
      </c>
      <c r="C88" t="s">
        <v>6</v>
      </c>
      <c r="D88">
        <v>0</v>
      </c>
      <c r="E88">
        <v>41.395000000000003</v>
      </c>
      <c r="F88">
        <v>41.195</v>
      </c>
      <c r="G88">
        <v>40.677999999999997</v>
      </c>
      <c r="H88">
        <v>41.106000000000002</v>
      </c>
      <c r="I88">
        <v>42.38</v>
      </c>
      <c r="J88">
        <v>43.109000000000002</v>
      </c>
      <c r="K88">
        <v>43.594999999999999</v>
      </c>
      <c r="L88">
        <v>43.686999999999998</v>
      </c>
      <c r="M88">
        <v>43.786000000000001</v>
      </c>
      <c r="N88">
        <v>43.936999999999998</v>
      </c>
      <c r="O88">
        <v>44.177</v>
      </c>
      <c r="P88">
        <v>44.533000000000001</v>
      </c>
      <c r="Q88">
        <v>45.015999999999998</v>
      </c>
      <c r="R88">
        <v>45.616999999999997</v>
      </c>
      <c r="S88">
        <v>45.920999999999999</v>
      </c>
      <c r="T88">
        <v>46.087000000000003</v>
      </c>
      <c r="U88">
        <v>46.027999999999999</v>
      </c>
      <c r="V88">
        <v>46.048999999999999</v>
      </c>
      <c r="W88">
        <v>46.271999999999998</v>
      </c>
      <c r="X88">
        <v>46.689</v>
      </c>
      <c r="Y88">
        <v>47.286999999999999</v>
      </c>
      <c r="Z88">
        <v>48.146999999999998</v>
      </c>
      <c r="AA88">
        <v>48.889000000000003</v>
      </c>
      <c r="AB88">
        <v>49.289000000000001</v>
      </c>
      <c r="AC88">
        <v>49.539000000000001</v>
      </c>
      <c r="AD88">
        <v>49.648000000000003</v>
      </c>
      <c r="AE88">
        <v>49.531999999999996</v>
      </c>
      <c r="AF88">
        <v>49.868000000000002</v>
      </c>
      <c r="AG88">
        <v>49.613999999999997</v>
      </c>
      <c r="AH88">
        <v>49.32</v>
      </c>
      <c r="AI88">
        <v>46.537999999999997</v>
      </c>
      <c r="AJ88">
        <v>47.506999999999998</v>
      </c>
      <c r="AK88">
        <v>49.616</v>
      </c>
      <c r="AL88">
        <v>48.179000000000002</v>
      </c>
      <c r="AM88">
        <v>47.335999999999999</v>
      </c>
      <c r="AN88">
        <v>47.2</v>
      </c>
    </row>
    <row r="89" spans="1:40" x14ac:dyDescent="0.25">
      <c r="A89" t="s">
        <v>183</v>
      </c>
      <c r="B89" t="s">
        <v>184</v>
      </c>
      <c r="C89" t="s">
        <v>6</v>
      </c>
      <c r="D89">
        <v>0</v>
      </c>
      <c r="E89">
        <v>47.9</v>
      </c>
      <c r="F89">
        <v>49.558999999999997</v>
      </c>
      <c r="G89">
        <v>52.521999999999998</v>
      </c>
      <c r="H89">
        <v>55.976999999999997</v>
      </c>
      <c r="I89">
        <v>61.029000000000003</v>
      </c>
      <c r="J89">
        <v>62.588000000000001</v>
      </c>
      <c r="K89">
        <v>61.305999999999997</v>
      </c>
      <c r="L89">
        <v>59.439</v>
      </c>
      <c r="M89">
        <v>59.302999999999997</v>
      </c>
      <c r="N89">
        <v>58.82</v>
      </c>
      <c r="O89">
        <v>57.886000000000003</v>
      </c>
      <c r="P89">
        <v>56.929000000000002</v>
      </c>
      <c r="Q89">
        <v>57.113999999999997</v>
      </c>
      <c r="R89">
        <v>55.843000000000004</v>
      </c>
      <c r="S89">
        <v>54.64</v>
      </c>
      <c r="T89">
        <v>54.886000000000003</v>
      </c>
      <c r="U89">
        <v>54.427999999999997</v>
      </c>
      <c r="V89">
        <v>52.887999999999998</v>
      </c>
      <c r="W89">
        <v>51.43</v>
      </c>
      <c r="X89">
        <v>51.097999999999999</v>
      </c>
      <c r="Y89">
        <v>51.445</v>
      </c>
      <c r="Z89">
        <v>52.124000000000002</v>
      </c>
      <c r="AA89">
        <v>50.03</v>
      </c>
      <c r="AB89">
        <v>45.843000000000004</v>
      </c>
      <c r="AC89">
        <v>47.600999999999999</v>
      </c>
      <c r="AD89">
        <v>47.459000000000003</v>
      </c>
      <c r="AE89">
        <v>46.17</v>
      </c>
      <c r="AF89">
        <v>42.44</v>
      </c>
      <c r="AG89">
        <v>44.015999999999998</v>
      </c>
      <c r="AH89">
        <v>44.04</v>
      </c>
      <c r="AI89">
        <v>43.877000000000002</v>
      </c>
      <c r="AJ89">
        <v>43.997</v>
      </c>
      <c r="AK89">
        <v>45.238</v>
      </c>
      <c r="AL89">
        <v>43.494999999999997</v>
      </c>
      <c r="AM89">
        <v>44.256</v>
      </c>
      <c r="AN89">
        <v>44.136000000000003</v>
      </c>
    </row>
    <row r="90" spans="1:40" x14ac:dyDescent="0.25">
      <c r="A90" t="s">
        <v>185</v>
      </c>
      <c r="B90" t="s">
        <v>186</v>
      </c>
      <c r="C90" t="s">
        <v>22</v>
      </c>
      <c r="D90">
        <v>0</v>
      </c>
      <c r="E90">
        <v>60.302999999999997</v>
      </c>
      <c r="F90">
        <v>60.232999999999997</v>
      </c>
      <c r="G90">
        <v>60.103999999999999</v>
      </c>
      <c r="H90">
        <v>59.959000000000003</v>
      </c>
      <c r="I90">
        <v>59.715000000000003</v>
      </c>
      <c r="J90">
        <v>59.518000000000001</v>
      </c>
      <c r="K90">
        <v>59.323999999999998</v>
      </c>
      <c r="L90">
        <v>59.125999999999998</v>
      </c>
      <c r="M90">
        <v>59.039000000000001</v>
      </c>
      <c r="N90">
        <v>58.817999999999998</v>
      </c>
      <c r="O90">
        <v>58.658000000000001</v>
      </c>
      <c r="P90">
        <v>58.503</v>
      </c>
      <c r="Q90">
        <v>58.343000000000004</v>
      </c>
      <c r="R90">
        <v>58.182000000000002</v>
      </c>
      <c r="S90">
        <v>58.012</v>
      </c>
      <c r="T90">
        <v>57.826000000000001</v>
      </c>
      <c r="U90">
        <v>57.603999999999999</v>
      </c>
      <c r="V90">
        <v>57.420999999999999</v>
      </c>
      <c r="W90">
        <v>57.24</v>
      </c>
      <c r="X90">
        <v>57.075000000000003</v>
      </c>
      <c r="Y90">
        <v>56.892000000000003</v>
      </c>
      <c r="Z90">
        <v>56.731000000000002</v>
      </c>
      <c r="AA90">
        <v>56.58</v>
      </c>
      <c r="AB90">
        <v>56.436999999999998</v>
      </c>
      <c r="AC90">
        <v>56.311</v>
      </c>
      <c r="AD90">
        <v>56.201999999999998</v>
      </c>
      <c r="AE90">
        <v>56.106000000000002</v>
      </c>
      <c r="AF90">
        <v>56.02</v>
      </c>
      <c r="AG90">
        <v>57.066000000000003</v>
      </c>
      <c r="AH90">
        <v>58.125</v>
      </c>
      <c r="AI90">
        <v>58.68</v>
      </c>
      <c r="AJ90">
        <v>60.323</v>
      </c>
      <c r="AK90">
        <v>61.37</v>
      </c>
      <c r="AL90">
        <v>61.406999999999996</v>
      </c>
      <c r="AM90">
        <v>61.466000000000001</v>
      </c>
      <c r="AN90">
        <v>61.56</v>
      </c>
    </row>
    <row r="91" spans="1:40" x14ac:dyDescent="0.25">
      <c r="A91" t="s">
        <v>187</v>
      </c>
      <c r="B91" t="s">
        <v>188</v>
      </c>
      <c r="C91" t="s">
        <v>9</v>
      </c>
      <c r="D91">
        <v>0</v>
      </c>
      <c r="E91">
        <v>53.781999999999996</v>
      </c>
      <c r="F91">
        <v>53.412999999999997</v>
      </c>
      <c r="G91">
        <v>53.838999999999999</v>
      </c>
      <c r="H91">
        <v>53.558999999999997</v>
      </c>
      <c r="I91">
        <v>53.03</v>
      </c>
      <c r="J91">
        <v>52.75</v>
      </c>
      <c r="K91">
        <v>52.415999999999997</v>
      </c>
      <c r="L91">
        <v>51.890999999999998</v>
      </c>
      <c r="M91">
        <v>51.576999999999998</v>
      </c>
      <c r="N91">
        <v>49.84</v>
      </c>
      <c r="O91">
        <v>48.976999999999997</v>
      </c>
      <c r="P91">
        <v>49.936</v>
      </c>
      <c r="Q91">
        <v>51.07</v>
      </c>
      <c r="R91">
        <v>50.515999999999998</v>
      </c>
      <c r="S91">
        <v>50.405000000000001</v>
      </c>
      <c r="T91">
        <v>50.386000000000003</v>
      </c>
      <c r="U91">
        <v>51.945</v>
      </c>
      <c r="V91">
        <v>52.908999999999999</v>
      </c>
      <c r="W91">
        <v>54.841000000000001</v>
      </c>
      <c r="X91">
        <v>54.356999999999999</v>
      </c>
      <c r="Y91">
        <v>53.73</v>
      </c>
      <c r="Z91">
        <v>52.908999999999999</v>
      </c>
      <c r="AA91">
        <v>54.088000000000001</v>
      </c>
      <c r="AB91">
        <v>53.773000000000003</v>
      </c>
      <c r="AC91">
        <v>53.301000000000002</v>
      </c>
      <c r="AD91">
        <v>54.029000000000003</v>
      </c>
      <c r="AE91">
        <v>54.863</v>
      </c>
      <c r="AF91">
        <v>55.064</v>
      </c>
      <c r="AG91">
        <v>55.639000000000003</v>
      </c>
      <c r="AH91">
        <v>55.473999999999997</v>
      </c>
      <c r="AI91">
        <v>55.844000000000001</v>
      </c>
      <c r="AJ91">
        <v>54.167000000000002</v>
      </c>
      <c r="AK91">
        <v>55.298999999999999</v>
      </c>
      <c r="AL91">
        <v>55.436</v>
      </c>
      <c r="AM91">
        <v>55.515999999999998</v>
      </c>
      <c r="AN91">
        <v>55.247999999999998</v>
      </c>
    </row>
    <row r="92" spans="1:40" x14ac:dyDescent="0.25">
      <c r="A92" t="s">
        <v>189</v>
      </c>
      <c r="B92" t="s">
        <v>190</v>
      </c>
      <c r="C92" t="s">
        <v>6</v>
      </c>
      <c r="D92">
        <v>0</v>
      </c>
      <c r="E92">
        <v>17.975000000000001</v>
      </c>
      <c r="F92">
        <v>18.045000000000002</v>
      </c>
      <c r="G92">
        <v>18.452999999999999</v>
      </c>
      <c r="H92">
        <v>18.713000000000001</v>
      </c>
      <c r="I92">
        <v>18.917000000000002</v>
      </c>
      <c r="J92">
        <v>19.091999999999999</v>
      </c>
      <c r="K92">
        <v>19.353000000000002</v>
      </c>
      <c r="L92">
        <v>19.431000000000001</v>
      </c>
      <c r="M92">
        <v>19.559000000000001</v>
      </c>
      <c r="N92">
        <v>19.611999999999998</v>
      </c>
      <c r="O92">
        <v>19.698</v>
      </c>
      <c r="P92">
        <v>19.829000000000001</v>
      </c>
      <c r="Q92">
        <v>19.959</v>
      </c>
      <c r="R92">
        <v>20.091000000000001</v>
      </c>
      <c r="S92">
        <v>20.280999999999999</v>
      </c>
      <c r="T92">
        <v>20.51</v>
      </c>
      <c r="U92">
        <v>20.745000000000001</v>
      </c>
      <c r="V92">
        <v>20.984000000000002</v>
      </c>
      <c r="W92">
        <v>21.585000000000001</v>
      </c>
      <c r="X92">
        <v>22.195</v>
      </c>
      <c r="Y92">
        <v>22.817</v>
      </c>
      <c r="Z92">
        <v>23.448</v>
      </c>
      <c r="AA92">
        <v>24.088999999999999</v>
      </c>
      <c r="AB92">
        <v>24.74</v>
      </c>
      <c r="AC92">
        <v>25.401</v>
      </c>
      <c r="AD92">
        <v>26.114000000000001</v>
      </c>
      <c r="AE92">
        <v>26.885000000000002</v>
      </c>
      <c r="AF92">
        <v>27.67</v>
      </c>
      <c r="AG92">
        <v>28.47</v>
      </c>
      <c r="AH92">
        <v>29.286000000000001</v>
      </c>
      <c r="AI92">
        <v>25.943999999999999</v>
      </c>
      <c r="AJ92">
        <v>23.882000000000001</v>
      </c>
      <c r="AK92">
        <v>22.338999999999999</v>
      </c>
      <c r="AL92">
        <v>22.234000000000002</v>
      </c>
    </row>
    <row r="93" spans="1:40" x14ac:dyDescent="0.25">
      <c r="A93" t="s">
        <v>191</v>
      </c>
      <c r="B93" t="s">
        <v>192</v>
      </c>
      <c r="C93" t="s">
        <v>14</v>
      </c>
      <c r="D93">
        <v>0</v>
      </c>
      <c r="E93">
        <v>66.653999999999996</v>
      </c>
      <c r="F93">
        <v>66.662000000000006</v>
      </c>
      <c r="G93">
        <v>66.691000000000003</v>
      </c>
      <c r="H93">
        <v>66.741</v>
      </c>
      <c r="I93">
        <v>66.813999999999993</v>
      </c>
      <c r="J93">
        <v>66.900999999999996</v>
      </c>
      <c r="K93">
        <v>66.992999999999995</v>
      </c>
      <c r="L93">
        <v>67.103999999999999</v>
      </c>
      <c r="M93">
        <v>67.241</v>
      </c>
      <c r="N93">
        <v>67.388999999999996</v>
      </c>
      <c r="O93">
        <v>66.709000000000003</v>
      </c>
      <c r="P93">
        <v>66.021000000000001</v>
      </c>
      <c r="Q93">
        <v>65.325000000000003</v>
      </c>
      <c r="R93">
        <v>64.622</v>
      </c>
      <c r="S93">
        <v>63.911999999999999</v>
      </c>
      <c r="T93">
        <v>63.198</v>
      </c>
      <c r="U93">
        <v>62.473999999999997</v>
      </c>
      <c r="V93">
        <v>61.747</v>
      </c>
      <c r="W93">
        <v>61.017000000000003</v>
      </c>
      <c r="X93">
        <v>60.28</v>
      </c>
      <c r="Y93">
        <v>59.536999999999999</v>
      </c>
      <c r="Z93">
        <v>58.789000000000001</v>
      </c>
      <c r="AA93">
        <v>58.036000000000001</v>
      </c>
      <c r="AB93">
        <v>57.277000000000001</v>
      </c>
      <c r="AC93">
        <v>55.91</v>
      </c>
      <c r="AD93">
        <v>54.531999999999996</v>
      </c>
      <c r="AE93">
        <v>53.146000000000001</v>
      </c>
      <c r="AF93">
        <v>51.753</v>
      </c>
      <c r="AG93">
        <v>50.356000000000002</v>
      </c>
      <c r="AH93">
        <v>48.957999999999998</v>
      </c>
      <c r="AI93">
        <v>48.488999999999997</v>
      </c>
      <c r="AJ93">
        <v>48.252000000000002</v>
      </c>
      <c r="AK93">
        <v>48.441000000000003</v>
      </c>
      <c r="AL93">
        <v>48.426000000000002</v>
      </c>
      <c r="AM93">
        <v>48.457000000000001</v>
      </c>
      <c r="AN93">
        <v>48.091000000000001</v>
      </c>
    </row>
    <row r="94" spans="1:40" x14ac:dyDescent="0.25">
      <c r="A94" t="s">
        <v>193</v>
      </c>
      <c r="B94" t="s">
        <v>194</v>
      </c>
      <c r="C94" t="s">
        <v>14</v>
      </c>
      <c r="D94">
        <v>0</v>
      </c>
      <c r="E94">
        <v>71.45</v>
      </c>
      <c r="F94">
        <v>71.475999999999999</v>
      </c>
      <c r="G94">
        <v>71.507000000000005</v>
      </c>
      <c r="H94">
        <v>71.546999999999997</v>
      </c>
      <c r="I94">
        <v>71.593999999999994</v>
      </c>
      <c r="J94">
        <v>71.643000000000001</v>
      </c>
      <c r="K94">
        <v>71.683000000000007</v>
      </c>
      <c r="L94">
        <v>71.718000000000004</v>
      </c>
      <c r="M94">
        <v>71.744</v>
      </c>
      <c r="N94">
        <v>71.766000000000005</v>
      </c>
      <c r="O94">
        <v>71.784999999999997</v>
      </c>
      <c r="P94">
        <v>71.801000000000002</v>
      </c>
      <c r="Q94">
        <v>71.811000000000007</v>
      </c>
      <c r="R94">
        <v>71.816000000000003</v>
      </c>
      <c r="S94">
        <v>71.813999999999993</v>
      </c>
      <c r="T94">
        <v>71.802000000000007</v>
      </c>
      <c r="U94">
        <v>71.781999999999996</v>
      </c>
      <c r="V94">
        <v>71.760000000000005</v>
      </c>
      <c r="W94">
        <v>71.759</v>
      </c>
      <c r="X94">
        <v>71.766999999999996</v>
      </c>
      <c r="Y94">
        <v>71.772000000000006</v>
      </c>
      <c r="Z94">
        <v>71.864999999999995</v>
      </c>
      <c r="AA94">
        <v>71.930999999999997</v>
      </c>
      <c r="AB94">
        <v>71.908000000000001</v>
      </c>
      <c r="AC94">
        <v>71.905000000000001</v>
      </c>
      <c r="AD94">
        <v>71.923000000000002</v>
      </c>
      <c r="AE94">
        <v>71.953000000000003</v>
      </c>
      <c r="AF94">
        <v>71.983000000000004</v>
      </c>
      <c r="AG94">
        <v>72.024000000000001</v>
      </c>
      <c r="AH94">
        <v>72.08</v>
      </c>
      <c r="AI94">
        <v>71.393000000000001</v>
      </c>
      <c r="AJ94">
        <v>71.703000000000003</v>
      </c>
      <c r="AK94">
        <v>71.918999999999997</v>
      </c>
      <c r="AL94">
        <v>71.965999999999994</v>
      </c>
      <c r="AM94">
        <v>72.021000000000001</v>
      </c>
      <c r="AN94">
        <v>72.028999999999996</v>
      </c>
    </row>
    <row r="95" spans="1:40" x14ac:dyDescent="0.25">
      <c r="A95" t="s">
        <v>195</v>
      </c>
      <c r="B95" t="s">
        <v>196</v>
      </c>
      <c r="C95" t="s">
        <v>6</v>
      </c>
      <c r="D95">
        <v>0</v>
      </c>
      <c r="E95">
        <v>26.513000000000002</v>
      </c>
      <c r="F95">
        <v>26.814</v>
      </c>
      <c r="G95">
        <v>27.138000000000002</v>
      </c>
      <c r="H95">
        <v>27.489000000000001</v>
      </c>
      <c r="I95">
        <v>27.867999999999999</v>
      </c>
      <c r="J95">
        <v>28.274999999999999</v>
      </c>
      <c r="K95">
        <v>28.707000000000001</v>
      </c>
      <c r="L95">
        <v>29.152999999999999</v>
      </c>
      <c r="M95">
        <v>29.602</v>
      </c>
      <c r="N95">
        <v>30.048999999999999</v>
      </c>
      <c r="O95">
        <v>30.43</v>
      </c>
      <c r="P95">
        <v>30.757000000000001</v>
      </c>
      <c r="Q95">
        <v>31.106999999999999</v>
      </c>
      <c r="R95">
        <v>31.471</v>
      </c>
      <c r="S95">
        <v>31.834</v>
      </c>
      <c r="T95">
        <v>32.174999999999997</v>
      </c>
      <c r="U95">
        <v>32.554000000000002</v>
      </c>
      <c r="V95">
        <v>32.970999999999997</v>
      </c>
      <c r="W95">
        <v>33.363</v>
      </c>
      <c r="X95">
        <v>33.737000000000002</v>
      </c>
      <c r="Y95">
        <v>34.081000000000003</v>
      </c>
      <c r="Z95">
        <v>34.061999999999998</v>
      </c>
      <c r="AA95">
        <v>33.94</v>
      </c>
      <c r="AB95">
        <v>34.07</v>
      </c>
      <c r="AC95">
        <v>34.134999999999998</v>
      </c>
      <c r="AD95">
        <v>34.131999999999998</v>
      </c>
      <c r="AE95">
        <v>34.110999999999997</v>
      </c>
      <c r="AF95">
        <v>34.08</v>
      </c>
      <c r="AG95">
        <v>34.039000000000001</v>
      </c>
      <c r="AH95">
        <v>33.993000000000002</v>
      </c>
      <c r="AI95">
        <v>31.009</v>
      </c>
      <c r="AJ95">
        <v>31.353000000000002</v>
      </c>
      <c r="AK95">
        <v>33.631</v>
      </c>
      <c r="AL95">
        <v>33.465000000000003</v>
      </c>
      <c r="AM95">
        <v>33.28</v>
      </c>
      <c r="AN95">
        <v>32.994999999999997</v>
      </c>
    </row>
    <row r="96" spans="1:40" x14ac:dyDescent="0.25">
      <c r="A96" t="s">
        <v>197</v>
      </c>
      <c r="B96" t="s">
        <v>198</v>
      </c>
      <c r="C96" t="s">
        <v>9</v>
      </c>
      <c r="D96">
        <v>0</v>
      </c>
      <c r="E96">
        <v>59.999000000000002</v>
      </c>
      <c r="F96">
        <v>59.11</v>
      </c>
      <c r="G96">
        <v>58.210999999999999</v>
      </c>
      <c r="H96">
        <v>57.335000000000001</v>
      </c>
      <c r="I96">
        <v>56.515999999999998</v>
      </c>
      <c r="J96">
        <v>55.764000000000003</v>
      </c>
      <c r="K96">
        <v>55.012999999999998</v>
      </c>
      <c r="L96">
        <v>54.207999999999998</v>
      </c>
      <c r="M96">
        <v>53.402000000000001</v>
      </c>
      <c r="N96">
        <v>55.158000000000001</v>
      </c>
      <c r="O96">
        <v>54.915999999999997</v>
      </c>
      <c r="P96">
        <v>53.332999999999998</v>
      </c>
      <c r="Q96">
        <v>52.170999999999999</v>
      </c>
      <c r="R96">
        <v>54.789000000000001</v>
      </c>
      <c r="S96">
        <v>51.337000000000003</v>
      </c>
      <c r="T96">
        <v>50.639000000000003</v>
      </c>
      <c r="U96">
        <v>50.075000000000003</v>
      </c>
      <c r="V96">
        <v>50.067</v>
      </c>
      <c r="W96">
        <v>50.469000000000001</v>
      </c>
      <c r="X96">
        <v>52.018999999999998</v>
      </c>
      <c r="Y96">
        <v>52.31</v>
      </c>
      <c r="Z96">
        <v>52.698999999999998</v>
      </c>
      <c r="AA96">
        <v>53.2</v>
      </c>
      <c r="AB96">
        <v>52.927</v>
      </c>
      <c r="AC96">
        <v>53.871000000000002</v>
      </c>
      <c r="AD96">
        <v>54.427999999999997</v>
      </c>
      <c r="AE96">
        <v>55.606000000000002</v>
      </c>
      <c r="AF96">
        <v>55.820999999999998</v>
      </c>
      <c r="AG96">
        <v>56.494</v>
      </c>
      <c r="AH96">
        <v>57.225999999999999</v>
      </c>
      <c r="AI96">
        <v>57.363</v>
      </c>
      <c r="AJ96">
        <v>57.369</v>
      </c>
      <c r="AK96">
        <v>58.034999999999997</v>
      </c>
      <c r="AL96">
        <v>57.914000000000001</v>
      </c>
      <c r="AM96">
        <v>57.86</v>
      </c>
      <c r="AN96">
        <v>57.667999999999999</v>
      </c>
    </row>
    <row r="97" spans="1:40" x14ac:dyDescent="0.25">
      <c r="A97" t="s">
        <v>199</v>
      </c>
      <c r="B97" t="s">
        <v>200</v>
      </c>
      <c r="C97" t="s">
        <v>9</v>
      </c>
      <c r="D97">
        <v>0</v>
      </c>
      <c r="E97">
        <v>34.261000000000003</v>
      </c>
      <c r="F97">
        <v>35.976999999999997</v>
      </c>
      <c r="G97">
        <v>38.356000000000002</v>
      </c>
      <c r="H97">
        <v>37.046999999999997</v>
      </c>
      <c r="I97">
        <v>37.826000000000001</v>
      </c>
      <c r="J97">
        <v>35.360999999999997</v>
      </c>
      <c r="K97">
        <v>36.488999999999997</v>
      </c>
      <c r="L97">
        <v>37.566000000000003</v>
      </c>
      <c r="M97">
        <v>37.853999999999999</v>
      </c>
      <c r="N97">
        <v>39.872999999999998</v>
      </c>
      <c r="O97">
        <v>41.484999999999999</v>
      </c>
      <c r="P97">
        <v>41.579000000000001</v>
      </c>
      <c r="Q97">
        <v>42.78</v>
      </c>
      <c r="R97">
        <v>42.877000000000002</v>
      </c>
      <c r="S97">
        <v>44.597999999999999</v>
      </c>
      <c r="T97">
        <v>45.66</v>
      </c>
      <c r="U97">
        <v>46.143999999999998</v>
      </c>
      <c r="V97">
        <v>46.658000000000001</v>
      </c>
      <c r="W97">
        <v>47.180999999999997</v>
      </c>
      <c r="X97">
        <v>49.05</v>
      </c>
      <c r="Y97">
        <v>48.847000000000001</v>
      </c>
      <c r="Z97">
        <v>49.499000000000002</v>
      </c>
      <c r="AA97">
        <v>51.173000000000002</v>
      </c>
      <c r="AB97">
        <v>51.459000000000003</v>
      </c>
      <c r="AC97">
        <v>52.213999999999999</v>
      </c>
      <c r="AD97">
        <v>54.247</v>
      </c>
      <c r="AE97">
        <v>53.625</v>
      </c>
      <c r="AF97">
        <v>54.011000000000003</v>
      </c>
      <c r="AG97">
        <v>54.798000000000002</v>
      </c>
      <c r="AH97">
        <v>54.933</v>
      </c>
      <c r="AI97">
        <v>55.927</v>
      </c>
      <c r="AJ97">
        <v>56.929000000000002</v>
      </c>
      <c r="AK97">
        <v>56.997999999999998</v>
      </c>
      <c r="AL97">
        <v>57.195999999999998</v>
      </c>
      <c r="AM97">
        <v>57.645000000000003</v>
      </c>
      <c r="AN97">
        <v>57.473999999999997</v>
      </c>
    </row>
    <row r="98" spans="1:40" x14ac:dyDescent="0.25">
      <c r="A98" t="s">
        <v>201</v>
      </c>
      <c r="B98" t="s">
        <v>202</v>
      </c>
      <c r="C98" t="s">
        <v>22</v>
      </c>
      <c r="D98">
        <v>0</v>
      </c>
      <c r="E98">
        <v>45.643000000000001</v>
      </c>
      <c r="F98">
        <v>46.142000000000003</v>
      </c>
      <c r="G98">
        <v>46.597000000000001</v>
      </c>
      <c r="H98">
        <v>48.161999999999999</v>
      </c>
      <c r="I98">
        <v>49.77</v>
      </c>
      <c r="J98">
        <v>51.392000000000003</v>
      </c>
      <c r="K98">
        <v>52.984000000000002</v>
      </c>
      <c r="L98">
        <v>54.518000000000001</v>
      </c>
      <c r="M98">
        <v>54.317</v>
      </c>
      <c r="N98">
        <v>55.47</v>
      </c>
      <c r="O98">
        <v>56.451999999999998</v>
      </c>
      <c r="P98">
        <v>56.389000000000003</v>
      </c>
      <c r="Q98">
        <v>56.3</v>
      </c>
      <c r="R98">
        <v>53.53</v>
      </c>
      <c r="S98">
        <v>54.972999999999999</v>
      </c>
      <c r="T98">
        <v>57.006</v>
      </c>
      <c r="U98">
        <v>58.923000000000002</v>
      </c>
      <c r="V98">
        <v>62.640999999999998</v>
      </c>
      <c r="W98">
        <v>63.874000000000002</v>
      </c>
      <c r="X98">
        <v>64.736000000000004</v>
      </c>
      <c r="Y98">
        <v>64.435000000000002</v>
      </c>
      <c r="Z98">
        <v>65.77</v>
      </c>
      <c r="AA98">
        <v>65.317999999999998</v>
      </c>
      <c r="AB98">
        <v>65.994</v>
      </c>
      <c r="AC98">
        <v>66.331000000000003</v>
      </c>
      <c r="AD98">
        <v>66.132999999999996</v>
      </c>
      <c r="AE98">
        <v>65.602000000000004</v>
      </c>
      <c r="AF98">
        <v>64.912000000000006</v>
      </c>
      <c r="AG98">
        <v>64.995000000000005</v>
      </c>
      <c r="AH98">
        <v>64.712999999999994</v>
      </c>
      <c r="AI98">
        <v>63.655000000000001</v>
      </c>
      <c r="AJ98">
        <v>64.072000000000003</v>
      </c>
      <c r="AK98">
        <v>60.026000000000003</v>
      </c>
      <c r="AL98">
        <v>62.631</v>
      </c>
      <c r="AM98">
        <v>63.512</v>
      </c>
      <c r="AN98">
        <v>63.097999999999999</v>
      </c>
    </row>
    <row r="99" spans="1:40" x14ac:dyDescent="0.25">
      <c r="A99" t="s">
        <v>203</v>
      </c>
      <c r="B99" t="s">
        <v>204</v>
      </c>
      <c r="C99" t="s">
        <v>14</v>
      </c>
      <c r="D99">
        <v>0</v>
      </c>
      <c r="E99">
        <v>83.870999999999995</v>
      </c>
      <c r="F99">
        <v>83.847999999999999</v>
      </c>
      <c r="G99">
        <v>83.823999999999998</v>
      </c>
      <c r="H99">
        <v>83.804000000000002</v>
      </c>
      <c r="I99">
        <v>83.79</v>
      </c>
      <c r="J99">
        <v>83.787999999999997</v>
      </c>
      <c r="K99">
        <v>83.802999999999997</v>
      </c>
      <c r="L99">
        <v>83.828000000000003</v>
      </c>
      <c r="M99">
        <v>83.861000000000004</v>
      </c>
      <c r="N99">
        <v>83.897999999999996</v>
      </c>
      <c r="O99">
        <v>83.936000000000007</v>
      </c>
      <c r="P99">
        <v>83.975999999999999</v>
      </c>
      <c r="Q99">
        <v>84.028999999999996</v>
      </c>
      <c r="R99">
        <v>84.063999999999993</v>
      </c>
      <c r="S99">
        <v>84.093999999999994</v>
      </c>
      <c r="T99">
        <v>84.114000000000004</v>
      </c>
      <c r="U99">
        <v>84.103999999999999</v>
      </c>
      <c r="V99">
        <v>84.08</v>
      </c>
      <c r="W99">
        <v>84.04</v>
      </c>
      <c r="X99">
        <v>83.983000000000004</v>
      </c>
      <c r="Y99">
        <v>83.908000000000001</v>
      </c>
      <c r="Z99">
        <v>83.811999999999998</v>
      </c>
      <c r="AA99">
        <v>83.695999999999998</v>
      </c>
      <c r="AB99">
        <v>83.566000000000003</v>
      </c>
      <c r="AC99">
        <v>83.414000000000001</v>
      </c>
      <c r="AD99">
        <v>83.248999999999995</v>
      </c>
      <c r="AE99">
        <v>83.137</v>
      </c>
      <c r="AF99">
        <v>83.043999999999997</v>
      </c>
      <c r="AG99">
        <v>82.971000000000004</v>
      </c>
      <c r="AH99">
        <v>82.915999999999997</v>
      </c>
      <c r="AI99">
        <v>82.152000000000001</v>
      </c>
      <c r="AJ99">
        <v>82.807000000000002</v>
      </c>
      <c r="AK99">
        <v>82.83</v>
      </c>
      <c r="AL99">
        <v>82.866</v>
      </c>
      <c r="AM99">
        <v>82.915000000000006</v>
      </c>
      <c r="AN99">
        <v>82.912999999999997</v>
      </c>
    </row>
    <row r="100" spans="1:40" x14ac:dyDescent="0.25">
      <c r="A100" t="s">
        <v>205</v>
      </c>
      <c r="B100" t="s">
        <v>206</v>
      </c>
      <c r="C100" t="s">
        <v>14</v>
      </c>
      <c r="D100">
        <v>1</v>
      </c>
      <c r="E100">
        <v>78.352000000000004</v>
      </c>
      <c r="F100">
        <v>78.290000000000006</v>
      </c>
      <c r="G100">
        <v>78.231999999999999</v>
      </c>
      <c r="H100">
        <v>78.180999999999997</v>
      </c>
      <c r="I100">
        <v>78.143000000000001</v>
      </c>
      <c r="J100">
        <v>78.119</v>
      </c>
      <c r="K100">
        <v>78.108999999999995</v>
      </c>
      <c r="L100">
        <v>78.102000000000004</v>
      </c>
      <c r="M100">
        <v>78.085999999999999</v>
      </c>
      <c r="N100">
        <v>78.085999999999999</v>
      </c>
      <c r="O100">
        <v>78.105999999999995</v>
      </c>
      <c r="P100">
        <v>78.122</v>
      </c>
      <c r="Q100">
        <v>78.132999999999996</v>
      </c>
      <c r="R100">
        <v>78.146000000000001</v>
      </c>
      <c r="S100">
        <v>78.156999999999996</v>
      </c>
      <c r="T100">
        <v>78.159000000000006</v>
      </c>
      <c r="U100">
        <v>76.751999999999995</v>
      </c>
      <c r="V100">
        <v>75.281000000000006</v>
      </c>
      <c r="W100">
        <v>73.747</v>
      </c>
      <c r="X100">
        <v>72.149000000000001</v>
      </c>
      <c r="Y100">
        <v>70.489999999999995</v>
      </c>
      <c r="Z100">
        <v>68.774000000000001</v>
      </c>
      <c r="AA100">
        <v>67.191999999999993</v>
      </c>
      <c r="AB100">
        <v>65.572000000000003</v>
      </c>
      <c r="AC100">
        <v>63.917000000000002</v>
      </c>
      <c r="AD100">
        <v>62.23</v>
      </c>
      <c r="AE100">
        <v>60.514000000000003</v>
      </c>
      <c r="AF100">
        <v>58.774000000000001</v>
      </c>
      <c r="AG100">
        <v>58.895000000000003</v>
      </c>
      <c r="AH100">
        <v>59.03</v>
      </c>
      <c r="AI100">
        <v>63.125</v>
      </c>
      <c r="AJ100">
        <v>58.786000000000001</v>
      </c>
      <c r="AK100">
        <v>58.75</v>
      </c>
      <c r="AL100">
        <v>58.643999999999998</v>
      </c>
      <c r="AM100">
        <v>58.533999999999999</v>
      </c>
      <c r="AN100">
        <v>58.18</v>
      </c>
    </row>
    <row r="101" spans="1:40" x14ac:dyDescent="0.25">
      <c r="A101" t="s">
        <v>207</v>
      </c>
      <c r="B101" t="s">
        <v>208</v>
      </c>
      <c r="C101" t="s">
        <v>22</v>
      </c>
      <c r="D101">
        <v>0</v>
      </c>
      <c r="E101">
        <v>35.83</v>
      </c>
      <c r="F101">
        <v>35.941000000000003</v>
      </c>
      <c r="G101">
        <v>36.421999999999997</v>
      </c>
      <c r="H101">
        <v>36.909999999999997</v>
      </c>
      <c r="I101">
        <v>37.402999999999999</v>
      </c>
      <c r="J101">
        <v>37.912999999999997</v>
      </c>
      <c r="K101">
        <v>38.438000000000002</v>
      </c>
      <c r="L101">
        <v>38.972999999999999</v>
      </c>
      <c r="M101">
        <v>39.505000000000003</v>
      </c>
      <c r="N101">
        <v>40.061999999999998</v>
      </c>
      <c r="O101">
        <v>40.593000000000004</v>
      </c>
      <c r="P101">
        <v>41.052</v>
      </c>
      <c r="Q101">
        <v>41.470999999999997</v>
      </c>
      <c r="R101">
        <v>41.868000000000002</v>
      </c>
      <c r="S101">
        <v>42.255000000000003</v>
      </c>
      <c r="T101">
        <v>42.637</v>
      </c>
      <c r="U101">
        <v>43.027000000000001</v>
      </c>
      <c r="V101">
        <v>43.436</v>
      </c>
      <c r="W101">
        <v>43.866</v>
      </c>
      <c r="X101">
        <v>44.31</v>
      </c>
      <c r="Y101">
        <v>44.792000000000002</v>
      </c>
      <c r="Z101">
        <v>45.295000000000002</v>
      </c>
      <c r="AA101">
        <v>47.029000000000003</v>
      </c>
      <c r="AB101">
        <v>48.76</v>
      </c>
      <c r="AC101">
        <v>50.475000000000001</v>
      </c>
      <c r="AD101">
        <v>50.83</v>
      </c>
      <c r="AE101">
        <v>50.985999999999997</v>
      </c>
      <c r="AF101">
        <v>51.284999999999997</v>
      </c>
      <c r="AG101">
        <v>51.625</v>
      </c>
      <c r="AH101">
        <v>51.783000000000001</v>
      </c>
      <c r="AI101">
        <v>51.371000000000002</v>
      </c>
      <c r="AJ101">
        <v>51.371000000000002</v>
      </c>
      <c r="AK101">
        <v>51.597000000000001</v>
      </c>
      <c r="AL101">
        <v>51.591999999999999</v>
      </c>
      <c r="AM101">
        <v>51.616999999999997</v>
      </c>
      <c r="AN101">
        <v>51.643000000000001</v>
      </c>
    </row>
    <row r="102" spans="1:40" x14ac:dyDescent="0.25">
      <c r="A102" t="s">
        <v>209</v>
      </c>
      <c r="B102" t="s">
        <v>210</v>
      </c>
      <c r="C102" t="s">
        <v>22</v>
      </c>
      <c r="D102">
        <v>0</v>
      </c>
      <c r="E102">
        <v>19.882000000000001</v>
      </c>
      <c r="F102">
        <v>21.338000000000001</v>
      </c>
      <c r="G102">
        <v>22.852</v>
      </c>
      <c r="H102">
        <v>24.427</v>
      </c>
      <c r="I102">
        <v>26.06</v>
      </c>
      <c r="J102">
        <v>27.725999999999999</v>
      </c>
      <c r="K102">
        <v>29.501000000000001</v>
      </c>
      <c r="L102">
        <v>31.318000000000001</v>
      </c>
      <c r="M102">
        <v>33.18</v>
      </c>
      <c r="N102">
        <v>35.085000000000001</v>
      </c>
      <c r="O102">
        <v>37.036999999999999</v>
      </c>
      <c r="P102">
        <v>37.045000000000002</v>
      </c>
      <c r="Q102">
        <v>37.054000000000002</v>
      </c>
      <c r="R102">
        <v>37.061</v>
      </c>
      <c r="S102">
        <v>37.064999999999998</v>
      </c>
      <c r="T102">
        <v>37.066000000000003</v>
      </c>
      <c r="U102">
        <v>36.957999999999998</v>
      </c>
      <c r="V102">
        <v>36.729999999999997</v>
      </c>
      <c r="W102">
        <v>36.494999999999997</v>
      </c>
      <c r="X102">
        <v>36.284999999999997</v>
      </c>
      <c r="Y102">
        <v>36.624000000000002</v>
      </c>
      <c r="Z102">
        <v>36.982999999999997</v>
      </c>
      <c r="AA102">
        <v>37.360999999999997</v>
      </c>
      <c r="AB102">
        <v>37.756</v>
      </c>
      <c r="AC102">
        <v>38.162999999999997</v>
      </c>
      <c r="AD102">
        <v>38.573</v>
      </c>
      <c r="AE102">
        <v>38.985999999999997</v>
      </c>
      <c r="AF102">
        <v>39.780999999999999</v>
      </c>
      <c r="AG102">
        <v>40.381999999999998</v>
      </c>
      <c r="AH102">
        <v>40.76</v>
      </c>
      <c r="AI102">
        <v>37.103999999999999</v>
      </c>
      <c r="AJ102">
        <v>37.994999999999997</v>
      </c>
      <c r="AK102">
        <v>40.170999999999999</v>
      </c>
      <c r="AL102">
        <v>40.311</v>
      </c>
      <c r="AM102">
        <v>40.454999999999998</v>
      </c>
      <c r="AN102">
        <v>40.731999999999999</v>
      </c>
    </row>
    <row r="103" spans="1:40" x14ac:dyDescent="0.25">
      <c r="A103" t="s">
        <v>211</v>
      </c>
      <c r="B103" t="s">
        <v>212</v>
      </c>
      <c r="C103" t="s">
        <v>14</v>
      </c>
      <c r="D103">
        <v>0</v>
      </c>
      <c r="E103">
        <v>60.518999999999998</v>
      </c>
      <c r="F103">
        <v>60.476999999999997</v>
      </c>
      <c r="G103">
        <v>60.441000000000003</v>
      </c>
      <c r="H103">
        <v>60.418999999999997</v>
      </c>
      <c r="I103">
        <v>60.408999999999999</v>
      </c>
      <c r="J103">
        <v>60.412999999999997</v>
      </c>
      <c r="K103">
        <v>60.421999999999997</v>
      </c>
      <c r="L103">
        <v>60.436999999999998</v>
      </c>
      <c r="M103">
        <v>60.460999999999999</v>
      </c>
      <c r="N103">
        <v>60.488999999999997</v>
      </c>
      <c r="O103">
        <v>60.512</v>
      </c>
      <c r="P103">
        <v>60.533999999999999</v>
      </c>
      <c r="Q103">
        <v>60.552</v>
      </c>
      <c r="R103">
        <v>60.558999999999997</v>
      </c>
      <c r="S103">
        <v>60.555</v>
      </c>
      <c r="T103">
        <v>60.536000000000001</v>
      </c>
      <c r="U103">
        <v>60.508000000000003</v>
      </c>
      <c r="V103">
        <v>60.478000000000002</v>
      </c>
      <c r="W103">
        <v>60.442</v>
      </c>
      <c r="X103">
        <v>60.4</v>
      </c>
      <c r="Y103">
        <v>60.35</v>
      </c>
      <c r="Z103">
        <v>60.295999999999999</v>
      </c>
      <c r="AA103">
        <v>60.22</v>
      </c>
      <c r="AB103">
        <v>60.158000000000001</v>
      </c>
      <c r="AC103">
        <v>60.137</v>
      </c>
      <c r="AD103">
        <v>61.216000000000001</v>
      </c>
      <c r="AE103">
        <v>59.554000000000002</v>
      </c>
      <c r="AF103">
        <v>57.877000000000002</v>
      </c>
      <c r="AG103">
        <v>55.62</v>
      </c>
      <c r="AH103">
        <v>53.387</v>
      </c>
      <c r="AI103">
        <v>50.63</v>
      </c>
      <c r="AJ103">
        <v>52.981000000000002</v>
      </c>
      <c r="AK103">
        <v>53.009</v>
      </c>
      <c r="AL103">
        <v>53.06</v>
      </c>
      <c r="AM103">
        <v>53.093000000000004</v>
      </c>
      <c r="AN103">
        <v>52.841999999999999</v>
      </c>
    </row>
    <row r="104" spans="1:40" x14ac:dyDescent="0.25">
      <c r="A104" t="s">
        <v>213</v>
      </c>
      <c r="B104" t="s">
        <v>214</v>
      </c>
      <c r="C104" t="s">
        <v>9</v>
      </c>
      <c r="D104">
        <v>0</v>
      </c>
      <c r="E104">
        <v>26.827000000000002</v>
      </c>
      <c r="F104">
        <v>27.013999999999999</v>
      </c>
      <c r="G104">
        <v>27.457999999999998</v>
      </c>
      <c r="H104">
        <v>27.943999999999999</v>
      </c>
      <c r="I104">
        <v>28.177</v>
      </c>
      <c r="J104">
        <v>28.385999999999999</v>
      </c>
      <c r="K104">
        <v>28.933</v>
      </c>
      <c r="L104">
        <v>29.544</v>
      </c>
      <c r="M104">
        <v>29.742000000000001</v>
      </c>
      <c r="N104">
        <v>30.073</v>
      </c>
      <c r="O104">
        <v>29.754000000000001</v>
      </c>
      <c r="P104">
        <v>29.364999999999998</v>
      </c>
      <c r="Q104">
        <v>30.571000000000002</v>
      </c>
      <c r="R104">
        <v>30.111999999999998</v>
      </c>
      <c r="S104">
        <v>27.774999999999999</v>
      </c>
      <c r="T104">
        <v>29.882999999999999</v>
      </c>
      <c r="U104">
        <v>30.178000000000001</v>
      </c>
      <c r="V104">
        <v>32.084000000000003</v>
      </c>
      <c r="W104">
        <v>33.128999999999998</v>
      </c>
      <c r="X104">
        <v>33.576999999999998</v>
      </c>
      <c r="Y104">
        <v>34.347000000000001</v>
      </c>
      <c r="Z104">
        <v>35.558999999999997</v>
      </c>
      <c r="AA104">
        <v>38.680999999999997</v>
      </c>
      <c r="AB104">
        <v>40.723999999999997</v>
      </c>
      <c r="AC104">
        <v>42.259</v>
      </c>
      <c r="AD104">
        <v>43.02</v>
      </c>
      <c r="AE104">
        <v>44.652999999999999</v>
      </c>
      <c r="AF104">
        <v>46.158999999999999</v>
      </c>
      <c r="AG104">
        <v>48.213999999999999</v>
      </c>
      <c r="AH104">
        <v>49.326000000000001</v>
      </c>
      <c r="AI104">
        <v>51.25</v>
      </c>
      <c r="AJ104">
        <v>52.216000000000001</v>
      </c>
      <c r="AK104">
        <v>55.307000000000002</v>
      </c>
      <c r="AL104">
        <v>55.524999999999999</v>
      </c>
      <c r="AM104">
        <v>55.893999999999998</v>
      </c>
      <c r="AN104">
        <v>55.798999999999999</v>
      </c>
    </row>
    <row r="105" spans="1:40" x14ac:dyDescent="0.25">
      <c r="A105" t="s">
        <v>215</v>
      </c>
      <c r="B105" t="s">
        <v>216</v>
      </c>
      <c r="C105" t="s">
        <v>6</v>
      </c>
      <c r="D105">
        <v>0</v>
      </c>
      <c r="E105">
        <v>25.23</v>
      </c>
      <c r="F105">
        <v>25.526</v>
      </c>
      <c r="G105">
        <v>25.821999999999999</v>
      </c>
      <c r="H105">
        <v>26.120999999999999</v>
      </c>
      <c r="I105">
        <v>26.425000000000001</v>
      </c>
      <c r="J105">
        <v>26.733000000000001</v>
      </c>
      <c r="K105">
        <v>27.045000000000002</v>
      </c>
      <c r="L105">
        <v>27.36</v>
      </c>
      <c r="M105">
        <v>27.675999999999998</v>
      </c>
      <c r="N105">
        <v>27.995999999999999</v>
      </c>
      <c r="O105">
        <v>28.317</v>
      </c>
      <c r="P105">
        <v>28.228000000000002</v>
      </c>
      <c r="Q105">
        <v>28.158999999999999</v>
      </c>
      <c r="R105">
        <v>28.085999999999999</v>
      </c>
      <c r="S105">
        <v>28.010999999999999</v>
      </c>
      <c r="T105">
        <v>27.934000000000001</v>
      </c>
      <c r="U105">
        <v>27.853999999999999</v>
      </c>
      <c r="V105">
        <v>27.77</v>
      </c>
      <c r="W105">
        <v>27.68</v>
      </c>
      <c r="X105">
        <v>27.588999999999999</v>
      </c>
      <c r="Y105">
        <v>27.504999999999999</v>
      </c>
      <c r="Z105">
        <v>27.427</v>
      </c>
      <c r="AA105">
        <v>27.353000000000002</v>
      </c>
      <c r="AB105">
        <v>27.138999999999999</v>
      </c>
      <c r="AC105">
        <v>26.908999999999999</v>
      </c>
      <c r="AD105">
        <v>26.678999999999998</v>
      </c>
      <c r="AE105">
        <v>26.446999999999999</v>
      </c>
      <c r="AF105">
        <v>26.215</v>
      </c>
      <c r="AG105">
        <v>26.234000000000002</v>
      </c>
      <c r="AH105">
        <v>26.263000000000002</v>
      </c>
      <c r="AI105">
        <v>25.873000000000001</v>
      </c>
      <c r="AJ105">
        <v>26.068999999999999</v>
      </c>
      <c r="AK105">
        <v>26.05</v>
      </c>
      <c r="AL105">
        <v>26.198</v>
      </c>
      <c r="AM105">
        <v>26.239000000000001</v>
      </c>
      <c r="AN105">
        <v>26.18</v>
      </c>
    </row>
    <row r="106" spans="1:40" x14ac:dyDescent="0.25">
      <c r="A106" t="s">
        <v>217</v>
      </c>
      <c r="B106" t="s">
        <v>218</v>
      </c>
      <c r="C106" t="s">
        <v>14</v>
      </c>
      <c r="D106">
        <v>0</v>
      </c>
      <c r="E106">
        <v>37.994</v>
      </c>
      <c r="F106">
        <v>38.119999999999997</v>
      </c>
      <c r="G106">
        <v>38.262</v>
      </c>
      <c r="H106">
        <v>38.409999999999997</v>
      </c>
      <c r="I106">
        <v>38.567</v>
      </c>
      <c r="J106">
        <v>38.734999999999999</v>
      </c>
      <c r="K106">
        <v>38.738999999999997</v>
      </c>
      <c r="L106">
        <v>38.746000000000002</v>
      </c>
      <c r="M106">
        <v>38.738999999999997</v>
      </c>
      <c r="N106">
        <v>38.706000000000003</v>
      </c>
      <c r="O106">
        <v>38.661000000000001</v>
      </c>
      <c r="P106">
        <v>36.231000000000002</v>
      </c>
      <c r="Q106">
        <v>37.844000000000001</v>
      </c>
      <c r="R106">
        <v>41.131999999999998</v>
      </c>
      <c r="S106">
        <v>39.768999999999998</v>
      </c>
      <c r="T106">
        <v>41.198999999999998</v>
      </c>
      <c r="U106">
        <v>41.481999999999999</v>
      </c>
      <c r="V106">
        <v>40.491999999999997</v>
      </c>
      <c r="W106">
        <v>41.439</v>
      </c>
      <c r="X106">
        <v>41.911999999999999</v>
      </c>
      <c r="Y106">
        <v>43.465000000000003</v>
      </c>
      <c r="Z106">
        <v>42.612000000000002</v>
      </c>
      <c r="AA106">
        <v>43.027999999999999</v>
      </c>
      <c r="AB106">
        <v>44.956000000000003</v>
      </c>
      <c r="AC106">
        <v>45.216999999999999</v>
      </c>
      <c r="AD106">
        <v>46.371000000000002</v>
      </c>
      <c r="AE106">
        <v>45.414000000000001</v>
      </c>
      <c r="AF106">
        <v>45.716000000000001</v>
      </c>
      <c r="AG106">
        <v>45.603999999999999</v>
      </c>
      <c r="AH106">
        <v>46.423000000000002</v>
      </c>
      <c r="AI106">
        <v>43.110999999999997</v>
      </c>
      <c r="AJ106">
        <v>40.56</v>
      </c>
      <c r="AK106">
        <v>42.521000000000001</v>
      </c>
      <c r="AL106">
        <v>47.643999999999998</v>
      </c>
      <c r="AM106">
        <v>47.45</v>
      </c>
      <c r="AN106">
        <v>47.462000000000003</v>
      </c>
    </row>
    <row r="107" spans="1:40" x14ac:dyDescent="0.25">
      <c r="A107" t="s">
        <v>219</v>
      </c>
      <c r="B107" t="s">
        <v>220</v>
      </c>
      <c r="C107" t="s">
        <v>17</v>
      </c>
      <c r="D107">
        <v>0</v>
      </c>
      <c r="E107">
        <v>33.981000000000002</v>
      </c>
      <c r="F107">
        <v>34.216000000000001</v>
      </c>
      <c r="G107">
        <v>34.988</v>
      </c>
      <c r="H107">
        <v>35.835999999999999</v>
      </c>
      <c r="I107">
        <v>36.366</v>
      </c>
      <c r="J107">
        <v>37.613</v>
      </c>
      <c r="K107">
        <v>37.683999999999997</v>
      </c>
      <c r="L107">
        <v>39.640999999999998</v>
      </c>
      <c r="M107">
        <v>39.316000000000003</v>
      </c>
      <c r="N107">
        <v>38.527000000000001</v>
      </c>
      <c r="O107">
        <v>38.866</v>
      </c>
      <c r="P107">
        <v>38.228999999999999</v>
      </c>
      <c r="Q107">
        <v>38.314</v>
      </c>
      <c r="R107">
        <v>38.975000000000001</v>
      </c>
      <c r="S107">
        <v>40.097999999999999</v>
      </c>
      <c r="T107">
        <v>41.15</v>
      </c>
      <c r="U107">
        <v>42.334000000000003</v>
      </c>
      <c r="V107">
        <v>42.718000000000004</v>
      </c>
      <c r="W107">
        <v>42.567999999999998</v>
      </c>
      <c r="X107">
        <v>43.08</v>
      </c>
      <c r="Y107">
        <v>42.945999999999998</v>
      </c>
      <c r="Z107">
        <v>43.412999999999997</v>
      </c>
      <c r="AA107">
        <v>44.48</v>
      </c>
      <c r="AB107">
        <v>44.48</v>
      </c>
      <c r="AC107">
        <v>43.55</v>
      </c>
      <c r="AD107">
        <v>43.927999999999997</v>
      </c>
      <c r="AE107">
        <v>43.988</v>
      </c>
      <c r="AF107">
        <v>43.627000000000002</v>
      </c>
      <c r="AG107">
        <v>44.134</v>
      </c>
      <c r="AH107">
        <v>45.573</v>
      </c>
      <c r="AI107">
        <v>41.704000000000001</v>
      </c>
      <c r="AJ107">
        <v>44.615000000000002</v>
      </c>
      <c r="AK107">
        <v>46.003999999999998</v>
      </c>
      <c r="AL107">
        <v>47.317</v>
      </c>
      <c r="AM107">
        <v>47.414000000000001</v>
      </c>
      <c r="AN107">
        <v>47.45</v>
      </c>
    </row>
    <row r="108" spans="1:40" x14ac:dyDescent="0.25">
      <c r="A108" t="s">
        <v>221</v>
      </c>
      <c r="B108" t="s">
        <v>222</v>
      </c>
      <c r="C108" t="s">
        <v>9</v>
      </c>
      <c r="D108">
        <v>0</v>
      </c>
      <c r="E108">
        <v>54.756999999999998</v>
      </c>
      <c r="F108">
        <v>55.218000000000004</v>
      </c>
      <c r="G108">
        <v>55.555</v>
      </c>
      <c r="H108">
        <v>55.704999999999998</v>
      </c>
      <c r="I108">
        <v>55.847999999999999</v>
      </c>
      <c r="J108">
        <v>55.814999999999998</v>
      </c>
      <c r="K108">
        <v>56.110999999999997</v>
      </c>
      <c r="L108">
        <v>56</v>
      </c>
      <c r="M108">
        <v>56.374000000000002</v>
      </c>
      <c r="N108">
        <v>56.558999999999997</v>
      </c>
      <c r="O108">
        <v>56.427999999999997</v>
      </c>
      <c r="P108">
        <v>54.802999999999997</v>
      </c>
      <c r="Q108">
        <v>54.826999999999998</v>
      </c>
      <c r="R108">
        <v>56.09</v>
      </c>
      <c r="S108">
        <v>54.582999999999998</v>
      </c>
      <c r="T108">
        <v>55.021999999999998</v>
      </c>
      <c r="U108">
        <v>57.262999999999998</v>
      </c>
      <c r="V108">
        <v>58.868000000000002</v>
      </c>
      <c r="W108">
        <v>59.244</v>
      </c>
      <c r="X108">
        <v>59.929000000000002</v>
      </c>
      <c r="Y108">
        <v>62.695</v>
      </c>
      <c r="Z108">
        <v>64.364999999999995</v>
      </c>
      <c r="AA108">
        <v>65.277000000000001</v>
      </c>
      <c r="AB108">
        <v>65.585999999999999</v>
      </c>
      <c r="AC108">
        <v>69.206999999999994</v>
      </c>
      <c r="AD108">
        <v>69.412999999999997</v>
      </c>
      <c r="AE108">
        <v>68.930000000000007</v>
      </c>
      <c r="AF108">
        <v>67.430000000000007</v>
      </c>
      <c r="AG108">
        <v>66.418999999999997</v>
      </c>
      <c r="AH108">
        <v>68.337000000000003</v>
      </c>
      <c r="AI108">
        <v>68.084999999999994</v>
      </c>
      <c r="AJ108">
        <v>70.665000000000006</v>
      </c>
      <c r="AK108">
        <v>71.543000000000006</v>
      </c>
      <c r="AL108">
        <v>70.063999999999993</v>
      </c>
      <c r="AM108">
        <v>72.177000000000007</v>
      </c>
      <c r="AN108">
        <v>72.33</v>
      </c>
    </row>
    <row r="109" spans="1:40" x14ac:dyDescent="0.25">
      <c r="A109" t="s">
        <v>223</v>
      </c>
      <c r="B109" t="s">
        <v>224</v>
      </c>
      <c r="C109" t="s">
        <v>22</v>
      </c>
      <c r="D109">
        <v>0</v>
      </c>
      <c r="E109">
        <v>51.433</v>
      </c>
      <c r="F109">
        <v>51.968000000000004</v>
      </c>
      <c r="G109">
        <v>52.488999999999997</v>
      </c>
      <c r="H109">
        <v>52.802999999999997</v>
      </c>
      <c r="I109">
        <v>52.968000000000004</v>
      </c>
      <c r="J109">
        <v>53.015999999999998</v>
      </c>
      <c r="K109">
        <v>53.198</v>
      </c>
      <c r="L109">
        <v>53.335000000000001</v>
      </c>
      <c r="M109">
        <v>53.491999999999997</v>
      </c>
      <c r="N109">
        <v>53.654000000000003</v>
      </c>
      <c r="O109">
        <v>53.834000000000003</v>
      </c>
      <c r="P109">
        <v>53.93</v>
      </c>
      <c r="Q109">
        <v>53.966999999999999</v>
      </c>
      <c r="R109">
        <v>53.945999999999998</v>
      </c>
      <c r="S109">
        <v>53.878</v>
      </c>
      <c r="T109">
        <v>53.887</v>
      </c>
      <c r="U109">
        <v>53.927999999999997</v>
      </c>
      <c r="V109">
        <v>54.031999999999996</v>
      </c>
      <c r="W109">
        <v>53.369</v>
      </c>
      <c r="X109">
        <v>53.540999999999997</v>
      </c>
      <c r="Y109">
        <v>53.201999999999998</v>
      </c>
      <c r="Z109">
        <v>53.902999999999999</v>
      </c>
      <c r="AA109">
        <v>53.786999999999999</v>
      </c>
      <c r="AB109">
        <v>53.646999999999998</v>
      </c>
      <c r="AC109">
        <v>53.530999999999999</v>
      </c>
      <c r="AD109">
        <v>53.429000000000002</v>
      </c>
      <c r="AE109">
        <v>52.091999999999999</v>
      </c>
      <c r="AF109">
        <v>52.686999999999998</v>
      </c>
      <c r="AG109">
        <v>51.716999999999999</v>
      </c>
      <c r="AH109">
        <v>57.902000000000001</v>
      </c>
      <c r="AI109">
        <v>56.048000000000002</v>
      </c>
      <c r="AJ109">
        <v>53.158000000000001</v>
      </c>
      <c r="AK109">
        <v>54.628999999999998</v>
      </c>
      <c r="AL109">
        <v>52.466999999999999</v>
      </c>
      <c r="AM109">
        <v>52.1</v>
      </c>
      <c r="AN109">
        <v>51.457999999999998</v>
      </c>
    </row>
    <row r="110" spans="1:40" x14ac:dyDescent="0.25">
      <c r="A110" t="s">
        <v>225</v>
      </c>
      <c r="B110" t="s">
        <v>226</v>
      </c>
      <c r="C110" t="s">
        <v>9</v>
      </c>
      <c r="D110">
        <v>0</v>
      </c>
      <c r="E110">
        <v>43.832000000000001</v>
      </c>
      <c r="F110">
        <v>43.81</v>
      </c>
      <c r="G110">
        <v>43.723999999999997</v>
      </c>
      <c r="H110">
        <v>43.554000000000002</v>
      </c>
      <c r="I110">
        <v>43.231999999999999</v>
      </c>
      <c r="J110">
        <v>42.905000000000001</v>
      </c>
      <c r="K110">
        <v>42.66</v>
      </c>
      <c r="L110">
        <v>42.493000000000002</v>
      </c>
      <c r="M110">
        <v>42.341999999999999</v>
      </c>
      <c r="N110">
        <v>42.493000000000002</v>
      </c>
      <c r="O110">
        <v>42.420999999999999</v>
      </c>
      <c r="P110">
        <v>42.402000000000001</v>
      </c>
      <c r="Q110">
        <v>42.276000000000003</v>
      </c>
      <c r="R110">
        <v>42.081000000000003</v>
      </c>
      <c r="S110">
        <v>41.87</v>
      </c>
      <c r="T110">
        <v>41.710999999999999</v>
      </c>
      <c r="U110">
        <v>41.637999999999998</v>
      </c>
      <c r="V110">
        <v>41.692999999999998</v>
      </c>
      <c r="W110">
        <v>41.828000000000003</v>
      </c>
      <c r="X110">
        <v>41.62</v>
      </c>
      <c r="Y110">
        <v>41.588999999999999</v>
      </c>
      <c r="Z110">
        <v>41.588999999999999</v>
      </c>
      <c r="AA110">
        <v>42.801000000000002</v>
      </c>
      <c r="AB110">
        <v>42.866</v>
      </c>
      <c r="AC110">
        <v>45.008000000000003</v>
      </c>
      <c r="AD110">
        <v>46.122999999999998</v>
      </c>
      <c r="AE110">
        <v>45.698999999999998</v>
      </c>
      <c r="AF110">
        <v>45.295999999999999</v>
      </c>
      <c r="AG110">
        <v>45.52</v>
      </c>
      <c r="AH110">
        <v>46.887999999999998</v>
      </c>
      <c r="AI110">
        <v>43.343000000000004</v>
      </c>
      <c r="AJ110">
        <v>41.433</v>
      </c>
      <c r="AK110">
        <v>48.488999999999997</v>
      </c>
      <c r="AL110">
        <v>51.777000000000001</v>
      </c>
      <c r="AM110">
        <v>51.429000000000002</v>
      </c>
      <c r="AN110">
        <v>51.246000000000002</v>
      </c>
    </row>
    <row r="111" spans="1:40" x14ac:dyDescent="0.25">
      <c r="A111" t="s">
        <v>227</v>
      </c>
      <c r="B111" t="s">
        <v>228</v>
      </c>
      <c r="C111" t="s">
        <v>6</v>
      </c>
      <c r="D111">
        <v>0</v>
      </c>
      <c r="E111">
        <v>22.818999999999999</v>
      </c>
      <c r="F111">
        <v>23.234000000000002</v>
      </c>
      <c r="G111">
        <v>23.163</v>
      </c>
      <c r="H111">
        <v>23.177</v>
      </c>
      <c r="I111">
        <v>23.8</v>
      </c>
      <c r="J111">
        <v>23.556999999999999</v>
      </c>
      <c r="K111">
        <v>24.236000000000001</v>
      </c>
      <c r="L111">
        <v>24.2</v>
      </c>
      <c r="M111">
        <v>24.617999999999999</v>
      </c>
      <c r="N111">
        <v>24.753</v>
      </c>
      <c r="O111">
        <v>24.934000000000001</v>
      </c>
      <c r="P111">
        <v>25.364999999999998</v>
      </c>
      <c r="Q111">
        <v>24.788</v>
      </c>
      <c r="R111">
        <v>25.041</v>
      </c>
      <c r="S111">
        <v>25.292999999999999</v>
      </c>
      <c r="T111">
        <v>25.54</v>
      </c>
      <c r="U111">
        <v>25.783999999999999</v>
      </c>
      <c r="V111">
        <v>26.029</v>
      </c>
      <c r="W111">
        <v>26.277999999999999</v>
      </c>
      <c r="X111">
        <v>25.908999999999999</v>
      </c>
      <c r="Y111">
        <v>25.545999999999999</v>
      </c>
      <c r="Z111">
        <v>25.117999999999999</v>
      </c>
      <c r="AA111">
        <v>24.358000000000001</v>
      </c>
      <c r="AB111">
        <v>24.718</v>
      </c>
      <c r="AC111">
        <v>24.779</v>
      </c>
      <c r="AD111">
        <v>24.361999999999998</v>
      </c>
      <c r="AE111">
        <v>23.274999999999999</v>
      </c>
      <c r="AF111">
        <v>22.45</v>
      </c>
      <c r="AG111">
        <v>22.23</v>
      </c>
      <c r="AH111">
        <v>21.998999999999999</v>
      </c>
      <c r="AI111">
        <v>20.687999999999999</v>
      </c>
      <c r="AJ111">
        <v>20.696999999999999</v>
      </c>
      <c r="AK111">
        <v>19.584</v>
      </c>
      <c r="AL111">
        <v>19.670999999999999</v>
      </c>
      <c r="AM111">
        <v>19.827000000000002</v>
      </c>
      <c r="AN111">
        <v>19.696000000000002</v>
      </c>
    </row>
    <row r="112" spans="1:40" x14ac:dyDescent="0.25">
      <c r="A112" t="s">
        <v>229</v>
      </c>
      <c r="B112" t="s">
        <v>230</v>
      </c>
      <c r="C112" t="s">
        <v>14</v>
      </c>
      <c r="D112">
        <v>0</v>
      </c>
      <c r="E112">
        <v>86.793999999999997</v>
      </c>
      <c r="F112">
        <v>86.813000000000002</v>
      </c>
      <c r="G112">
        <v>86.831000000000003</v>
      </c>
      <c r="H112">
        <v>86.864000000000004</v>
      </c>
      <c r="I112">
        <v>86.914000000000001</v>
      </c>
      <c r="J112">
        <v>86.971999999999994</v>
      </c>
      <c r="K112">
        <v>87.024000000000001</v>
      </c>
      <c r="L112">
        <v>87.034999999999997</v>
      </c>
      <c r="M112">
        <v>87.165000000000006</v>
      </c>
      <c r="N112">
        <v>87.296000000000006</v>
      </c>
      <c r="O112">
        <v>87.427000000000007</v>
      </c>
      <c r="P112">
        <v>87.558000000000007</v>
      </c>
      <c r="Q112">
        <v>87.691000000000003</v>
      </c>
      <c r="R112">
        <v>87.825000000000003</v>
      </c>
      <c r="S112">
        <v>87.165999999999997</v>
      </c>
      <c r="T112">
        <v>86.480999999999995</v>
      </c>
      <c r="U112">
        <v>85.772000000000006</v>
      </c>
      <c r="V112">
        <v>85.036000000000001</v>
      </c>
      <c r="W112">
        <v>84.272999999999996</v>
      </c>
      <c r="X112">
        <v>83.481999999999999</v>
      </c>
      <c r="Y112">
        <v>82.665000000000006</v>
      </c>
      <c r="Z112">
        <v>81.819000000000003</v>
      </c>
      <c r="AA112">
        <v>80.944000000000003</v>
      </c>
      <c r="AB112">
        <v>80.040000000000006</v>
      </c>
      <c r="AC112">
        <v>79.106999999999999</v>
      </c>
      <c r="AD112">
        <v>78.143000000000001</v>
      </c>
      <c r="AE112">
        <v>78.040999999999997</v>
      </c>
      <c r="AF112">
        <v>77.941999999999993</v>
      </c>
      <c r="AG112">
        <v>77.84</v>
      </c>
      <c r="AH112">
        <v>77.734999999999999</v>
      </c>
      <c r="AI112">
        <v>76.87</v>
      </c>
      <c r="AJ112">
        <v>76.784999999999997</v>
      </c>
      <c r="AK112">
        <v>77.197999999999993</v>
      </c>
      <c r="AL112">
        <v>77.269000000000005</v>
      </c>
      <c r="AM112">
        <v>77.206000000000003</v>
      </c>
      <c r="AN112">
        <v>77.09</v>
      </c>
    </row>
    <row r="113" spans="1:40" x14ac:dyDescent="0.25">
      <c r="A113" t="s">
        <v>231</v>
      </c>
      <c r="B113" t="s">
        <v>232</v>
      </c>
      <c r="C113" t="s">
        <v>22</v>
      </c>
      <c r="D113">
        <v>0</v>
      </c>
      <c r="E113">
        <v>59.627000000000002</v>
      </c>
      <c r="F113">
        <v>59.768999999999998</v>
      </c>
      <c r="G113">
        <v>59.24</v>
      </c>
      <c r="H113">
        <v>58.942999999999998</v>
      </c>
      <c r="I113">
        <v>58.561999999999998</v>
      </c>
      <c r="J113">
        <v>58.22</v>
      </c>
      <c r="K113">
        <v>57.914000000000001</v>
      </c>
      <c r="L113">
        <v>57.658000000000001</v>
      </c>
      <c r="M113">
        <v>57.393000000000001</v>
      </c>
      <c r="N113">
        <v>56.856999999999999</v>
      </c>
      <c r="O113">
        <v>56.2</v>
      </c>
      <c r="P113">
        <v>55.683</v>
      </c>
      <c r="Q113">
        <v>55.154000000000003</v>
      </c>
      <c r="R113">
        <v>54.567999999999998</v>
      </c>
      <c r="S113">
        <v>54.021999999999998</v>
      </c>
      <c r="T113">
        <v>53.503999999999998</v>
      </c>
      <c r="U113">
        <v>53.030999999999999</v>
      </c>
      <c r="V113">
        <v>52.622</v>
      </c>
      <c r="W113">
        <v>52.280999999999999</v>
      </c>
      <c r="X113">
        <v>51.95</v>
      </c>
      <c r="Y113">
        <v>51.674999999999997</v>
      </c>
      <c r="Z113">
        <v>51.531999999999996</v>
      </c>
      <c r="AA113">
        <v>51.345999999999997</v>
      </c>
      <c r="AB113">
        <v>51.14</v>
      </c>
      <c r="AC113">
        <v>50.951000000000001</v>
      </c>
      <c r="AD113">
        <v>50.798999999999999</v>
      </c>
      <c r="AE113">
        <v>49.228999999999999</v>
      </c>
      <c r="AF113">
        <v>47.658999999999999</v>
      </c>
      <c r="AG113">
        <v>48.438000000000002</v>
      </c>
      <c r="AH113">
        <v>46.289000000000001</v>
      </c>
      <c r="AI113">
        <v>44.725999999999999</v>
      </c>
      <c r="AJ113">
        <v>41.042000000000002</v>
      </c>
      <c r="AK113">
        <v>41.070999999999998</v>
      </c>
      <c r="AL113">
        <v>41.051000000000002</v>
      </c>
      <c r="AM113">
        <v>40.959000000000003</v>
      </c>
      <c r="AN113">
        <v>40.941000000000003</v>
      </c>
    </row>
    <row r="114" spans="1:40" x14ac:dyDescent="0.25">
      <c r="A114" t="s">
        <v>233</v>
      </c>
      <c r="B114" t="s">
        <v>234</v>
      </c>
      <c r="C114" t="s">
        <v>14</v>
      </c>
      <c r="D114">
        <v>0</v>
      </c>
      <c r="E114">
        <v>48.216999999999999</v>
      </c>
      <c r="F114">
        <v>48.231999999999999</v>
      </c>
      <c r="G114">
        <v>48.231999999999999</v>
      </c>
      <c r="H114">
        <v>48.237000000000002</v>
      </c>
      <c r="I114">
        <v>48.244999999999997</v>
      </c>
      <c r="J114">
        <v>47.789000000000001</v>
      </c>
      <c r="K114">
        <v>47.332999999999998</v>
      </c>
      <c r="L114">
        <v>46.878</v>
      </c>
      <c r="M114">
        <v>47.005000000000003</v>
      </c>
      <c r="N114">
        <v>47.134</v>
      </c>
      <c r="O114">
        <v>47.264000000000003</v>
      </c>
      <c r="P114">
        <v>47.749000000000002</v>
      </c>
      <c r="Q114">
        <v>48.232999999999997</v>
      </c>
      <c r="R114">
        <v>48.716999999999999</v>
      </c>
      <c r="S114">
        <v>49.201999999999998</v>
      </c>
      <c r="T114">
        <v>49.688000000000002</v>
      </c>
      <c r="U114">
        <v>50.173999999999999</v>
      </c>
      <c r="V114">
        <v>50.661000000000001</v>
      </c>
      <c r="W114">
        <v>51.149000000000001</v>
      </c>
      <c r="X114">
        <v>51.637</v>
      </c>
      <c r="Y114">
        <v>52.125</v>
      </c>
      <c r="Z114">
        <v>52.612000000000002</v>
      </c>
      <c r="AA114">
        <v>53.095999999999997</v>
      </c>
      <c r="AB114">
        <v>58.57</v>
      </c>
      <c r="AC114">
        <v>57.204000000000001</v>
      </c>
      <c r="AD114">
        <v>56.350999999999999</v>
      </c>
      <c r="AE114">
        <v>55.497</v>
      </c>
      <c r="AF114">
        <v>55.436</v>
      </c>
      <c r="AG114">
        <v>55.387999999999998</v>
      </c>
      <c r="AH114">
        <v>55.322000000000003</v>
      </c>
      <c r="AI114">
        <v>52.45</v>
      </c>
      <c r="AJ114">
        <v>53.110999999999997</v>
      </c>
      <c r="AK114">
        <v>54.734999999999999</v>
      </c>
      <c r="AL114">
        <v>54.828000000000003</v>
      </c>
      <c r="AM114">
        <v>54.911000000000001</v>
      </c>
      <c r="AN114">
        <v>54.917999999999999</v>
      </c>
    </row>
    <row r="115" spans="1:40" x14ac:dyDescent="0.25">
      <c r="A115" t="s">
        <v>235</v>
      </c>
      <c r="B115" t="s">
        <v>236</v>
      </c>
      <c r="C115" t="s">
        <v>22</v>
      </c>
      <c r="D115">
        <v>0</v>
      </c>
      <c r="E115">
        <v>20.63</v>
      </c>
      <c r="F115">
        <v>20.689</v>
      </c>
      <c r="G115">
        <v>20.791</v>
      </c>
      <c r="H115">
        <v>20.847000000000001</v>
      </c>
      <c r="I115">
        <v>20.838999999999999</v>
      </c>
      <c r="J115">
        <v>20.814</v>
      </c>
      <c r="K115">
        <v>20.794</v>
      </c>
      <c r="L115">
        <v>20.84</v>
      </c>
      <c r="M115">
        <v>20.951000000000001</v>
      </c>
      <c r="N115">
        <v>21.106000000000002</v>
      </c>
      <c r="O115">
        <v>21.283000000000001</v>
      </c>
      <c r="P115">
        <v>21.497</v>
      </c>
      <c r="Q115">
        <v>21.722999999999999</v>
      </c>
      <c r="R115">
        <v>21.954000000000001</v>
      </c>
      <c r="S115">
        <v>22.210999999999999</v>
      </c>
      <c r="T115">
        <v>22.501999999999999</v>
      </c>
      <c r="U115">
        <v>22.826000000000001</v>
      </c>
      <c r="V115">
        <v>23.184000000000001</v>
      </c>
      <c r="W115">
        <v>23.611000000000001</v>
      </c>
      <c r="X115">
        <v>24.106999999999999</v>
      </c>
      <c r="Y115">
        <v>24.652000000000001</v>
      </c>
      <c r="Z115">
        <v>25.22</v>
      </c>
      <c r="AA115">
        <v>25.73</v>
      </c>
      <c r="AB115">
        <v>26.161000000000001</v>
      </c>
      <c r="AC115">
        <v>26.574999999999999</v>
      </c>
      <c r="AD115">
        <v>27.006</v>
      </c>
      <c r="AE115">
        <v>27.346</v>
      </c>
      <c r="AF115">
        <v>27.53</v>
      </c>
      <c r="AG115">
        <v>27.628</v>
      </c>
      <c r="AH115">
        <v>27.536999999999999</v>
      </c>
      <c r="AI115">
        <v>27.209</v>
      </c>
      <c r="AJ115">
        <v>27.256</v>
      </c>
      <c r="AK115">
        <v>27.24</v>
      </c>
      <c r="AL115">
        <v>27.302</v>
      </c>
      <c r="AM115">
        <v>27.378</v>
      </c>
      <c r="AN115">
        <v>27.472999999999999</v>
      </c>
    </row>
    <row r="116" spans="1:40" x14ac:dyDescent="0.25">
      <c r="A116" t="s">
        <v>237</v>
      </c>
      <c r="B116" t="s">
        <v>238</v>
      </c>
      <c r="C116" t="s">
        <v>9</v>
      </c>
      <c r="D116">
        <v>0</v>
      </c>
      <c r="E116">
        <v>55.162999999999997</v>
      </c>
      <c r="F116">
        <v>55.609000000000002</v>
      </c>
      <c r="G116">
        <v>56.13</v>
      </c>
      <c r="H116">
        <v>56.341999999999999</v>
      </c>
      <c r="I116">
        <v>56.465000000000003</v>
      </c>
      <c r="J116">
        <v>56.429000000000002</v>
      </c>
      <c r="K116">
        <v>56.786999999999999</v>
      </c>
      <c r="L116">
        <v>57.213999999999999</v>
      </c>
      <c r="M116">
        <v>57.667000000000002</v>
      </c>
      <c r="N116">
        <v>58.287999999999997</v>
      </c>
      <c r="O116">
        <v>58.951999999999998</v>
      </c>
      <c r="P116">
        <v>59.536999999999999</v>
      </c>
      <c r="Q116">
        <v>59.843000000000004</v>
      </c>
      <c r="R116">
        <v>59.914999999999999</v>
      </c>
      <c r="S116">
        <v>59.759</v>
      </c>
      <c r="T116">
        <v>59.523000000000003</v>
      </c>
      <c r="U116">
        <v>59.755000000000003</v>
      </c>
      <c r="V116">
        <v>59.953000000000003</v>
      </c>
      <c r="W116">
        <v>60.232999999999997</v>
      </c>
      <c r="X116">
        <v>60.136000000000003</v>
      </c>
      <c r="Y116">
        <v>60.276000000000003</v>
      </c>
      <c r="Z116">
        <v>60.533999999999999</v>
      </c>
      <c r="AA116">
        <v>61.08</v>
      </c>
      <c r="AB116">
        <v>61.037999999999997</v>
      </c>
      <c r="AC116">
        <v>60.271000000000001</v>
      </c>
      <c r="AD116">
        <v>60.755000000000003</v>
      </c>
      <c r="AE116">
        <v>60.816000000000003</v>
      </c>
      <c r="AF116">
        <v>60.887</v>
      </c>
      <c r="AG116">
        <v>61.139000000000003</v>
      </c>
      <c r="AH116">
        <v>61.655999999999999</v>
      </c>
      <c r="AI116">
        <v>61.776000000000003</v>
      </c>
      <c r="AJ116">
        <v>61.893999999999998</v>
      </c>
      <c r="AK116">
        <v>62.564999999999998</v>
      </c>
      <c r="AL116">
        <v>63.079000000000001</v>
      </c>
      <c r="AM116">
        <v>62.881999999999998</v>
      </c>
      <c r="AN116">
        <v>62.71</v>
      </c>
    </row>
    <row r="117" spans="1:40" x14ac:dyDescent="0.25">
      <c r="A117" t="s">
        <v>239</v>
      </c>
      <c r="B117" t="s">
        <v>240</v>
      </c>
      <c r="C117" t="s">
        <v>22</v>
      </c>
      <c r="D117">
        <v>0</v>
      </c>
      <c r="E117">
        <v>53.353999999999999</v>
      </c>
      <c r="F117">
        <v>53.665999999999997</v>
      </c>
      <c r="G117">
        <v>53.383000000000003</v>
      </c>
      <c r="H117">
        <v>53.290999999999997</v>
      </c>
      <c r="I117">
        <v>54.42</v>
      </c>
      <c r="J117">
        <v>55.188000000000002</v>
      </c>
      <c r="K117">
        <v>56.512</v>
      </c>
      <c r="L117">
        <v>56.404000000000003</v>
      </c>
      <c r="M117">
        <v>56.304000000000002</v>
      </c>
      <c r="N117">
        <v>56.624000000000002</v>
      </c>
      <c r="O117">
        <v>56.720999999999997</v>
      </c>
      <c r="P117">
        <v>57.604999999999997</v>
      </c>
      <c r="Q117">
        <v>58.305</v>
      </c>
      <c r="R117">
        <v>58.613999999999997</v>
      </c>
      <c r="S117">
        <v>59.106999999999999</v>
      </c>
      <c r="T117">
        <v>60.094999999999999</v>
      </c>
      <c r="U117">
        <v>60.655000000000001</v>
      </c>
      <c r="V117">
        <v>61.148000000000003</v>
      </c>
      <c r="W117">
        <v>61.45</v>
      </c>
      <c r="X117">
        <v>61.518999999999998</v>
      </c>
      <c r="Y117">
        <v>61.387</v>
      </c>
      <c r="Z117">
        <v>61.872999999999998</v>
      </c>
      <c r="AA117">
        <v>62.023000000000003</v>
      </c>
      <c r="AB117">
        <v>61.923000000000002</v>
      </c>
      <c r="AC117">
        <v>62.829000000000001</v>
      </c>
      <c r="AD117">
        <v>62.854999999999997</v>
      </c>
      <c r="AE117">
        <v>64.048000000000002</v>
      </c>
      <c r="AF117">
        <v>64.927999999999997</v>
      </c>
      <c r="AG117">
        <v>65.221000000000004</v>
      </c>
      <c r="AH117">
        <v>65.313999999999993</v>
      </c>
      <c r="AI117">
        <v>64.692999999999998</v>
      </c>
      <c r="AJ117">
        <v>65.596000000000004</v>
      </c>
      <c r="AK117">
        <v>66.366</v>
      </c>
      <c r="AL117">
        <v>66.921999999999997</v>
      </c>
      <c r="AM117">
        <v>66.254999999999995</v>
      </c>
      <c r="AN117">
        <v>66.076999999999998</v>
      </c>
    </row>
    <row r="118" spans="1:40" x14ac:dyDescent="0.25">
      <c r="A118" t="s">
        <v>241</v>
      </c>
      <c r="B118" t="s">
        <v>242</v>
      </c>
      <c r="C118" t="s">
        <v>17</v>
      </c>
      <c r="D118">
        <v>0</v>
      </c>
      <c r="E118">
        <v>33.026000000000003</v>
      </c>
      <c r="F118">
        <v>32.942</v>
      </c>
      <c r="G118">
        <v>32.908999999999999</v>
      </c>
      <c r="H118">
        <v>32.838999999999999</v>
      </c>
      <c r="I118">
        <v>33.024999999999999</v>
      </c>
      <c r="J118">
        <v>33.387999999999998</v>
      </c>
      <c r="K118">
        <v>33.694000000000003</v>
      </c>
      <c r="L118">
        <v>33.963000000000001</v>
      </c>
      <c r="M118">
        <v>34.241</v>
      </c>
      <c r="N118">
        <v>35.058</v>
      </c>
      <c r="O118">
        <v>35.884999999999998</v>
      </c>
      <c r="P118">
        <v>36.72</v>
      </c>
      <c r="Q118">
        <v>37.561999999999998</v>
      </c>
      <c r="R118">
        <v>38.408999999999999</v>
      </c>
      <c r="S118">
        <v>39.261000000000003</v>
      </c>
      <c r="T118">
        <v>40.118000000000002</v>
      </c>
      <c r="U118">
        <v>40.978999999999999</v>
      </c>
      <c r="V118">
        <v>41.843000000000004</v>
      </c>
      <c r="W118">
        <v>42.707999999999998</v>
      </c>
      <c r="X118">
        <v>43.576000000000001</v>
      </c>
      <c r="Y118">
        <v>44.445</v>
      </c>
      <c r="Z118">
        <v>45.316000000000003</v>
      </c>
      <c r="AA118">
        <v>46.189</v>
      </c>
      <c r="AB118">
        <v>47.063000000000002</v>
      </c>
      <c r="AC118">
        <v>47.936999999999998</v>
      </c>
      <c r="AD118">
        <v>48.341999999999999</v>
      </c>
      <c r="AE118">
        <v>48.728000000000002</v>
      </c>
      <c r="AF118">
        <v>49.116</v>
      </c>
      <c r="AG118">
        <v>48.851999999999997</v>
      </c>
      <c r="AH118">
        <v>48.634</v>
      </c>
      <c r="AI118">
        <v>48.119</v>
      </c>
      <c r="AJ118">
        <v>49.078000000000003</v>
      </c>
      <c r="AK118">
        <v>50.143999999999998</v>
      </c>
      <c r="AL118">
        <v>50.728000000000002</v>
      </c>
      <c r="AM118">
        <v>51.082000000000001</v>
      </c>
      <c r="AN118">
        <v>51.253</v>
      </c>
    </row>
    <row r="119" spans="1:40" x14ac:dyDescent="0.25">
      <c r="A119" t="s">
        <v>243</v>
      </c>
      <c r="B119" t="s">
        <v>244</v>
      </c>
      <c r="C119" t="s">
        <v>14</v>
      </c>
      <c r="D119">
        <v>0</v>
      </c>
      <c r="E119">
        <v>69.238</v>
      </c>
      <c r="F119">
        <v>69.230999999999995</v>
      </c>
      <c r="G119">
        <v>69.222999999999999</v>
      </c>
      <c r="H119">
        <v>69.215000000000003</v>
      </c>
      <c r="I119">
        <v>69.206000000000003</v>
      </c>
      <c r="J119">
        <v>69.194000000000003</v>
      </c>
      <c r="K119">
        <v>69.174000000000007</v>
      </c>
      <c r="L119">
        <v>69.141000000000005</v>
      </c>
      <c r="M119">
        <v>69.102000000000004</v>
      </c>
      <c r="N119">
        <v>69.057000000000002</v>
      </c>
      <c r="O119">
        <v>69.009</v>
      </c>
      <c r="P119">
        <v>68.957999999999998</v>
      </c>
      <c r="Q119">
        <v>68.906000000000006</v>
      </c>
      <c r="R119">
        <v>68.852000000000004</v>
      </c>
      <c r="S119">
        <v>68.798000000000002</v>
      </c>
      <c r="T119">
        <v>68.745999999999995</v>
      </c>
      <c r="U119">
        <v>68.697000000000003</v>
      </c>
      <c r="V119">
        <v>68.652000000000001</v>
      </c>
      <c r="W119">
        <v>68.611999999999995</v>
      </c>
      <c r="X119">
        <v>68.578000000000003</v>
      </c>
      <c r="Y119">
        <v>68.551000000000002</v>
      </c>
      <c r="Z119">
        <v>68.533000000000001</v>
      </c>
      <c r="AA119">
        <v>66.418999999999997</v>
      </c>
      <c r="AB119">
        <v>64.262</v>
      </c>
      <c r="AC119">
        <v>62.073999999999998</v>
      </c>
      <c r="AD119">
        <v>61.704999999999998</v>
      </c>
      <c r="AE119">
        <v>61.334000000000003</v>
      </c>
      <c r="AF119">
        <v>60.962000000000003</v>
      </c>
      <c r="AG119">
        <v>60.588999999999999</v>
      </c>
      <c r="AH119">
        <v>60.213999999999999</v>
      </c>
      <c r="AI119">
        <v>63.668999999999997</v>
      </c>
      <c r="AJ119">
        <v>67.799000000000007</v>
      </c>
      <c r="AK119">
        <v>72.608000000000004</v>
      </c>
      <c r="AL119">
        <v>72.501000000000005</v>
      </c>
      <c r="AM119">
        <v>72.787000000000006</v>
      </c>
      <c r="AN119">
        <v>72.775999999999996</v>
      </c>
    </row>
    <row r="120" spans="1:40" x14ac:dyDescent="0.25">
      <c r="A120" t="s">
        <v>245</v>
      </c>
      <c r="B120" t="s">
        <v>246</v>
      </c>
      <c r="C120" t="s">
        <v>14</v>
      </c>
      <c r="D120">
        <v>0</v>
      </c>
      <c r="E120">
        <v>74.632999999999996</v>
      </c>
      <c r="F120">
        <v>75.406000000000006</v>
      </c>
      <c r="G120">
        <v>76.263999999999996</v>
      </c>
      <c r="H120">
        <v>76.759</v>
      </c>
      <c r="I120">
        <v>77.540999999999997</v>
      </c>
      <c r="J120">
        <v>77.721000000000004</v>
      </c>
      <c r="K120">
        <v>77.554000000000002</v>
      </c>
      <c r="L120">
        <v>77.623999999999995</v>
      </c>
      <c r="M120">
        <v>77.552999999999997</v>
      </c>
      <c r="N120">
        <v>77.628</v>
      </c>
      <c r="O120">
        <v>77.552999999999997</v>
      </c>
      <c r="P120">
        <v>77.400000000000006</v>
      </c>
      <c r="Q120">
        <v>77.38</v>
      </c>
      <c r="R120">
        <v>77.134</v>
      </c>
      <c r="S120">
        <v>76.992999999999995</v>
      </c>
      <c r="T120">
        <v>76.754999999999995</v>
      </c>
      <c r="U120">
        <v>76.728999999999999</v>
      </c>
      <c r="V120">
        <v>76.709999999999994</v>
      </c>
      <c r="W120">
        <v>76.59</v>
      </c>
      <c r="X120">
        <v>76.451999999999998</v>
      </c>
      <c r="Y120">
        <v>76.356999999999999</v>
      </c>
      <c r="Z120">
        <v>75.936999999999998</v>
      </c>
      <c r="AA120">
        <v>75.915999999999997</v>
      </c>
      <c r="AB120">
        <v>75.766000000000005</v>
      </c>
      <c r="AC120">
        <v>75.662000000000006</v>
      </c>
      <c r="AD120">
        <v>75.759</v>
      </c>
      <c r="AE120">
        <v>75.887</v>
      </c>
      <c r="AF120">
        <v>76.156000000000006</v>
      </c>
      <c r="AG120">
        <v>76.355000000000004</v>
      </c>
      <c r="AH120">
        <v>76.596999999999994</v>
      </c>
      <c r="AI120">
        <v>74.894000000000005</v>
      </c>
      <c r="AJ120">
        <v>75.893000000000001</v>
      </c>
      <c r="AK120">
        <v>76.927000000000007</v>
      </c>
      <c r="AL120">
        <v>80.692999999999998</v>
      </c>
      <c r="AM120">
        <v>80.713999999999999</v>
      </c>
      <c r="AN120">
        <v>80.7</v>
      </c>
    </row>
    <row r="121" spans="1:40" x14ac:dyDescent="0.25">
      <c r="A121" t="s">
        <v>247</v>
      </c>
      <c r="B121" t="s">
        <v>248</v>
      </c>
      <c r="C121" t="s">
        <v>9</v>
      </c>
      <c r="D121">
        <v>0</v>
      </c>
      <c r="E121">
        <v>45.469000000000001</v>
      </c>
      <c r="F121">
        <v>45.665999999999997</v>
      </c>
      <c r="G121">
        <v>44.866</v>
      </c>
      <c r="H121">
        <v>44.088999999999999</v>
      </c>
      <c r="I121">
        <v>43.369</v>
      </c>
      <c r="J121">
        <v>42.735999999999997</v>
      </c>
      <c r="K121">
        <v>42.15</v>
      </c>
      <c r="L121">
        <v>41.527999999999999</v>
      </c>
      <c r="M121">
        <v>40.89</v>
      </c>
      <c r="N121">
        <v>40.274999999999999</v>
      </c>
      <c r="O121">
        <v>40.872999999999998</v>
      </c>
      <c r="P121">
        <v>41.162999999999997</v>
      </c>
      <c r="Q121">
        <v>41.436</v>
      </c>
      <c r="R121">
        <v>42.44</v>
      </c>
      <c r="S121">
        <v>42.49</v>
      </c>
      <c r="T121">
        <v>42.567</v>
      </c>
      <c r="U121">
        <v>41.555</v>
      </c>
      <c r="V121">
        <v>42.73</v>
      </c>
      <c r="W121">
        <v>42.32</v>
      </c>
      <c r="X121">
        <v>42.204999999999998</v>
      </c>
      <c r="Y121">
        <v>40.713999999999999</v>
      </c>
      <c r="Z121">
        <v>42.814999999999998</v>
      </c>
      <c r="AA121">
        <v>42.408000000000001</v>
      </c>
      <c r="AB121">
        <v>43.551000000000002</v>
      </c>
      <c r="AC121">
        <v>42.994999999999997</v>
      </c>
      <c r="AD121">
        <v>42.307000000000002</v>
      </c>
      <c r="AE121">
        <v>41.113999999999997</v>
      </c>
      <c r="AF121">
        <v>41.241</v>
      </c>
      <c r="AG121">
        <v>41.277000000000001</v>
      </c>
      <c r="AH121">
        <v>42.856000000000002</v>
      </c>
      <c r="AI121">
        <v>41.860999999999997</v>
      </c>
      <c r="AJ121">
        <v>40.930999999999997</v>
      </c>
      <c r="AK121">
        <v>42.206000000000003</v>
      </c>
      <c r="AL121">
        <v>42.158000000000001</v>
      </c>
      <c r="AM121">
        <v>42.884</v>
      </c>
      <c r="AN121">
        <v>42.741999999999997</v>
      </c>
    </row>
    <row r="122" spans="1:40" x14ac:dyDescent="0.25">
      <c r="A122" t="s">
        <v>249</v>
      </c>
      <c r="B122" t="s">
        <v>250</v>
      </c>
      <c r="C122" t="s">
        <v>9</v>
      </c>
      <c r="D122">
        <v>0</v>
      </c>
      <c r="E122">
        <v>52.774999999999999</v>
      </c>
      <c r="F122">
        <v>53.286999999999999</v>
      </c>
      <c r="G122">
        <v>53.796999999999997</v>
      </c>
      <c r="H122">
        <v>54.485999999999997</v>
      </c>
      <c r="I122">
        <v>55.448</v>
      </c>
      <c r="J122">
        <v>56.185000000000002</v>
      </c>
      <c r="K122">
        <v>57.433</v>
      </c>
      <c r="L122">
        <v>58.542999999999999</v>
      </c>
      <c r="M122">
        <v>59.561</v>
      </c>
      <c r="N122">
        <v>60.578000000000003</v>
      </c>
      <c r="O122">
        <v>61.265999999999998</v>
      </c>
      <c r="P122">
        <v>61.698999999999998</v>
      </c>
      <c r="Q122">
        <v>62.262</v>
      </c>
      <c r="R122">
        <v>62.564999999999998</v>
      </c>
      <c r="S122">
        <v>63.079000000000001</v>
      </c>
      <c r="T122">
        <v>63.317999999999998</v>
      </c>
      <c r="U122">
        <v>64.012</v>
      </c>
      <c r="V122">
        <v>64.497</v>
      </c>
      <c r="W122">
        <v>64.55</v>
      </c>
      <c r="X122">
        <v>64.319000000000003</v>
      </c>
      <c r="Y122">
        <v>63.773000000000003</v>
      </c>
      <c r="Z122">
        <v>63.764000000000003</v>
      </c>
      <c r="AA122">
        <v>63.542000000000002</v>
      </c>
      <c r="AB122">
        <v>63.593000000000004</v>
      </c>
      <c r="AC122">
        <v>63.176000000000002</v>
      </c>
      <c r="AD122">
        <v>63.204999999999998</v>
      </c>
      <c r="AE122">
        <v>62.972000000000001</v>
      </c>
      <c r="AF122">
        <v>62.637999999999998</v>
      </c>
      <c r="AG122">
        <v>62.625</v>
      </c>
      <c r="AH122">
        <v>62.64</v>
      </c>
      <c r="AI122">
        <v>62.481000000000002</v>
      </c>
      <c r="AJ122">
        <v>62.182000000000002</v>
      </c>
      <c r="AK122">
        <v>62.357999999999997</v>
      </c>
      <c r="AL122">
        <v>62.371000000000002</v>
      </c>
      <c r="AM122">
        <v>62.292000000000002</v>
      </c>
      <c r="AN122">
        <v>62.085999999999999</v>
      </c>
    </row>
    <row r="123" spans="1:40" x14ac:dyDescent="0.25">
      <c r="A123" t="s">
        <v>251</v>
      </c>
      <c r="B123" t="s">
        <v>252</v>
      </c>
      <c r="C123" t="s">
        <v>6</v>
      </c>
      <c r="D123">
        <v>0</v>
      </c>
      <c r="E123">
        <v>22.864000000000001</v>
      </c>
      <c r="F123">
        <v>23.01</v>
      </c>
      <c r="G123">
        <v>23.09</v>
      </c>
      <c r="H123">
        <v>23.228000000000002</v>
      </c>
      <c r="I123">
        <v>23.337</v>
      </c>
      <c r="J123">
        <v>23.34</v>
      </c>
      <c r="K123">
        <v>23.431000000000001</v>
      </c>
      <c r="L123">
        <v>23.445</v>
      </c>
      <c r="M123">
        <v>23.675000000000001</v>
      </c>
      <c r="N123">
        <v>23.896000000000001</v>
      </c>
      <c r="O123">
        <v>23.917000000000002</v>
      </c>
      <c r="P123">
        <v>23.986999999999998</v>
      </c>
      <c r="Q123">
        <v>24.260999999999999</v>
      </c>
      <c r="R123">
        <v>24.597000000000001</v>
      </c>
      <c r="S123">
        <v>24.75</v>
      </c>
      <c r="T123">
        <v>24.907</v>
      </c>
      <c r="U123">
        <v>25.111000000000001</v>
      </c>
      <c r="V123">
        <v>25.373000000000001</v>
      </c>
      <c r="W123">
        <v>25.695</v>
      </c>
      <c r="X123">
        <v>26.081</v>
      </c>
      <c r="Y123">
        <v>26.53</v>
      </c>
      <c r="Z123">
        <v>27.045000000000002</v>
      </c>
      <c r="AA123">
        <v>27.61</v>
      </c>
      <c r="AB123">
        <v>28.245000000000001</v>
      </c>
      <c r="AC123">
        <v>28.934999999999999</v>
      </c>
      <c r="AD123">
        <v>29.620999999999999</v>
      </c>
      <c r="AE123">
        <v>30.268999999999998</v>
      </c>
      <c r="AF123">
        <v>30.484000000000002</v>
      </c>
      <c r="AG123">
        <v>30.37</v>
      </c>
      <c r="AH123">
        <v>30.19</v>
      </c>
      <c r="AI123">
        <v>29.074000000000002</v>
      </c>
      <c r="AJ123">
        <v>29.564</v>
      </c>
      <c r="AK123">
        <v>30.795000000000002</v>
      </c>
      <c r="AL123">
        <v>30.321000000000002</v>
      </c>
      <c r="AM123">
        <v>30.061</v>
      </c>
      <c r="AN123">
        <v>29.957999999999998</v>
      </c>
    </row>
    <row r="124" spans="1:40" x14ac:dyDescent="0.25">
      <c r="A124" t="s">
        <v>253</v>
      </c>
      <c r="B124" t="s">
        <v>254</v>
      </c>
      <c r="C124" t="s">
        <v>6</v>
      </c>
      <c r="D124">
        <v>0</v>
      </c>
      <c r="E124">
        <v>11.195</v>
      </c>
      <c r="F124">
        <v>13.768000000000001</v>
      </c>
      <c r="G124">
        <v>13.795</v>
      </c>
      <c r="H124">
        <v>14.175000000000001</v>
      </c>
      <c r="I124">
        <v>14.476000000000001</v>
      </c>
      <c r="J124">
        <v>12.553000000000001</v>
      </c>
      <c r="K124">
        <v>13.706</v>
      </c>
      <c r="L124">
        <v>14.936</v>
      </c>
      <c r="M124">
        <v>15.244999999999999</v>
      </c>
      <c r="N124">
        <v>15.686</v>
      </c>
      <c r="O124">
        <v>16.13</v>
      </c>
      <c r="P124">
        <v>16.170000000000002</v>
      </c>
      <c r="Q124">
        <v>16.224</v>
      </c>
      <c r="R124">
        <v>16.995000000000001</v>
      </c>
      <c r="S124">
        <v>17.777000000000001</v>
      </c>
      <c r="T124">
        <v>18.347999999999999</v>
      </c>
      <c r="U124">
        <v>18.946999999999999</v>
      </c>
      <c r="V124">
        <v>19.308</v>
      </c>
      <c r="W124">
        <v>19.850999999999999</v>
      </c>
      <c r="X124">
        <v>20.98</v>
      </c>
      <c r="Y124">
        <v>22.036000000000001</v>
      </c>
      <c r="Z124">
        <v>22.228000000000002</v>
      </c>
      <c r="AA124">
        <v>22.507999999999999</v>
      </c>
      <c r="AB124">
        <v>22.79</v>
      </c>
      <c r="AC124">
        <v>22.986999999999998</v>
      </c>
      <c r="AD124">
        <v>23.983000000000001</v>
      </c>
      <c r="AE124">
        <v>23.161999999999999</v>
      </c>
      <c r="AF124">
        <v>22.358000000000001</v>
      </c>
      <c r="AG124">
        <v>21.571000000000002</v>
      </c>
      <c r="AH124">
        <v>23.241</v>
      </c>
      <c r="AI124">
        <v>23.405999999999999</v>
      </c>
      <c r="AJ124">
        <v>24.364999999999998</v>
      </c>
      <c r="AK124">
        <v>24.027000000000001</v>
      </c>
      <c r="AL124">
        <v>23.997</v>
      </c>
      <c r="AM124">
        <v>23.989000000000001</v>
      </c>
      <c r="AN124">
        <v>24.045999999999999</v>
      </c>
    </row>
    <row r="125" spans="1:40" x14ac:dyDescent="0.25">
      <c r="A125" t="s">
        <v>255</v>
      </c>
      <c r="B125" t="s">
        <v>256</v>
      </c>
      <c r="C125" t="s">
        <v>17</v>
      </c>
      <c r="D125">
        <v>0</v>
      </c>
      <c r="E125">
        <v>32.404000000000003</v>
      </c>
      <c r="F125">
        <v>37.691000000000003</v>
      </c>
      <c r="G125">
        <v>38.658999999999999</v>
      </c>
      <c r="H125">
        <v>39.627000000000002</v>
      </c>
      <c r="I125">
        <v>40.445999999999998</v>
      </c>
      <c r="J125">
        <v>41.433999999999997</v>
      </c>
      <c r="K125">
        <v>41.898000000000003</v>
      </c>
      <c r="L125">
        <v>42.378</v>
      </c>
      <c r="M125">
        <v>44.198</v>
      </c>
      <c r="N125">
        <v>44.073999999999998</v>
      </c>
      <c r="O125">
        <v>44.853000000000002</v>
      </c>
      <c r="P125">
        <v>45.634</v>
      </c>
      <c r="Q125">
        <v>46.414000000000001</v>
      </c>
      <c r="R125">
        <v>46.927</v>
      </c>
      <c r="S125">
        <v>47.255000000000003</v>
      </c>
      <c r="T125">
        <v>47.954000000000001</v>
      </c>
      <c r="U125">
        <v>46.8</v>
      </c>
      <c r="V125">
        <v>47.576000000000001</v>
      </c>
      <c r="W125">
        <v>48.585999999999999</v>
      </c>
      <c r="X125">
        <v>47.012999999999998</v>
      </c>
      <c r="Y125">
        <v>48.359000000000002</v>
      </c>
      <c r="Z125">
        <v>46.158999999999999</v>
      </c>
      <c r="AA125">
        <v>48.670999999999999</v>
      </c>
      <c r="AB125">
        <v>50.207999999999998</v>
      </c>
      <c r="AC125">
        <v>50.661000000000001</v>
      </c>
      <c r="AD125">
        <v>51.484999999999999</v>
      </c>
      <c r="AE125">
        <v>52.16</v>
      </c>
      <c r="AF125">
        <v>52.246000000000002</v>
      </c>
      <c r="AG125">
        <v>54.500999999999998</v>
      </c>
      <c r="AH125">
        <v>56.344999999999999</v>
      </c>
      <c r="AI125">
        <v>55.932000000000002</v>
      </c>
      <c r="AJ125">
        <v>48.893999999999998</v>
      </c>
      <c r="AK125">
        <v>52.137</v>
      </c>
      <c r="AL125">
        <v>52.694000000000003</v>
      </c>
      <c r="AM125">
        <v>54.832000000000001</v>
      </c>
      <c r="AN125">
        <v>54.936</v>
      </c>
    </row>
    <row r="126" spans="1:40" x14ac:dyDescent="0.25">
      <c r="A126" t="s">
        <v>257</v>
      </c>
      <c r="B126" t="s">
        <v>258</v>
      </c>
      <c r="C126" t="s">
        <v>22</v>
      </c>
      <c r="D126">
        <v>0</v>
      </c>
      <c r="E126">
        <v>48.134</v>
      </c>
      <c r="F126">
        <v>47.899000000000001</v>
      </c>
      <c r="G126">
        <v>47.548000000000002</v>
      </c>
      <c r="H126">
        <v>47.103000000000002</v>
      </c>
      <c r="I126">
        <v>47.036000000000001</v>
      </c>
      <c r="J126">
        <v>47.264000000000003</v>
      </c>
      <c r="K126">
        <v>47.137999999999998</v>
      </c>
      <c r="L126">
        <v>47.392000000000003</v>
      </c>
      <c r="M126">
        <v>47.655000000000001</v>
      </c>
      <c r="N126">
        <v>47.716999999999999</v>
      </c>
      <c r="O126">
        <v>47.944000000000003</v>
      </c>
      <c r="P126">
        <v>48.082999999999998</v>
      </c>
      <c r="Q126">
        <v>48.223999999999997</v>
      </c>
      <c r="R126">
        <v>48.271999999999998</v>
      </c>
      <c r="S126">
        <v>48.296999999999997</v>
      </c>
      <c r="T126">
        <v>48.177999999999997</v>
      </c>
      <c r="U126">
        <v>48.094999999999999</v>
      </c>
      <c r="V126">
        <v>47.923000000000002</v>
      </c>
      <c r="W126">
        <v>48.055999999999997</v>
      </c>
      <c r="X126">
        <v>47.918999999999997</v>
      </c>
      <c r="Y126">
        <v>47.67</v>
      </c>
      <c r="Z126">
        <v>48.064999999999998</v>
      </c>
      <c r="AA126">
        <v>48.328000000000003</v>
      </c>
      <c r="AB126">
        <v>48.616999999999997</v>
      </c>
      <c r="AC126">
        <v>48.584000000000003</v>
      </c>
      <c r="AD126">
        <v>48.779000000000003</v>
      </c>
      <c r="AE126">
        <v>49.008000000000003</v>
      </c>
      <c r="AF126">
        <v>49.296999999999997</v>
      </c>
      <c r="AG126">
        <v>49.709000000000003</v>
      </c>
      <c r="AH126">
        <v>49.962000000000003</v>
      </c>
      <c r="AI126">
        <v>49.808999999999997</v>
      </c>
      <c r="AJ126">
        <v>50.567</v>
      </c>
      <c r="AK126">
        <v>50.645000000000003</v>
      </c>
      <c r="AL126">
        <v>50.643999999999998</v>
      </c>
      <c r="AM126">
        <v>50.697000000000003</v>
      </c>
      <c r="AN126">
        <v>50.822000000000003</v>
      </c>
    </row>
    <row r="127" spans="1:40" x14ac:dyDescent="0.25">
      <c r="A127" t="s">
        <v>259</v>
      </c>
      <c r="B127" t="s">
        <v>260</v>
      </c>
      <c r="C127" t="s">
        <v>17</v>
      </c>
      <c r="D127">
        <v>0</v>
      </c>
      <c r="E127">
        <v>51.305</v>
      </c>
      <c r="F127">
        <v>51.201000000000001</v>
      </c>
      <c r="G127">
        <v>50.963999999999999</v>
      </c>
      <c r="H127">
        <v>51.198</v>
      </c>
      <c r="I127">
        <v>51.533999999999999</v>
      </c>
      <c r="J127">
        <v>52.094000000000001</v>
      </c>
      <c r="K127">
        <v>52.069000000000003</v>
      </c>
      <c r="L127">
        <v>52.406999999999996</v>
      </c>
      <c r="M127">
        <v>52.264000000000003</v>
      </c>
      <c r="N127">
        <v>51.984999999999999</v>
      </c>
      <c r="O127">
        <v>51.652999999999999</v>
      </c>
      <c r="P127">
        <v>51.597999999999999</v>
      </c>
      <c r="Q127">
        <v>51.723999999999997</v>
      </c>
      <c r="R127">
        <v>51.514000000000003</v>
      </c>
      <c r="S127">
        <v>56.881999999999998</v>
      </c>
      <c r="T127">
        <v>55.652999999999999</v>
      </c>
      <c r="U127">
        <v>50.993000000000002</v>
      </c>
      <c r="V127">
        <v>54.017000000000003</v>
      </c>
      <c r="W127">
        <v>53.755000000000003</v>
      </c>
      <c r="X127">
        <v>55.125999999999998</v>
      </c>
      <c r="Y127">
        <v>53.036000000000001</v>
      </c>
      <c r="Z127">
        <v>54.453000000000003</v>
      </c>
      <c r="AA127">
        <v>59.860999999999997</v>
      </c>
      <c r="AB127">
        <v>57.676000000000002</v>
      </c>
      <c r="AC127">
        <v>54.387999999999998</v>
      </c>
      <c r="AD127">
        <v>54.826999999999998</v>
      </c>
      <c r="AE127">
        <v>56.466000000000001</v>
      </c>
      <c r="AF127">
        <v>57.843000000000004</v>
      </c>
      <c r="AG127">
        <v>59.414000000000001</v>
      </c>
      <c r="AH127">
        <v>60.256</v>
      </c>
      <c r="AI127">
        <v>57.104999999999997</v>
      </c>
      <c r="AJ127">
        <v>59.85</v>
      </c>
      <c r="AK127">
        <v>58.985999999999997</v>
      </c>
      <c r="AL127">
        <v>58.994</v>
      </c>
      <c r="AM127">
        <v>58.944000000000003</v>
      </c>
      <c r="AN127">
        <v>59.011000000000003</v>
      </c>
    </row>
    <row r="128" spans="1:40" x14ac:dyDescent="0.25">
      <c r="A128" t="s">
        <v>261</v>
      </c>
      <c r="B128" t="s">
        <v>262</v>
      </c>
      <c r="C128" t="s">
        <v>17</v>
      </c>
      <c r="D128">
        <v>0</v>
      </c>
      <c r="E128">
        <v>43.738999999999997</v>
      </c>
      <c r="F128">
        <v>43.703000000000003</v>
      </c>
      <c r="G128">
        <v>43.393000000000001</v>
      </c>
      <c r="H128">
        <v>44.734000000000002</v>
      </c>
      <c r="I128">
        <v>46.073999999999998</v>
      </c>
      <c r="J128">
        <v>49.1</v>
      </c>
      <c r="K128">
        <v>51.655000000000001</v>
      </c>
      <c r="L128">
        <v>54.186</v>
      </c>
      <c r="M128">
        <v>54.984999999999999</v>
      </c>
      <c r="N128">
        <v>57.65</v>
      </c>
      <c r="O128">
        <v>53.527999999999999</v>
      </c>
      <c r="P128">
        <v>58.578000000000003</v>
      </c>
      <c r="Q128">
        <v>60.045000000000002</v>
      </c>
      <c r="R128">
        <v>61.491</v>
      </c>
      <c r="S128">
        <v>62.914999999999999</v>
      </c>
      <c r="T128">
        <v>64.314999999999998</v>
      </c>
      <c r="U128">
        <v>67.540000000000006</v>
      </c>
      <c r="V128">
        <v>70.087000000000003</v>
      </c>
      <c r="W128">
        <v>70.266000000000005</v>
      </c>
      <c r="X128">
        <v>70.561000000000007</v>
      </c>
      <c r="Y128">
        <v>72.013999999999996</v>
      </c>
      <c r="Z128">
        <v>71.204999999999998</v>
      </c>
      <c r="AA128">
        <v>70.91</v>
      </c>
      <c r="AB128">
        <v>70.2</v>
      </c>
      <c r="AC128">
        <v>69.302000000000007</v>
      </c>
      <c r="AD128">
        <v>67.656999999999996</v>
      </c>
      <c r="AE128">
        <v>67.721000000000004</v>
      </c>
      <c r="AF128">
        <v>69.388000000000005</v>
      </c>
      <c r="AG128">
        <v>69.849999999999994</v>
      </c>
      <c r="AH128">
        <v>70.043999999999997</v>
      </c>
      <c r="AI128">
        <v>59.863999999999997</v>
      </c>
      <c r="AJ128">
        <v>64.844999999999999</v>
      </c>
      <c r="AK128">
        <v>66.724999999999994</v>
      </c>
      <c r="AL128">
        <v>65.082999999999998</v>
      </c>
      <c r="AM128">
        <v>64.938999999999993</v>
      </c>
      <c r="AN128">
        <v>65.043999999999997</v>
      </c>
    </row>
    <row r="129" spans="1:40" x14ac:dyDescent="0.25">
      <c r="A129" t="s">
        <v>263</v>
      </c>
      <c r="B129" t="s">
        <v>264</v>
      </c>
      <c r="C129" t="s">
        <v>22</v>
      </c>
      <c r="D129">
        <v>0</v>
      </c>
      <c r="E129">
        <v>47.351999999999997</v>
      </c>
      <c r="F129">
        <v>47.429000000000002</v>
      </c>
      <c r="G129">
        <v>47.48</v>
      </c>
      <c r="H129">
        <v>47.482999999999997</v>
      </c>
      <c r="I129">
        <v>47.432000000000002</v>
      </c>
      <c r="J129">
        <v>47.374000000000002</v>
      </c>
      <c r="K129">
        <v>47.279000000000003</v>
      </c>
      <c r="L129">
        <v>47.204000000000001</v>
      </c>
      <c r="M129">
        <v>47.268999999999998</v>
      </c>
      <c r="N129">
        <v>47.234000000000002</v>
      </c>
      <c r="O129">
        <v>47.176000000000002</v>
      </c>
      <c r="P129">
        <v>47.148000000000003</v>
      </c>
      <c r="Q129">
        <v>47.107999999999997</v>
      </c>
      <c r="R129">
        <v>47.033999999999999</v>
      </c>
      <c r="S129">
        <v>46.710999999999999</v>
      </c>
      <c r="T129">
        <v>47.448999999999998</v>
      </c>
      <c r="U129">
        <v>47.6</v>
      </c>
      <c r="V129">
        <v>47.604999999999997</v>
      </c>
      <c r="W129">
        <v>47.063000000000002</v>
      </c>
      <c r="X129">
        <v>47.866</v>
      </c>
      <c r="Y129">
        <v>48.119</v>
      </c>
      <c r="Z129">
        <v>48.935000000000002</v>
      </c>
      <c r="AA129">
        <v>48.459000000000003</v>
      </c>
      <c r="AB129">
        <v>48.338000000000001</v>
      </c>
      <c r="AC129">
        <v>49.121000000000002</v>
      </c>
      <c r="AD129">
        <v>48.67</v>
      </c>
      <c r="AE129">
        <v>48.19</v>
      </c>
      <c r="AF129">
        <v>45.045000000000002</v>
      </c>
      <c r="AG129">
        <v>45.531999999999996</v>
      </c>
      <c r="AH129">
        <v>46.566000000000003</v>
      </c>
      <c r="AI129">
        <v>42.674999999999997</v>
      </c>
      <c r="AJ129">
        <v>44.203000000000003</v>
      </c>
      <c r="AK129">
        <v>50.38</v>
      </c>
      <c r="AL129">
        <v>50.445</v>
      </c>
      <c r="AM129">
        <v>50.511000000000003</v>
      </c>
      <c r="AN129">
        <v>50.488999999999997</v>
      </c>
    </row>
    <row r="130" spans="1:40" x14ac:dyDescent="0.25">
      <c r="A130" t="s">
        <v>265</v>
      </c>
      <c r="B130" t="s">
        <v>266</v>
      </c>
      <c r="C130" t="s">
        <v>9</v>
      </c>
      <c r="D130">
        <v>0</v>
      </c>
      <c r="E130">
        <v>53.509</v>
      </c>
      <c r="F130">
        <v>53.616</v>
      </c>
      <c r="G130">
        <v>53.345999999999997</v>
      </c>
      <c r="H130">
        <v>52.826000000000001</v>
      </c>
      <c r="I130">
        <v>52.502000000000002</v>
      </c>
      <c r="J130">
        <v>51.457999999999998</v>
      </c>
      <c r="K130">
        <v>50.86</v>
      </c>
      <c r="L130">
        <v>49.805</v>
      </c>
      <c r="M130">
        <v>49.533000000000001</v>
      </c>
      <c r="N130">
        <v>49.180999999999997</v>
      </c>
      <c r="O130">
        <v>48.628999999999998</v>
      </c>
      <c r="P130">
        <v>49.542000000000002</v>
      </c>
      <c r="Q130">
        <v>48.686</v>
      </c>
      <c r="R130">
        <v>48.244999999999997</v>
      </c>
      <c r="S130">
        <v>47.719000000000001</v>
      </c>
      <c r="T130">
        <v>47.652999999999999</v>
      </c>
      <c r="U130">
        <v>46.917000000000002</v>
      </c>
      <c r="V130">
        <v>46.706000000000003</v>
      </c>
      <c r="W130">
        <v>47.116999999999997</v>
      </c>
      <c r="X130">
        <v>47.813000000000002</v>
      </c>
      <c r="Y130">
        <v>48.878999999999998</v>
      </c>
      <c r="Z130">
        <v>48.966999999999999</v>
      </c>
      <c r="AA130">
        <v>49.353999999999999</v>
      </c>
      <c r="AB130">
        <v>49.226999999999997</v>
      </c>
      <c r="AC130">
        <v>49.533999999999999</v>
      </c>
      <c r="AD130">
        <v>49.527000000000001</v>
      </c>
      <c r="AE130">
        <v>49.64</v>
      </c>
      <c r="AF130">
        <v>49.756999999999998</v>
      </c>
      <c r="AG130">
        <v>49.856999999999999</v>
      </c>
      <c r="AH130">
        <v>49.595999999999997</v>
      </c>
      <c r="AI130">
        <v>49.332999999999998</v>
      </c>
      <c r="AJ130">
        <v>50.969000000000001</v>
      </c>
      <c r="AK130">
        <v>51.594000000000001</v>
      </c>
      <c r="AL130">
        <v>52.209000000000003</v>
      </c>
      <c r="AM130">
        <v>51.912999999999997</v>
      </c>
      <c r="AN130">
        <v>51.612000000000002</v>
      </c>
    </row>
    <row r="131" spans="1:40" x14ac:dyDescent="0.25">
      <c r="A131" t="s">
        <v>267</v>
      </c>
      <c r="B131" t="s">
        <v>268</v>
      </c>
      <c r="C131" t="s">
        <v>9</v>
      </c>
      <c r="D131">
        <v>0</v>
      </c>
      <c r="E131">
        <v>48.05</v>
      </c>
      <c r="F131">
        <v>50.134</v>
      </c>
      <c r="G131">
        <v>48.597999999999999</v>
      </c>
      <c r="H131">
        <v>48.802999999999997</v>
      </c>
      <c r="I131">
        <v>49.148000000000003</v>
      </c>
      <c r="J131">
        <v>49.08</v>
      </c>
      <c r="K131">
        <v>49.536000000000001</v>
      </c>
      <c r="L131">
        <v>50.473999999999997</v>
      </c>
      <c r="M131">
        <v>51.886000000000003</v>
      </c>
      <c r="N131">
        <v>52.28</v>
      </c>
      <c r="O131">
        <v>52.728000000000002</v>
      </c>
      <c r="P131">
        <v>53.478000000000002</v>
      </c>
      <c r="Q131">
        <v>54.08</v>
      </c>
      <c r="R131">
        <v>54.783000000000001</v>
      </c>
      <c r="S131">
        <v>54.28</v>
      </c>
      <c r="T131">
        <v>55.268999999999998</v>
      </c>
      <c r="U131">
        <v>55.517000000000003</v>
      </c>
      <c r="V131">
        <v>55.918999999999997</v>
      </c>
      <c r="W131">
        <v>55.786999999999999</v>
      </c>
      <c r="X131">
        <v>55.59</v>
      </c>
      <c r="Y131">
        <v>55.835000000000001</v>
      </c>
      <c r="Z131">
        <v>54.621000000000002</v>
      </c>
      <c r="AA131">
        <v>54.673999999999999</v>
      </c>
      <c r="AB131">
        <v>54.156999999999996</v>
      </c>
      <c r="AC131">
        <v>53.777000000000001</v>
      </c>
      <c r="AD131">
        <v>53.7</v>
      </c>
      <c r="AE131">
        <v>53.484000000000002</v>
      </c>
      <c r="AF131">
        <v>54.027999999999999</v>
      </c>
      <c r="AG131">
        <v>54.337000000000003</v>
      </c>
      <c r="AH131">
        <v>54.511000000000003</v>
      </c>
      <c r="AI131">
        <v>53.156999999999996</v>
      </c>
      <c r="AJ131">
        <v>52.886000000000003</v>
      </c>
      <c r="AK131">
        <v>53.798999999999999</v>
      </c>
      <c r="AL131">
        <v>54.719000000000001</v>
      </c>
      <c r="AM131">
        <v>54.887999999999998</v>
      </c>
      <c r="AN131">
        <v>54.628</v>
      </c>
    </row>
    <row r="132" spans="1:40" x14ac:dyDescent="0.25">
      <c r="A132" t="s">
        <v>269</v>
      </c>
      <c r="B132" t="s">
        <v>270</v>
      </c>
      <c r="C132" t="s">
        <v>17</v>
      </c>
      <c r="D132">
        <v>0</v>
      </c>
      <c r="E132">
        <v>30.609000000000002</v>
      </c>
      <c r="F132">
        <v>31.167999999999999</v>
      </c>
      <c r="G132">
        <v>31.925999999999998</v>
      </c>
      <c r="H132">
        <v>33.963000000000001</v>
      </c>
      <c r="I132">
        <v>33.723999999999997</v>
      </c>
      <c r="J132">
        <v>33.488</v>
      </c>
      <c r="K132">
        <v>33.969000000000001</v>
      </c>
      <c r="L132">
        <v>34.868000000000002</v>
      </c>
      <c r="M132">
        <v>34.741999999999997</v>
      </c>
      <c r="N132">
        <v>36.372</v>
      </c>
      <c r="O132">
        <v>34.734000000000002</v>
      </c>
      <c r="P132">
        <v>35.359000000000002</v>
      </c>
      <c r="Q132">
        <v>35.99</v>
      </c>
      <c r="R132">
        <v>36.728000000000002</v>
      </c>
      <c r="S132">
        <v>36.234999999999999</v>
      </c>
      <c r="T132">
        <v>37.572000000000003</v>
      </c>
      <c r="U132">
        <v>37.920999999999999</v>
      </c>
      <c r="V132">
        <v>37.020000000000003</v>
      </c>
      <c r="W132">
        <v>36.165999999999997</v>
      </c>
      <c r="X132">
        <v>34.884</v>
      </c>
      <c r="Y132">
        <v>33.856000000000002</v>
      </c>
      <c r="Z132">
        <v>33.027999999999999</v>
      </c>
      <c r="AA132">
        <v>32.758000000000003</v>
      </c>
      <c r="AB132">
        <v>32.484000000000002</v>
      </c>
      <c r="AC132">
        <v>31.866</v>
      </c>
      <c r="AD132">
        <v>31.876000000000001</v>
      </c>
      <c r="AE132">
        <v>32.231000000000002</v>
      </c>
      <c r="AF132">
        <v>32.497999999999998</v>
      </c>
      <c r="AG132">
        <v>32.997</v>
      </c>
      <c r="AH132">
        <v>33.290999999999997</v>
      </c>
      <c r="AI132">
        <v>33.796999999999997</v>
      </c>
      <c r="AJ132">
        <v>35.6</v>
      </c>
      <c r="AK132">
        <v>35.915999999999997</v>
      </c>
      <c r="AL132">
        <v>36.29</v>
      </c>
      <c r="AM132">
        <v>36.680999999999997</v>
      </c>
      <c r="AN132">
        <v>36.853000000000002</v>
      </c>
    </row>
    <row r="133" spans="1:40" x14ac:dyDescent="0.25">
      <c r="A133" t="s">
        <v>271</v>
      </c>
      <c r="B133" t="s">
        <v>272</v>
      </c>
      <c r="C133" t="s">
        <v>6</v>
      </c>
      <c r="D133">
        <v>0</v>
      </c>
      <c r="E133">
        <v>50.381999999999998</v>
      </c>
      <c r="F133">
        <v>51.01</v>
      </c>
      <c r="G133">
        <v>50.511000000000003</v>
      </c>
      <c r="H133">
        <v>51.085000000000001</v>
      </c>
      <c r="I133">
        <v>51.36</v>
      </c>
      <c r="J133">
        <v>51.508000000000003</v>
      </c>
      <c r="K133">
        <v>51.451000000000001</v>
      </c>
      <c r="L133">
        <v>49.179000000000002</v>
      </c>
      <c r="M133">
        <v>48.624000000000002</v>
      </c>
      <c r="N133">
        <v>48.920999999999999</v>
      </c>
      <c r="O133">
        <v>48.853000000000002</v>
      </c>
      <c r="P133">
        <v>49.246000000000002</v>
      </c>
      <c r="Q133">
        <v>49.253</v>
      </c>
      <c r="R133">
        <v>49.618000000000002</v>
      </c>
      <c r="S133">
        <v>47.904000000000003</v>
      </c>
      <c r="T133">
        <v>47.704000000000001</v>
      </c>
      <c r="U133">
        <v>47.426000000000002</v>
      </c>
      <c r="V133">
        <v>49.405000000000001</v>
      </c>
      <c r="W133">
        <v>49.177</v>
      </c>
      <c r="X133">
        <v>49.08</v>
      </c>
      <c r="Y133">
        <v>50.779000000000003</v>
      </c>
      <c r="Z133">
        <v>52.429000000000002</v>
      </c>
      <c r="AA133">
        <v>52.914000000000001</v>
      </c>
      <c r="AB133">
        <v>53.302</v>
      </c>
      <c r="AC133">
        <v>54.570999999999998</v>
      </c>
      <c r="AD133">
        <v>55.988</v>
      </c>
      <c r="AE133">
        <v>56.79</v>
      </c>
      <c r="AF133">
        <v>57.570999999999998</v>
      </c>
      <c r="AG133">
        <v>58.369</v>
      </c>
      <c r="AH133">
        <v>59.082999999999998</v>
      </c>
      <c r="AI133">
        <v>59.451999999999998</v>
      </c>
      <c r="AJ133">
        <v>60.582000000000001</v>
      </c>
      <c r="AK133">
        <v>63.54</v>
      </c>
      <c r="AL133">
        <v>63.308</v>
      </c>
      <c r="AM133">
        <v>61.78</v>
      </c>
      <c r="AN133">
        <v>61.85</v>
      </c>
    </row>
    <row r="134" spans="1:40" x14ac:dyDescent="0.25">
      <c r="A134" t="s">
        <v>273</v>
      </c>
      <c r="B134" t="s">
        <v>274</v>
      </c>
      <c r="C134" t="s">
        <v>9</v>
      </c>
      <c r="D134">
        <v>0</v>
      </c>
      <c r="E134">
        <v>41.399000000000001</v>
      </c>
      <c r="F134">
        <v>41.558999999999997</v>
      </c>
      <c r="G134">
        <v>41.908999999999999</v>
      </c>
      <c r="H134">
        <v>41.957999999999998</v>
      </c>
      <c r="I134">
        <v>41.85</v>
      </c>
      <c r="J134">
        <v>41.634999999999998</v>
      </c>
      <c r="K134">
        <v>41.57</v>
      </c>
      <c r="L134">
        <v>41.872999999999998</v>
      </c>
      <c r="M134">
        <v>42.124000000000002</v>
      </c>
      <c r="N134">
        <v>42.305</v>
      </c>
      <c r="O134">
        <v>42.360999999999997</v>
      </c>
      <c r="P134">
        <v>42.249000000000002</v>
      </c>
      <c r="Q134">
        <v>42.143000000000001</v>
      </c>
      <c r="R134">
        <v>42.148000000000003</v>
      </c>
      <c r="S134">
        <v>42.091000000000001</v>
      </c>
      <c r="T134">
        <v>42.069000000000003</v>
      </c>
      <c r="U134">
        <v>42.201999999999998</v>
      </c>
      <c r="V134">
        <v>42.447000000000003</v>
      </c>
      <c r="W134">
        <v>42.91</v>
      </c>
      <c r="X134">
        <v>38.904000000000003</v>
      </c>
      <c r="Y134">
        <v>41.865000000000002</v>
      </c>
      <c r="Z134">
        <v>41.865000000000002</v>
      </c>
      <c r="AA134">
        <v>41.762999999999998</v>
      </c>
      <c r="AB134">
        <v>41.706000000000003</v>
      </c>
      <c r="AC134">
        <v>42.048999999999999</v>
      </c>
      <c r="AD134">
        <v>42.472999999999999</v>
      </c>
      <c r="AE134">
        <v>42.122999999999998</v>
      </c>
      <c r="AF134">
        <v>43.174999999999997</v>
      </c>
      <c r="AG134">
        <v>42.932000000000002</v>
      </c>
      <c r="AH134">
        <v>42.957999999999998</v>
      </c>
      <c r="AI134">
        <v>42.741999999999997</v>
      </c>
      <c r="AJ134">
        <v>42.750999999999998</v>
      </c>
      <c r="AK134">
        <v>43.222999999999999</v>
      </c>
      <c r="AL134">
        <v>42.171999999999997</v>
      </c>
      <c r="AM134">
        <v>41.904000000000003</v>
      </c>
      <c r="AN134">
        <v>41.807000000000002</v>
      </c>
    </row>
    <row r="135" spans="1:40" x14ac:dyDescent="0.25">
      <c r="A135" t="s">
        <v>275</v>
      </c>
      <c r="B135" t="s">
        <v>276</v>
      </c>
      <c r="C135" t="s">
        <v>9</v>
      </c>
      <c r="D135">
        <v>0</v>
      </c>
      <c r="E135">
        <v>59.954999999999998</v>
      </c>
      <c r="F135">
        <v>59.301000000000002</v>
      </c>
      <c r="G135">
        <v>58.014000000000003</v>
      </c>
      <c r="H135">
        <v>55.963000000000001</v>
      </c>
      <c r="I135">
        <v>54.033999999999999</v>
      </c>
      <c r="J135">
        <v>53.582000000000001</v>
      </c>
      <c r="K135">
        <v>52.734999999999999</v>
      </c>
      <c r="L135">
        <v>51.71</v>
      </c>
      <c r="M135">
        <v>51.030999999999999</v>
      </c>
      <c r="N135">
        <v>54.487000000000002</v>
      </c>
      <c r="O135">
        <v>54.658999999999999</v>
      </c>
      <c r="P135">
        <v>53.51</v>
      </c>
      <c r="Q135">
        <v>54.308</v>
      </c>
      <c r="R135">
        <v>54.12</v>
      </c>
      <c r="S135">
        <v>54.719000000000001</v>
      </c>
      <c r="T135">
        <v>55.155000000000001</v>
      </c>
      <c r="U135">
        <v>55.582999999999998</v>
      </c>
      <c r="V135">
        <v>56.152000000000001</v>
      </c>
      <c r="W135">
        <v>56.158999999999999</v>
      </c>
      <c r="X135">
        <v>56.351999999999997</v>
      </c>
      <c r="Y135">
        <v>56.018999999999998</v>
      </c>
      <c r="Z135">
        <v>56.335999999999999</v>
      </c>
      <c r="AA135">
        <v>56.271999999999998</v>
      </c>
      <c r="AB135">
        <v>55.984999999999999</v>
      </c>
      <c r="AC135">
        <v>55.857999999999997</v>
      </c>
      <c r="AD135">
        <v>55.555</v>
      </c>
      <c r="AE135">
        <v>55.683999999999997</v>
      </c>
      <c r="AF135">
        <v>55.335000000000001</v>
      </c>
      <c r="AG135">
        <v>55.415999999999997</v>
      </c>
      <c r="AH135">
        <v>54.793999999999997</v>
      </c>
      <c r="AI135">
        <v>54.63</v>
      </c>
      <c r="AJ135">
        <v>55.131999999999998</v>
      </c>
      <c r="AK135">
        <v>55.3</v>
      </c>
      <c r="AL135">
        <v>55.363</v>
      </c>
      <c r="AM135">
        <v>55.213999999999999</v>
      </c>
      <c r="AN135">
        <v>54.545999999999999</v>
      </c>
    </row>
    <row r="136" spans="1:40" x14ac:dyDescent="0.25">
      <c r="A136" t="s">
        <v>277</v>
      </c>
      <c r="B136" t="s">
        <v>278</v>
      </c>
      <c r="C136" t="s">
        <v>14</v>
      </c>
      <c r="D136">
        <v>1</v>
      </c>
      <c r="E136">
        <v>51.773000000000003</v>
      </c>
      <c r="F136">
        <v>51.798999999999999</v>
      </c>
      <c r="G136">
        <v>51.878999999999998</v>
      </c>
      <c r="H136">
        <v>51.975000000000001</v>
      </c>
      <c r="I136">
        <v>51.81</v>
      </c>
      <c r="J136">
        <v>51.76</v>
      </c>
      <c r="K136">
        <v>51.933999999999997</v>
      </c>
      <c r="L136">
        <v>52.116999999999997</v>
      </c>
      <c r="M136">
        <v>52.39</v>
      </c>
      <c r="N136">
        <v>52.737000000000002</v>
      </c>
      <c r="O136">
        <v>53.087000000000003</v>
      </c>
      <c r="P136">
        <v>53.415999999999997</v>
      </c>
      <c r="Q136">
        <v>53.673999999999999</v>
      </c>
      <c r="R136">
        <v>53.835999999999999</v>
      </c>
      <c r="S136">
        <v>53.935000000000002</v>
      </c>
      <c r="T136">
        <v>53.997</v>
      </c>
      <c r="U136">
        <v>54.026000000000003</v>
      </c>
      <c r="V136">
        <v>54.039000000000001</v>
      </c>
      <c r="W136">
        <v>54.052999999999997</v>
      </c>
      <c r="X136">
        <v>54.085999999999999</v>
      </c>
      <c r="Y136">
        <v>54.140999999999998</v>
      </c>
      <c r="Z136">
        <v>54.209000000000003</v>
      </c>
      <c r="AA136">
        <v>54.283000000000001</v>
      </c>
      <c r="AB136">
        <v>54.356999999999999</v>
      </c>
      <c r="AC136">
        <v>54.433</v>
      </c>
      <c r="AD136">
        <v>54.515999999999998</v>
      </c>
      <c r="AE136">
        <v>54.612000000000002</v>
      </c>
      <c r="AF136">
        <v>54.722999999999999</v>
      </c>
      <c r="AG136">
        <v>54.155999999999999</v>
      </c>
      <c r="AH136">
        <v>51.87</v>
      </c>
      <c r="AI136">
        <v>56.652000000000001</v>
      </c>
      <c r="AJ136">
        <v>52.58</v>
      </c>
      <c r="AK136">
        <v>54.695</v>
      </c>
      <c r="AL136">
        <v>58.043999999999997</v>
      </c>
      <c r="AM136">
        <v>57.098999999999997</v>
      </c>
      <c r="AN136">
        <v>57.304000000000002</v>
      </c>
    </row>
    <row r="137" spans="1:40" x14ac:dyDescent="0.25">
      <c r="A137" t="s">
        <v>279</v>
      </c>
      <c r="B137" t="s">
        <v>280</v>
      </c>
      <c r="C137" t="s">
        <v>22</v>
      </c>
      <c r="D137">
        <v>0</v>
      </c>
      <c r="E137">
        <v>43.033000000000001</v>
      </c>
      <c r="F137">
        <v>43.095999999999997</v>
      </c>
      <c r="G137">
        <v>43.082999999999998</v>
      </c>
      <c r="H137">
        <v>42.9</v>
      </c>
      <c r="I137">
        <v>43.052</v>
      </c>
      <c r="J137">
        <v>42.783999999999999</v>
      </c>
      <c r="K137">
        <v>42.558999999999997</v>
      </c>
      <c r="L137">
        <v>42.63</v>
      </c>
      <c r="M137">
        <v>42.64</v>
      </c>
      <c r="N137">
        <v>42.631</v>
      </c>
      <c r="O137">
        <v>42.494999999999997</v>
      </c>
      <c r="P137">
        <v>42.289000000000001</v>
      </c>
      <c r="Q137">
        <v>42.148000000000003</v>
      </c>
      <c r="R137">
        <v>42.036999999999999</v>
      </c>
      <c r="S137">
        <v>41.978000000000002</v>
      </c>
      <c r="T137">
        <v>41.863999999999997</v>
      </c>
      <c r="U137">
        <v>41.811999999999998</v>
      </c>
      <c r="V137">
        <v>41.753</v>
      </c>
      <c r="W137">
        <v>41.65</v>
      </c>
      <c r="X137">
        <v>41.61</v>
      </c>
      <c r="Y137">
        <v>41.494999999999997</v>
      </c>
      <c r="Z137">
        <v>41.41</v>
      </c>
      <c r="AA137">
        <v>41.436999999999998</v>
      </c>
      <c r="AB137">
        <v>41.460999999999999</v>
      </c>
      <c r="AC137">
        <v>41.460999999999999</v>
      </c>
      <c r="AD137">
        <v>41.421999999999997</v>
      </c>
      <c r="AE137">
        <v>41.384999999999998</v>
      </c>
      <c r="AF137">
        <v>41.375999999999998</v>
      </c>
      <c r="AG137">
        <v>39.417000000000002</v>
      </c>
      <c r="AH137">
        <v>37.466000000000001</v>
      </c>
      <c r="AI137">
        <v>35.207000000000001</v>
      </c>
      <c r="AJ137">
        <v>33.491</v>
      </c>
      <c r="AK137">
        <v>31.149000000000001</v>
      </c>
      <c r="AL137">
        <v>31.158000000000001</v>
      </c>
      <c r="AM137">
        <v>31.145</v>
      </c>
      <c r="AN137">
        <v>30.739000000000001</v>
      </c>
    </row>
    <row r="138" spans="1:40" x14ac:dyDescent="0.25">
      <c r="A138" t="s">
        <v>281</v>
      </c>
      <c r="B138" t="s">
        <v>282</v>
      </c>
      <c r="C138" t="s">
        <v>14</v>
      </c>
      <c r="D138">
        <v>0</v>
      </c>
      <c r="E138">
        <v>21.72</v>
      </c>
      <c r="F138">
        <v>21.704999999999998</v>
      </c>
      <c r="G138">
        <v>21.690999999999999</v>
      </c>
      <c r="H138">
        <v>21.7</v>
      </c>
      <c r="I138">
        <v>21.734000000000002</v>
      </c>
      <c r="J138">
        <v>21.795000000000002</v>
      </c>
      <c r="K138">
        <v>21.881</v>
      </c>
      <c r="L138">
        <v>21.997</v>
      </c>
      <c r="M138">
        <v>22.143999999999998</v>
      </c>
      <c r="N138">
        <v>22.317</v>
      </c>
      <c r="O138">
        <v>22.501999999999999</v>
      </c>
      <c r="P138">
        <v>22.611999999999998</v>
      </c>
      <c r="Q138">
        <v>22.652000000000001</v>
      </c>
      <c r="R138">
        <v>22.690999999999999</v>
      </c>
      <c r="S138">
        <v>22.721</v>
      </c>
      <c r="T138">
        <v>22.742000000000001</v>
      </c>
      <c r="U138">
        <v>22.751999999999999</v>
      </c>
      <c r="V138">
        <v>22.745999999999999</v>
      </c>
      <c r="W138">
        <v>22.73</v>
      </c>
      <c r="X138">
        <v>22.719000000000001</v>
      </c>
      <c r="Y138">
        <v>22.727</v>
      </c>
      <c r="Z138">
        <v>22.754000000000001</v>
      </c>
      <c r="AA138">
        <v>22.751999999999999</v>
      </c>
      <c r="AB138">
        <v>22.728000000000002</v>
      </c>
      <c r="AC138">
        <v>22.731000000000002</v>
      </c>
      <c r="AD138">
        <v>22.768000000000001</v>
      </c>
      <c r="AE138">
        <v>22.844000000000001</v>
      </c>
      <c r="AF138">
        <v>22.954999999999998</v>
      </c>
      <c r="AG138">
        <v>23.091999999999999</v>
      </c>
      <c r="AH138">
        <v>23.25</v>
      </c>
      <c r="AI138">
        <v>22.649000000000001</v>
      </c>
      <c r="AJ138">
        <v>22.936</v>
      </c>
      <c r="AK138">
        <v>23.013999999999999</v>
      </c>
      <c r="AL138">
        <v>22.873999999999999</v>
      </c>
      <c r="AM138">
        <v>22.771000000000001</v>
      </c>
      <c r="AN138">
        <v>22.748999999999999</v>
      </c>
    </row>
    <row r="139" spans="1:40" x14ac:dyDescent="0.25">
      <c r="A139" t="s">
        <v>283</v>
      </c>
      <c r="B139" t="s">
        <v>284</v>
      </c>
      <c r="C139" t="s">
        <v>6</v>
      </c>
      <c r="D139">
        <v>0</v>
      </c>
      <c r="E139">
        <v>15.023999999999999</v>
      </c>
      <c r="F139">
        <v>14.904999999999999</v>
      </c>
      <c r="G139">
        <v>14.975</v>
      </c>
      <c r="H139">
        <v>15.253</v>
      </c>
      <c r="I139">
        <v>15.526</v>
      </c>
      <c r="J139">
        <v>15.795999999999999</v>
      </c>
      <c r="K139">
        <v>16.064</v>
      </c>
      <c r="L139">
        <v>16.332999999999998</v>
      </c>
      <c r="M139">
        <v>16.602</v>
      </c>
      <c r="N139">
        <v>16.873999999999999</v>
      </c>
      <c r="O139">
        <v>16.388999999999999</v>
      </c>
      <c r="P139">
        <v>15.941000000000001</v>
      </c>
      <c r="Q139">
        <v>15.792999999999999</v>
      </c>
      <c r="R139">
        <v>16.169</v>
      </c>
      <c r="S139">
        <v>16.576000000000001</v>
      </c>
      <c r="T139">
        <v>17.021999999999998</v>
      </c>
      <c r="U139">
        <v>17.518999999999998</v>
      </c>
      <c r="V139">
        <v>17.042000000000002</v>
      </c>
      <c r="W139">
        <v>16.739000000000001</v>
      </c>
      <c r="X139">
        <v>16.417999999999999</v>
      </c>
      <c r="Y139">
        <v>17.628</v>
      </c>
      <c r="Z139">
        <v>18.954000000000001</v>
      </c>
      <c r="AA139">
        <v>19.757999999999999</v>
      </c>
      <c r="AB139">
        <v>19.817</v>
      </c>
      <c r="AC139">
        <v>20.277999999999999</v>
      </c>
      <c r="AD139">
        <v>21.635000000000002</v>
      </c>
      <c r="AE139">
        <v>22.866</v>
      </c>
      <c r="AF139">
        <v>19.856999999999999</v>
      </c>
      <c r="AG139">
        <v>21.824000000000002</v>
      </c>
      <c r="AH139">
        <v>24.364999999999998</v>
      </c>
      <c r="AI139">
        <v>29.308</v>
      </c>
      <c r="AJ139">
        <v>34.218000000000004</v>
      </c>
      <c r="AK139">
        <v>34.097999999999999</v>
      </c>
      <c r="AL139">
        <v>34.277999999999999</v>
      </c>
      <c r="AM139">
        <v>33.305</v>
      </c>
      <c r="AN139">
        <v>33.573</v>
      </c>
    </row>
    <row r="140" spans="1:40" x14ac:dyDescent="0.25">
      <c r="A140" t="s">
        <v>285</v>
      </c>
      <c r="B140" t="s">
        <v>286</v>
      </c>
      <c r="C140" t="s">
        <v>14</v>
      </c>
      <c r="D140">
        <v>0</v>
      </c>
      <c r="E140">
        <v>32.055</v>
      </c>
      <c r="F140">
        <v>32.137999999999998</v>
      </c>
      <c r="G140">
        <v>32.231999999999999</v>
      </c>
      <c r="H140">
        <v>32.334000000000003</v>
      </c>
      <c r="I140">
        <v>32.439</v>
      </c>
      <c r="J140">
        <v>32.545000000000002</v>
      </c>
      <c r="K140">
        <v>32.65</v>
      </c>
      <c r="L140">
        <v>32.752000000000002</v>
      </c>
      <c r="M140">
        <v>32.850999999999999</v>
      </c>
      <c r="N140">
        <v>32.941000000000003</v>
      </c>
      <c r="O140">
        <v>33.026000000000003</v>
      </c>
      <c r="P140">
        <v>33.106999999999999</v>
      </c>
      <c r="Q140">
        <v>33.192999999999998</v>
      </c>
      <c r="R140">
        <v>33.262</v>
      </c>
      <c r="S140">
        <v>33.302999999999997</v>
      </c>
      <c r="T140">
        <v>33.340000000000003</v>
      </c>
      <c r="U140">
        <v>33.369</v>
      </c>
      <c r="V140">
        <v>33.421999999999997</v>
      </c>
      <c r="W140">
        <v>33.481999999999999</v>
      </c>
      <c r="X140">
        <v>33.551000000000002</v>
      </c>
      <c r="Y140">
        <v>33.627000000000002</v>
      </c>
      <c r="Z140">
        <v>33.710999999999999</v>
      </c>
      <c r="AA140">
        <v>33.801000000000002</v>
      </c>
      <c r="AB140">
        <v>33.886000000000003</v>
      </c>
      <c r="AC140">
        <v>33.969000000000001</v>
      </c>
      <c r="AD140">
        <v>34.06</v>
      </c>
      <c r="AE140">
        <v>38.725999999999999</v>
      </c>
      <c r="AF140">
        <v>35.423999999999999</v>
      </c>
      <c r="AG140">
        <v>36.353000000000002</v>
      </c>
      <c r="AH140">
        <v>37.308</v>
      </c>
      <c r="AI140">
        <v>37.075000000000003</v>
      </c>
      <c r="AJ140">
        <v>37.707000000000001</v>
      </c>
      <c r="AK140">
        <v>37.706000000000003</v>
      </c>
      <c r="AL140">
        <v>37.767000000000003</v>
      </c>
      <c r="AM140">
        <v>37.99</v>
      </c>
      <c r="AN140">
        <v>38.216000000000001</v>
      </c>
    </row>
    <row r="141" spans="1:40" x14ac:dyDescent="0.25">
      <c r="A141" t="s">
        <v>287</v>
      </c>
      <c r="B141" t="s">
        <v>288</v>
      </c>
      <c r="C141" t="s">
        <v>9</v>
      </c>
      <c r="D141">
        <v>0</v>
      </c>
      <c r="E141">
        <v>49.295999999999999</v>
      </c>
      <c r="F141">
        <v>49.456000000000003</v>
      </c>
      <c r="G141">
        <v>49.378999999999998</v>
      </c>
      <c r="H141">
        <v>49.164000000000001</v>
      </c>
      <c r="I141">
        <v>48.640999999999998</v>
      </c>
      <c r="J141">
        <v>48.06</v>
      </c>
      <c r="K141">
        <v>47.415999999999997</v>
      </c>
      <c r="L141">
        <v>46.704999999999998</v>
      </c>
      <c r="M141">
        <v>46.338999999999999</v>
      </c>
      <c r="N141">
        <v>47.064999999999998</v>
      </c>
      <c r="O141">
        <v>46.698</v>
      </c>
      <c r="P141">
        <v>46.332000000000001</v>
      </c>
      <c r="Q141">
        <v>45.981999999999999</v>
      </c>
      <c r="R141">
        <v>45.673000000000002</v>
      </c>
      <c r="S141">
        <v>45.273000000000003</v>
      </c>
      <c r="T141">
        <v>44.923000000000002</v>
      </c>
      <c r="U141">
        <v>44.645000000000003</v>
      </c>
      <c r="V141">
        <v>45.258000000000003</v>
      </c>
      <c r="W141">
        <v>44.747</v>
      </c>
      <c r="X141">
        <v>43.136000000000003</v>
      </c>
      <c r="Y141">
        <v>41.802</v>
      </c>
      <c r="Z141">
        <v>41.668999999999997</v>
      </c>
      <c r="AA141">
        <v>42.012999999999998</v>
      </c>
      <c r="AB141">
        <v>43.063000000000002</v>
      </c>
      <c r="AC141">
        <v>43.683</v>
      </c>
      <c r="AD141">
        <v>43.295000000000002</v>
      </c>
      <c r="AE141">
        <v>45.271000000000001</v>
      </c>
      <c r="AF141">
        <v>46.067</v>
      </c>
      <c r="AG141">
        <v>46.378999999999998</v>
      </c>
      <c r="AH141">
        <v>46.746000000000002</v>
      </c>
      <c r="AI141">
        <v>46.158999999999999</v>
      </c>
      <c r="AJ141">
        <v>49.002000000000002</v>
      </c>
      <c r="AK141">
        <v>50.142000000000003</v>
      </c>
      <c r="AL141">
        <v>51.414000000000001</v>
      </c>
      <c r="AM141">
        <v>52.619</v>
      </c>
      <c r="AN141">
        <v>52.628999999999998</v>
      </c>
    </row>
    <row r="142" spans="1:40" x14ac:dyDescent="0.25">
      <c r="A142" t="s">
        <v>289</v>
      </c>
      <c r="B142" t="s">
        <v>290</v>
      </c>
      <c r="C142" t="s">
        <v>14</v>
      </c>
      <c r="D142">
        <v>0</v>
      </c>
      <c r="E142">
        <v>65.085999999999999</v>
      </c>
      <c r="F142">
        <v>65.052000000000007</v>
      </c>
      <c r="G142">
        <v>65.013999999999996</v>
      </c>
      <c r="H142">
        <v>64.975999999999999</v>
      </c>
      <c r="I142">
        <v>64.936999999999998</v>
      </c>
      <c r="J142">
        <v>64.897000000000006</v>
      </c>
      <c r="K142">
        <v>64.858000000000004</v>
      </c>
      <c r="L142">
        <v>64.822000000000003</v>
      </c>
      <c r="M142">
        <v>64.784999999999997</v>
      </c>
      <c r="N142">
        <v>64.734999999999999</v>
      </c>
      <c r="O142">
        <v>64.694999999999993</v>
      </c>
      <c r="P142">
        <v>64.676000000000002</v>
      </c>
      <c r="Q142">
        <v>64.665000000000006</v>
      </c>
      <c r="R142">
        <v>64.664000000000001</v>
      </c>
      <c r="S142">
        <v>65.918999999999997</v>
      </c>
      <c r="T142">
        <v>65.001999999999995</v>
      </c>
      <c r="U142">
        <v>64.072000000000003</v>
      </c>
      <c r="V142">
        <v>63.133000000000003</v>
      </c>
      <c r="W142">
        <v>62.183</v>
      </c>
      <c r="X142">
        <v>61.222999999999999</v>
      </c>
      <c r="Y142">
        <v>60.255000000000003</v>
      </c>
      <c r="Z142">
        <v>59.277999999999999</v>
      </c>
      <c r="AA142">
        <v>58.293999999999997</v>
      </c>
      <c r="AB142">
        <v>57.302999999999997</v>
      </c>
      <c r="AC142">
        <v>56.307000000000002</v>
      </c>
      <c r="AD142">
        <v>55.091000000000001</v>
      </c>
      <c r="AE142">
        <v>53.87</v>
      </c>
      <c r="AF142">
        <v>52.643999999999998</v>
      </c>
      <c r="AG142">
        <v>51.414999999999999</v>
      </c>
      <c r="AH142">
        <v>51.584000000000003</v>
      </c>
      <c r="AI142">
        <v>51.093000000000004</v>
      </c>
      <c r="AJ142">
        <v>51.472000000000001</v>
      </c>
      <c r="AK142">
        <v>51.604999999999997</v>
      </c>
      <c r="AL142">
        <v>51.774000000000001</v>
      </c>
      <c r="AM142">
        <v>51.814999999999998</v>
      </c>
      <c r="AN142">
        <v>51.603999999999999</v>
      </c>
    </row>
    <row r="143" spans="1:40" x14ac:dyDescent="0.25">
      <c r="A143" t="s">
        <v>291</v>
      </c>
      <c r="B143" t="s">
        <v>292</v>
      </c>
      <c r="C143" t="s">
        <v>22</v>
      </c>
      <c r="D143">
        <v>0</v>
      </c>
      <c r="E143">
        <v>44.094000000000001</v>
      </c>
      <c r="F143">
        <v>45.176000000000002</v>
      </c>
      <c r="G143">
        <v>46.1</v>
      </c>
      <c r="H143">
        <v>46.906999999999996</v>
      </c>
      <c r="I143">
        <v>47.777000000000001</v>
      </c>
      <c r="J143">
        <v>48.975000000000001</v>
      </c>
      <c r="K143">
        <v>49.860999999999997</v>
      </c>
      <c r="L143">
        <v>50.61</v>
      </c>
      <c r="M143">
        <v>50.841999999999999</v>
      </c>
      <c r="N143">
        <v>51.655000000000001</v>
      </c>
      <c r="O143">
        <v>52.122</v>
      </c>
      <c r="P143">
        <v>52.55</v>
      </c>
      <c r="Q143">
        <v>51.499000000000002</v>
      </c>
      <c r="R143">
        <v>52.265999999999998</v>
      </c>
      <c r="S143">
        <v>52.640999999999998</v>
      </c>
      <c r="T143">
        <v>53.704999999999998</v>
      </c>
      <c r="U143">
        <v>55.06</v>
      </c>
      <c r="V143">
        <v>53.634</v>
      </c>
      <c r="W143">
        <v>56.088999999999999</v>
      </c>
      <c r="X143">
        <v>55.628</v>
      </c>
      <c r="Y143">
        <v>57.128</v>
      </c>
      <c r="Z143">
        <v>57.786999999999999</v>
      </c>
      <c r="AA143">
        <v>58.542999999999999</v>
      </c>
      <c r="AB143">
        <v>58.606999999999999</v>
      </c>
      <c r="AC143">
        <v>59.811</v>
      </c>
      <c r="AD143">
        <v>61.305</v>
      </c>
      <c r="AE143">
        <v>61.313000000000002</v>
      </c>
      <c r="AF143">
        <v>60.807000000000002</v>
      </c>
      <c r="AG143">
        <v>60.889000000000003</v>
      </c>
      <c r="AH143">
        <v>61.822000000000003</v>
      </c>
      <c r="AI143">
        <v>61.72</v>
      </c>
      <c r="AJ143">
        <v>64.409000000000006</v>
      </c>
      <c r="AK143">
        <v>62.920999999999999</v>
      </c>
      <c r="AL143">
        <v>63.298999999999999</v>
      </c>
      <c r="AM143">
        <v>63.136000000000003</v>
      </c>
      <c r="AN143">
        <v>63.569000000000003</v>
      </c>
    </row>
    <row r="144" spans="1:40" x14ac:dyDescent="0.25">
      <c r="A144" t="s">
        <v>293</v>
      </c>
      <c r="B144" t="s">
        <v>294</v>
      </c>
      <c r="C144" t="s">
        <v>9</v>
      </c>
      <c r="D144">
        <v>0</v>
      </c>
      <c r="E144">
        <v>59.13</v>
      </c>
      <c r="F144">
        <v>59.683</v>
      </c>
      <c r="G144">
        <v>57.463999999999999</v>
      </c>
      <c r="H144">
        <v>55.109000000000002</v>
      </c>
      <c r="I144">
        <v>51.36</v>
      </c>
      <c r="J144">
        <v>51.497</v>
      </c>
      <c r="K144">
        <v>52.286000000000001</v>
      </c>
      <c r="L144">
        <v>51.819000000000003</v>
      </c>
      <c r="M144">
        <v>51.39</v>
      </c>
      <c r="N144">
        <v>51.850999999999999</v>
      </c>
      <c r="O144">
        <v>52.588000000000001</v>
      </c>
      <c r="P144">
        <v>52.965000000000003</v>
      </c>
      <c r="Q144">
        <v>52.530999999999999</v>
      </c>
      <c r="R144">
        <v>52.906999999999996</v>
      </c>
      <c r="S144">
        <v>52.466999999999999</v>
      </c>
      <c r="T144">
        <v>51.177</v>
      </c>
      <c r="U144">
        <v>50.548000000000002</v>
      </c>
      <c r="V144">
        <v>50.326999999999998</v>
      </c>
      <c r="W144">
        <v>50.756999999999998</v>
      </c>
      <c r="X144">
        <v>50.051000000000002</v>
      </c>
      <c r="Y144">
        <v>50.554000000000002</v>
      </c>
      <c r="Z144">
        <v>50.155000000000001</v>
      </c>
      <c r="AA144">
        <v>50.648000000000003</v>
      </c>
      <c r="AB144">
        <v>50.988</v>
      </c>
      <c r="AC144">
        <v>52.008000000000003</v>
      </c>
      <c r="AD144">
        <v>51.930999999999997</v>
      </c>
      <c r="AE144">
        <v>52.511000000000003</v>
      </c>
      <c r="AF144">
        <v>52.625999999999998</v>
      </c>
      <c r="AG144">
        <v>52.241</v>
      </c>
      <c r="AH144">
        <v>52.170999999999999</v>
      </c>
      <c r="AI144">
        <v>51.795999999999999</v>
      </c>
      <c r="AJ144">
        <v>54.62</v>
      </c>
      <c r="AK144">
        <v>55.692</v>
      </c>
      <c r="AL144">
        <v>55.698</v>
      </c>
      <c r="AM144">
        <v>55.463999999999999</v>
      </c>
      <c r="AN144">
        <v>55.127000000000002</v>
      </c>
    </row>
    <row r="145" spans="1:40" x14ac:dyDescent="0.25">
      <c r="A145" t="s">
        <v>295</v>
      </c>
      <c r="B145" t="s">
        <v>296</v>
      </c>
      <c r="C145" t="s">
        <v>9</v>
      </c>
      <c r="D145">
        <v>0</v>
      </c>
      <c r="E145">
        <v>51.987000000000002</v>
      </c>
      <c r="F145">
        <v>51.747</v>
      </c>
      <c r="G145">
        <v>51.621000000000002</v>
      </c>
      <c r="H145">
        <v>51.554000000000002</v>
      </c>
      <c r="I145">
        <v>51.508000000000003</v>
      </c>
      <c r="J145">
        <v>51.372</v>
      </c>
      <c r="K145">
        <v>51.225000000000001</v>
      </c>
      <c r="L145">
        <v>52.537999999999997</v>
      </c>
      <c r="M145">
        <v>53.140999999999998</v>
      </c>
      <c r="N145">
        <v>51.972000000000001</v>
      </c>
      <c r="O145">
        <v>51.293999999999997</v>
      </c>
      <c r="P145">
        <v>51.133000000000003</v>
      </c>
      <c r="Q145">
        <v>51.932000000000002</v>
      </c>
      <c r="R145">
        <v>50.436999999999998</v>
      </c>
      <c r="S145">
        <v>52.835999999999999</v>
      </c>
      <c r="T145">
        <v>52.814999999999998</v>
      </c>
      <c r="U145">
        <v>53.218000000000004</v>
      </c>
      <c r="V145">
        <v>53.514000000000003</v>
      </c>
      <c r="W145">
        <v>53.631</v>
      </c>
      <c r="X145">
        <v>53.514000000000003</v>
      </c>
      <c r="Y145">
        <v>53.142000000000003</v>
      </c>
      <c r="Z145">
        <v>52.350999999999999</v>
      </c>
      <c r="AA145">
        <v>52.320999999999998</v>
      </c>
      <c r="AB145">
        <v>51.929000000000002</v>
      </c>
      <c r="AC145">
        <v>52.530999999999999</v>
      </c>
      <c r="AD145">
        <v>52.274999999999999</v>
      </c>
      <c r="AE145">
        <v>52.113</v>
      </c>
      <c r="AF145">
        <v>53.539000000000001</v>
      </c>
      <c r="AG145">
        <v>53.719000000000001</v>
      </c>
      <c r="AH145">
        <v>53.381999999999998</v>
      </c>
      <c r="AI145">
        <v>53.104999999999997</v>
      </c>
      <c r="AJ145">
        <v>53.466999999999999</v>
      </c>
      <c r="AK145">
        <v>53.875</v>
      </c>
      <c r="AL145">
        <v>52.985999999999997</v>
      </c>
      <c r="AM145">
        <v>52.643999999999998</v>
      </c>
      <c r="AN145">
        <v>52.296999999999997</v>
      </c>
    </row>
    <row r="146" spans="1:40" x14ac:dyDescent="0.25">
      <c r="A146" t="s">
        <v>297</v>
      </c>
      <c r="B146" t="s">
        <v>298</v>
      </c>
      <c r="C146" t="s">
        <v>22</v>
      </c>
      <c r="D146">
        <v>0</v>
      </c>
      <c r="E146">
        <v>81.998999999999995</v>
      </c>
      <c r="F146">
        <v>81.855999999999995</v>
      </c>
      <c r="G146">
        <v>81.444000000000003</v>
      </c>
      <c r="H146">
        <v>81.406999999999996</v>
      </c>
      <c r="I146">
        <v>81.206000000000003</v>
      </c>
      <c r="J146">
        <v>80.938999999999993</v>
      </c>
      <c r="K146">
        <v>81.040999999999997</v>
      </c>
      <c r="L146">
        <v>81.262</v>
      </c>
      <c r="M146">
        <v>81.393000000000001</v>
      </c>
      <c r="N146">
        <v>81.599000000000004</v>
      </c>
      <c r="O146">
        <v>82.44</v>
      </c>
      <c r="P146">
        <v>82.953999999999994</v>
      </c>
      <c r="Q146">
        <v>83.221999999999994</v>
      </c>
      <c r="R146">
        <v>83.084999999999994</v>
      </c>
      <c r="S146">
        <v>82.906999999999996</v>
      </c>
      <c r="T146">
        <v>82.751999999999995</v>
      </c>
      <c r="U146">
        <v>82.736000000000004</v>
      </c>
      <c r="V146">
        <v>82.747</v>
      </c>
      <c r="W146">
        <v>82.665999999999997</v>
      </c>
      <c r="X146">
        <v>82.721000000000004</v>
      </c>
      <c r="Y146">
        <v>82.53</v>
      </c>
      <c r="Z146">
        <v>82.424999999999997</v>
      </c>
      <c r="AA146">
        <v>82.491</v>
      </c>
      <c r="AB146">
        <v>82.442999999999998</v>
      </c>
      <c r="AC146">
        <v>82.525999999999996</v>
      </c>
      <c r="AD146">
        <v>82.567999999999998</v>
      </c>
      <c r="AE146">
        <v>82.447000000000003</v>
      </c>
      <c r="AF146">
        <v>82.400999999999996</v>
      </c>
      <c r="AG146">
        <v>82.361000000000004</v>
      </c>
      <c r="AH146">
        <v>82.367000000000004</v>
      </c>
      <c r="AI146">
        <v>81.602000000000004</v>
      </c>
      <c r="AJ146">
        <v>82.26</v>
      </c>
      <c r="AK146">
        <v>82.308999999999997</v>
      </c>
      <c r="AL146">
        <v>82.326999999999998</v>
      </c>
      <c r="AM146">
        <v>82.328000000000003</v>
      </c>
      <c r="AN146">
        <v>82.337000000000003</v>
      </c>
    </row>
    <row r="147" spans="1:40" x14ac:dyDescent="0.25">
      <c r="A147" t="s">
        <v>299</v>
      </c>
      <c r="B147" t="s">
        <v>300</v>
      </c>
      <c r="C147" t="s">
        <v>6</v>
      </c>
      <c r="D147">
        <v>0</v>
      </c>
      <c r="E147">
        <v>21.192</v>
      </c>
      <c r="F147">
        <v>21.231000000000002</v>
      </c>
      <c r="G147">
        <v>21.4</v>
      </c>
      <c r="H147">
        <v>21.445</v>
      </c>
      <c r="I147">
        <v>21.378</v>
      </c>
      <c r="J147">
        <v>21.317</v>
      </c>
      <c r="K147">
        <v>21.262</v>
      </c>
      <c r="L147">
        <v>21.213000000000001</v>
      </c>
      <c r="M147">
        <v>21.166</v>
      </c>
      <c r="N147">
        <v>21.122</v>
      </c>
      <c r="O147">
        <v>21.081</v>
      </c>
      <c r="P147">
        <v>21.041</v>
      </c>
      <c r="Q147">
        <v>21</v>
      </c>
      <c r="R147">
        <v>20.954000000000001</v>
      </c>
      <c r="S147">
        <v>20.89</v>
      </c>
      <c r="T147">
        <v>20.79</v>
      </c>
      <c r="U147">
        <v>20.661000000000001</v>
      </c>
      <c r="V147">
        <v>20.567</v>
      </c>
      <c r="W147">
        <v>20.55</v>
      </c>
      <c r="X147">
        <v>20.574000000000002</v>
      </c>
      <c r="Y147">
        <v>20.611999999999998</v>
      </c>
      <c r="Z147">
        <v>20.733000000000001</v>
      </c>
      <c r="AA147">
        <v>20.856999999999999</v>
      </c>
      <c r="AB147">
        <v>20.893000000000001</v>
      </c>
      <c r="AC147">
        <v>20.917999999999999</v>
      </c>
      <c r="AD147">
        <v>20.942</v>
      </c>
      <c r="AE147">
        <v>20.966999999999999</v>
      </c>
      <c r="AF147">
        <v>21.007000000000001</v>
      </c>
      <c r="AG147">
        <v>21.056000000000001</v>
      </c>
      <c r="AH147">
        <v>21.094000000000001</v>
      </c>
      <c r="AI147">
        <v>20.891999999999999</v>
      </c>
      <c r="AJ147">
        <v>20.933</v>
      </c>
      <c r="AK147">
        <v>20.666</v>
      </c>
      <c r="AL147">
        <v>20.707000000000001</v>
      </c>
      <c r="AM147">
        <v>20.722000000000001</v>
      </c>
      <c r="AN147">
        <v>20.7</v>
      </c>
    </row>
    <row r="148" spans="1:40" x14ac:dyDescent="0.25">
      <c r="A148" t="s">
        <v>301</v>
      </c>
      <c r="B148" t="s">
        <v>302</v>
      </c>
      <c r="C148" t="s">
        <v>14</v>
      </c>
      <c r="D148">
        <v>0</v>
      </c>
      <c r="E148">
        <v>44.72</v>
      </c>
      <c r="F148">
        <v>44.787999999999997</v>
      </c>
      <c r="G148">
        <v>44.877000000000002</v>
      </c>
      <c r="H148">
        <v>44.843000000000004</v>
      </c>
      <c r="I148">
        <v>44.963000000000001</v>
      </c>
      <c r="J148">
        <v>45.305</v>
      </c>
      <c r="K148">
        <v>45.634</v>
      </c>
      <c r="L148">
        <v>45.933999999999997</v>
      </c>
      <c r="M148">
        <v>46.124000000000002</v>
      </c>
      <c r="N148">
        <v>46.343000000000004</v>
      </c>
      <c r="O148">
        <v>46.582999999999998</v>
      </c>
      <c r="P148">
        <v>46.835999999999999</v>
      </c>
      <c r="Q148">
        <v>47.088999999999999</v>
      </c>
      <c r="R148">
        <v>47.33</v>
      </c>
      <c r="S148">
        <v>47.539000000000001</v>
      </c>
      <c r="T148">
        <v>47.707999999999998</v>
      </c>
      <c r="U148">
        <v>47.845999999999997</v>
      </c>
      <c r="V148">
        <v>47.968000000000004</v>
      </c>
      <c r="W148">
        <v>48.061999999999998</v>
      </c>
      <c r="X148">
        <v>46.384</v>
      </c>
      <c r="Y148">
        <v>44.76</v>
      </c>
      <c r="Z148">
        <v>45.149000000000001</v>
      </c>
      <c r="AA148">
        <v>45.332999999999998</v>
      </c>
      <c r="AB148">
        <v>46.273000000000003</v>
      </c>
      <c r="AC148">
        <v>46.491999999999997</v>
      </c>
      <c r="AD148">
        <v>47.716000000000001</v>
      </c>
      <c r="AE148">
        <v>47.74</v>
      </c>
      <c r="AF148">
        <v>48.631999999999998</v>
      </c>
      <c r="AG148">
        <v>48.518000000000001</v>
      </c>
      <c r="AH148">
        <v>48.579000000000001</v>
      </c>
      <c r="AI148">
        <v>44.148000000000003</v>
      </c>
      <c r="AJ148">
        <v>45.412999999999997</v>
      </c>
      <c r="AK148">
        <v>47.118000000000002</v>
      </c>
      <c r="AL148">
        <v>49.052</v>
      </c>
      <c r="AM148">
        <v>49.801000000000002</v>
      </c>
      <c r="AN148">
        <v>49.881</v>
      </c>
    </row>
    <row r="149" spans="1:40" x14ac:dyDescent="0.25">
      <c r="A149" t="s">
        <v>303</v>
      </c>
      <c r="B149" t="s">
        <v>304</v>
      </c>
      <c r="C149" t="s">
        <v>14</v>
      </c>
      <c r="D149">
        <v>1</v>
      </c>
      <c r="E149">
        <v>71.168000000000006</v>
      </c>
      <c r="F149">
        <v>71.164000000000001</v>
      </c>
      <c r="G149">
        <v>71.146000000000001</v>
      </c>
      <c r="H149">
        <v>71.113</v>
      </c>
      <c r="I149">
        <v>71.094999999999999</v>
      </c>
      <c r="J149">
        <v>71.078000000000003</v>
      </c>
      <c r="K149">
        <v>71.043000000000006</v>
      </c>
      <c r="L149">
        <v>71.028999999999996</v>
      </c>
      <c r="M149">
        <v>71.09</v>
      </c>
      <c r="N149">
        <v>71.158000000000001</v>
      </c>
      <c r="O149">
        <v>71.173000000000002</v>
      </c>
      <c r="P149">
        <v>71.153999999999996</v>
      </c>
      <c r="Q149">
        <v>71.090999999999994</v>
      </c>
      <c r="R149">
        <v>71.028000000000006</v>
      </c>
      <c r="S149">
        <v>71.058000000000007</v>
      </c>
      <c r="T149">
        <v>71.167000000000002</v>
      </c>
      <c r="U149">
        <v>71.3</v>
      </c>
      <c r="V149">
        <v>71.447999999999993</v>
      </c>
      <c r="W149">
        <v>71.593999999999994</v>
      </c>
      <c r="X149">
        <v>71.715999999999994</v>
      </c>
      <c r="Y149">
        <v>71.903000000000006</v>
      </c>
      <c r="Z149">
        <v>72.097999999999999</v>
      </c>
      <c r="AA149">
        <v>72.180000000000007</v>
      </c>
      <c r="AB149">
        <v>72.195999999999998</v>
      </c>
      <c r="AC149">
        <v>71.998999999999995</v>
      </c>
      <c r="AD149">
        <v>71.805999999999997</v>
      </c>
      <c r="AE149">
        <v>71.608999999999995</v>
      </c>
      <c r="AF149">
        <v>71.239999999999995</v>
      </c>
      <c r="AG149">
        <v>71.286000000000001</v>
      </c>
      <c r="AH149">
        <v>71.680000000000007</v>
      </c>
      <c r="AI149">
        <v>70.995999999999995</v>
      </c>
      <c r="AJ149">
        <v>71.343999999999994</v>
      </c>
      <c r="AK149">
        <v>70.628</v>
      </c>
      <c r="AL149">
        <v>70.393000000000001</v>
      </c>
    </row>
    <row r="150" spans="1:40" x14ac:dyDescent="0.25">
      <c r="A150" t="s">
        <v>305</v>
      </c>
      <c r="B150" t="s">
        <v>306</v>
      </c>
      <c r="C150" t="s">
        <v>9</v>
      </c>
      <c r="D150">
        <v>0</v>
      </c>
      <c r="E150">
        <v>33.350999999999999</v>
      </c>
      <c r="F150">
        <v>33.435000000000002</v>
      </c>
      <c r="G150">
        <v>34.454999999999998</v>
      </c>
      <c r="H150">
        <v>35.024999999999999</v>
      </c>
      <c r="I150">
        <v>36.311999999999998</v>
      </c>
      <c r="J150">
        <v>36.770000000000003</v>
      </c>
      <c r="K150">
        <v>37.279000000000003</v>
      </c>
      <c r="L150">
        <v>38.067</v>
      </c>
      <c r="M150">
        <v>38.424999999999997</v>
      </c>
      <c r="N150">
        <v>39.116999999999997</v>
      </c>
      <c r="O150">
        <v>40.656999999999996</v>
      </c>
      <c r="P150">
        <v>39.439</v>
      </c>
      <c r="Q150">
        <v>41.890999999999998</v>
      </c>
      <c r="R150">
        <v>43.378</v>
      </c>
      <c r="S150">
        <v>44.756</v>
      </c>
      <c r="T150">
        <v>46.176000000000002</v>
      </c>
      <c r="U150">
        <v>47.597999999999999</v>
      </c>
      <c r="V150">
        <v>48.546999999999997</v>
      </c>
      <c r="W150">
        <v>49.933999999999997</v>
      </c>
      <c r="X150">
        <v>51.012999999999998</v>
      </c>
      <c r="Y150">
        <v>51.710999999999999</v>
      </c>
      <c r="Z150">
        <v>52.29</v>
      </c>
      <c r="AA150">
        <v>52.895000000000003</v>
      </c>
      <c r="AB150">
        <v>52.831000000000003</v>
      </c>
      <c r="AC150">
        <v>52.628999999999998</v>
      </c>
      <c r="AD150">
        <v>52.62</v>
      </c>
      <c r="AE150">
        <v>52.484999999999999</v>
      </c>
      <c r="AF150">
        <v>52.280999999999999</v>
      </c>
      <c r="AG150">
        <v>51.872999999999998</v>
      </c>
      <c r="AH150">
        <v>52.039000000000001</v>
      </c>
      <c r="AI150">
        <v>50.921999999999997</v>
      </c>
      <c r="AJ150">
        <v>52.177</v>
      </c>
      <c r="AK150">
        <v>52.280999999999999</v>
      </c>
      <c r="AL150">
        <v>52.773000000000003</v>
      </c>
      <c r="AM150">
        <v>53.195</v>
      </c>
      <c r="AN150">
        <v>52.825000000000003</v>
      </c>
    </row>
    <row r="151" spans="1:40" x14ac:dyDescent="0.25">
      <c r="A151" t="s">
        <v>307</v>
      </c>
      <c r="B151" t="s">
        <v>308</v>
      </c>
      <c r="C151" t="s">
        <v>22</v>
      </c>
      <c r="D151">
        <v>0</v>
      </c>
      <c r="E151">
        <v>45.149000000000001</v>
      </c>
      <c r="F151">
        <v>41.002000000000002</v>
      </c>
      <c r="G151">
        <v>36.912999999999997</v>
      </c>
      <c r="H151">
        <v>37.676000000000002</v>
      </c>
      <c r="I151">
        <v>37.9</v>
      </c>
      <c r="J151">
        <v>35.6</v>
      </c>
      <c r="K151">
        <v>35.488999999999997</v>
      </c>
      <c r="L151">
        <v>35.262999999999998</v>
      </c>
      <c r="M151">
        <v>41.33</v>
      </c>
      <c r="N151">
        <v>37.649000000000001</v>
      </c>
      <c r="O151">
        <v>36.331000000000003</v>
      </c>
      <c r="P151">
        <v>36.076999999999998</v>
      </c>
      <c r="Q151">
        <v>35.831000000000003</v>
      </c>
      <c r="R151">
        <v>35.590000000000003</v>
      </c>
      <c r="S151">
        <v>35.35</v>
      </c>
      <c r="T151">
        <v>35.110999999999997</v>
      </c>
      <c r="U151">
        <v>34.875999999999998</v>
      </c>
      <c r="V151">
        <v>34.643999999999998</v>
      </c>
      <c r="W151">
        <v>34.414999999999999</v>
      </c>
      <c r="X151">
        <v>34.191000000000003</v>
      </c>
      <c r="Y151">
        <v>33.965000000000003</v>
      </c>
      <c r="Z151">
        <v>33.945999999999998</v>
      </c>
      <c r="AA151">
        <v>32.649000000000001</v>
      </c>
      <c r="AB151">
        <v>33.869</v>
      </c>
      <c r="AC151">
        <v>33.210999999999999</v>
      </c>
      <c r="AD151">
        <v>35.33</v>
      </c>
      <c r="AE151">
        <v>35.252000000000002</v>
      </c>
      <c r="AF151">
        <v>36.094000000000001</v>
      </c>
      <c r="AG151">
        <v>33.104999999999997</v>
      </c>
      <c r="AH151">
        <v>34.051000000000002</v>
      </c>
      <c r="AI151">
        <v>31.663</v>
      </c>
      <c r="AJ151">
        <v>31.329000000000001</v>
      </c>
      <c r="AK151">
        <v>31.605</v>
      </c>
      <c r="AL151">
        <v>29.6</v>
      </c>
      <c r="AM151">
        <v>30.998000000000001</v>
      </c>
      <c r="AN151">
        <v>30.992000000000001</v>
      </c>
    </row>
    <row r="152" spans="1:40" x14ac:dyDescent="0.25">
      <c r="A152" t="s">
        <v>309</v>
      </c>
      <c r="B152" t="s">
        <v>310</v>
      </c>
      <c r="C152" t="s">
        <v>17</v>
      </c>
      <c r="D152">
        <v>0</v>
      </c>
      <c r="E152">
        <v>48.209000000000003</v>
      </c>
      <c r="F152">
        <v>48.343000000000004</v>
      </c>
      <c r="G152">
        <v>48.843000000000004</v>
      </c>
      <c r="H152">
        <v>49.348999999999997</v>
      </c>
      <c r="I152">
        <v>49.856000000000002</v>
      </c>
      <c r="J152">
        <v>50.362000000000002</v>
      </c>
      <c r="K152">
        <v>50.868000000000002</v>
      </c>
      <c r="L152">
        <v>51.375</v>
      </c>
      <c r="M152">
        <v>51.88</v>
      </c>
      <c r="N152">
        <v>52.384999999999998</v>
      </c>
      <c r="O152">
        <v>52.896999999999998</v>
      </c>
      <c r="P152">
        <v>53.415999999999997</v>
      </c>
      <c r="Q152">
        <v>54.247</v>
      </c>
      <c r="R152">
        <v>55.078000000000003</v>
      </c>
      <c r="S152">
        <v>55.908999999999999</v>
      </c>
      <c r="T152">
        <v>56.738999999999997</v>
      </c>
      <c r="U152">
        <v>57.567</v>
      </c>
      <c r="V152">
        <v>58.39</v>
      </c>
      <c r="W152">
        <v>59.207999999999998</v>
      </c>
      <c r="X152">
        <v>60.024999999999999</v>
      </c>
      <c r="Y152">
        <v>60.847999999999999</v>
      </c>
      <c r="Z152">
        <v>61.673000000000002</v>
      </c>
      <c r="AA152">
        <v>64.477000000000004</v>
      </c>
      <c r="AB152">
        <v>63.292999999999999</v>
      </c>
      <c r="AC152">
        <v>63.393999999999998</v>
      </c>
      <c r="AD152">
        <v>63.494999999999997</v>
      </c>
      <c r="AE152">
        <v>63.594999999999999</v>
      </c>
      <c r="AF152">
        <v>63.695</v>
      </c>
      <c r="AG152">
        <v>63.881999999999998</v>
      </c>
      <c r="AH152">
        <v>64.311999999999998</v>
      </c>
      <c r="AI152">
        <v>49.331000000000003</v>
      </c>
      <c r="AJ152">
        <v>60.375</v>
      </c>
      <c r="AK152">
        <v>62.68</v>
      </c>
      <c r="AL152">
        <v>62.134999999999998</v>
      </c>
      <c r="AM152">
        <v>61.884999999999998</v>
      </c>
      <c r="AN152">
        <v>61.994999999999997</v>
      </c>
    </row>
    <row r="153" spans="1:40" x14ac:dyDescent="0.25">
      <c r="A153" t="s">
        <v>311</v>
      </c>
      <c r="B153" t="s">
        <v>312</v>
      </c>
      <c r="C153" t="s">
        <v>17</v>
      </c>
      <c r="D153">
        <v>0</v>
      </c>
      <c r="E153">
        <v>44.000999999999998</v>
      </c>
      <c r="F153">
        <v>44.24</v>
      </c>
      <c r="G153">
        <v>44.912999999999997</v>
      </c>
      <c r="H153">
        <v>45.415999999999997</v>
      </c>
      <c r="I153">
        <v>45.456000000000003</v>
      </c>
      <c r="J153">
        <v>46.180999999999997</v>
      </c>
      <c r="K153">
        <v>46.427</v>
      </c>
      <c r="L153">
        <v>46.862000000000002</v>
      </c>
      <c r="M153">
        <v>47.35</v>
      </c>
      <c r="N153">
        <v>47.697000000000003</v>
      </c>
      <c r="O153">
        <v>47.945999999999998</v>
      </c>
      <c r="P153">
        <v>48.262</v>
      </c>
      <c r="Q153">
        <v>48.896000000000001</v>
      </c>
      <c r="R153">
        <v>49.651000000000003</v>
      </c>
      <c r="S153">
        <v>50.231000000000002</v>
      </c>
      <c r="T153">
        <v>50.719000000000001</v>
      </c>
      <c r="U153">
        <v>51.569000000000003</v>
      </c>
      <c r="V153">
        <v>52.158999999999999</v>
      </c>
      <c r="W153">
        <v>52.530999999999999</v>
      </c>
      <c r="X153">
        <v>52.777999999999999</v>
      </c>
      <c r="Y153">
        <v>52.808999999999997</v>
      </c>
      <c r="Z153">
        <v>53.128</v>
      </c>
      <c r="AA153">
        <v>53.515000000000001</v>
      </c>
      <c r="AB153">
        <v>53.95</v>
      </c>
      <c r="AC153">
        <v>54.295999999999999</v>
      </c>
      <c r="AD153">
        <v>54.737000000000002</v>
      </c>
      <c r="AE153">
        <v>55.3</v>
      </c>
      <c r="AF153">
        <v>55.747999999999998</v>
      </c>
      <c r="AG153">
        <v>56.362000000000002</v>
      </c>
      <c r="AH153">
        <v>56.844000000000001</v>
      </c>
      <c r="AI153">
        <v>56.109000000000002</v>
      </c>
      <c r="AJ153">
        <v>56.463000000000001</v>
      </c>
      <c r="AK153">
        <v>57.594999999999999</v>
      </c>
      <c r="AL153">
        <v>58.567999999999998</v>
      </c>
      <c r="AM153">
        <v>59.253</v>
      </c>
      <c r="AN153">
        <v>59.216999999999999</v>
      </c>
    </row>
    <row r="154" spans="1:40" x14ac:dyDescent="0.25">
      <c r="A154" t="s">
        <v>313</v>
      </c>
      <c r="B154" t="s">
        <v>314</v>
      </c>
      <c r="C154" t="s">
        <v>6</v>
      </c>
      <c r="D154">
        <v>0</v>
      </c>
      <c r="E154">
        <v>23.58</v>
      </c>
      <c r="F154">
        <v>24.405000000000001</v>
      </c>
      <c r="G154">
        <v>25.256</v>
      </c>
      <c r="H154">
        <v>26.135999999999999</v>
      </c>
      <c r="I154">
        <v>27.048999999999999</v>
      </c>
      <c r="J154">
        <v>27.992000000000001</v>
      </c>
      <c r="K154">
        <v>28.962</v>
      </c>
      <c r="L154">
        <v>28.673999999999999</v>
      </c>
      <c r="M154">
        <v>28.390999999999998</v>
      </c>
      <c r="N154">
        <v>28.106000000000002</v>
      </c>
      <c r="O154">
        <v>27.818999999999999</v>
      </c>
      <c r="P154">
        <v>27.532</v>
      </c>
      <c r="Q154">
        <v>27.245000000000001</v>
      </c>
      <c r="R154">
        <v>26.959</v>
      </c>
      <c r="S154">
        <v>26.68</v>
      </c>
      <c r="T154">
        <v>26.411000000000001</v>
      </c>
      <c r="U154">
        <v>26.140999999999998</v>
      </c>
      <c r="V154">
        <v>25.869</v>
      </c>
      <c r="W154">
        <v>25.6</v>
      </c>
      <c r="X154">
        <v>26.503</v>
      </c>
      <c r="Y154">
        <v>27.404</v>
      </c>
      <c r="Z154">
        <v>28.33</v>
      </c>
      <c r="AA154">
        <v>27.021999999999998</v>
      </c>
      <c r="AB154">
        <v>25.747</v>
      </c>
      <c r="AC154">
        <v>24.516999999999999</v>
      </c>
      <c r="AD154">
        <v>23.303999999999998</v>
      </c>
      <c r="AE154">
        <v>22.088000000000001</v>
      </c>
      <c r="AF154">
        <v>20.9</v>
      </c>
      <c r="AG154">
        <v>19.704000000000001</v>
      </c>
      <c r="AH154">
        <v>18.466000000000001</v>
      </c>
      <c r="AI154">
        <v>17.007999999999999</v>
      </c>
      <c r="AJ154">
        <v>15.807</v>
      </c>
      <c r="AK154">
        <v>14.452</v>
      </c>
    </row>
    <row r="155" spans="1:40" x14ac:dyDescent="0.25">
      <c r="A155" t="s">
        <v>315</v>
      </c>
      <c r="B155" t="s">
        <v>316</v>
      </c>
      <c r="C155" t="s">
        <v>17</v>
      </c>
      <c r="D155">
        <v>0</v>
      </c>
      <c r="E155">
        <v>32.426000000000002</v>
      </c>
      <c r="F155">
        <v>32.652000000000001</v>
      </c>
      <c r="G155">
        <v>32.692999999999998</v>
      </c>
      <c r="H155">
        <v>32.154000000000003</v>
      </c>
      <c r="I155">
        <v>32.42</v>
      </c>
      <c r="J155">
        <v>32.390999999999998</v>
      </c>
      <c r="K155">
        <v>32.473999999999997</v>
      </c>
      <c r="L155">
        <v>32.558</v>
      </c>
      <c r="M155">
        <v>32.643000000000001</v>
      </c>
      <c r="N155">
        <v>32.729999999999997</v>
      </c>
      <c r="O155">
        <v>33.396999999999998</v>
      </c>
      <c r="P155">
        <v>34.072000000000003</v>
      </c>
      <c r="Q155">
        <v>34.753999999999998</v>
      </c>
      <c r="R155">
        <v>35.444000000000003</v>
      </c>
      <c r="S155">
        <v>36.154000000000003</v>
      </c>
      <c r="T155">
        <v>36.884</v>
      </c>
      <c r="U155">
        <v>37.618000000000002</v>
      </c>
      <c r="V155">
        <v>38.356000000000002</v>
      </c>
      <c r="W155">
        <v>39.097999999999999</v>
      </c>
      <c r="X155">
        <v>39.844000000000001</v>
      </c>
      <c r="Y155">
        <v>40.594000000000001</v>
      </c>
      <c r="Z155">
        <v>41.347000000000001</v>
      </c>
      <c r="AA155">
        <v>42.103000000000002</v>
      </c>
      <c r="AB155">
        <v>42.86</v>
      </c>
      <c r="AC155">
        <v>43.618000000000002</v>
      </c>
      <c r="AD155">
        <v>44.378</v>
      </c>
      <c r="AE155">
        <v>45.14</v>
      </c>
      <c r="AF155">
        <v>45.334000000000003</v>
      </c>
      <c r="AG155">
        <v>45.863</v>
      </c>
      <c r="AH155">
        <v>46.005000000000003</v>
      </c>
      <c r="AI155">
        <v>42.93</v>
      </c>
      <c r="AJ155">
        <v>43.581000000000003</v>
      </c>
      <c r="AK155">
        <v>43.957000000000001</v>
      </c>
      <c r="AL155">
        <v>44.347999999999999</v>
      </c>
      <c r="AM155">
        <v>44.887</v>
      </c>
      <c r="AN155">
        <v>44.914999999999999</v>
      </c>
    </row>
    <row r="156" spans="1:40" x14ac:dyDescent="0.25">
      <c r="A156" t="s">
        <v>317</v>
      </c>
      <c r="B156" t="s">
        <v>318</v>
      </c>
      <c r="C156" t="s">
        <v>9</v>
      </c>
      <c r="D156">
        <v>0</v>
      </c>
      <c r="E156">
        <v>62.802999999999997</v>
      </c>
      <c r="F156">
        <v>62.137999999999998</v>
      </c>
      <c r="G156">
        <v>60.780999999999999</v>
      </c>
      <c r="H156">
        <v>59.354999999999997</v>
      </c>
      <c r="I156">
        <v>58.54</v>
      </c>
      <c r="J156">
        <v>58.996000000000002</v>
      </c>
      <c r="K156">
        <v>59.066000000000003</v>
      </c>
      <c r="L156">
        <v>58.591999999999999</v>
      </c>
      <c r="M156">
        <v>57.357999999999997</v>
      </c>
      <c r="N156">
        <v>58.374000000000002</v>
      </c>
      <c r="O156">
        <v>58.103999999999999</v>
      </c>
      <c r="P156">
        <v>58.578000000000003</v>
      </c>
      <c r="Q156">
        <v>58.716000000000001</v>
      </c>
      <c r="R156">
        <v>58.792999999999999</v>
      </c>
      <c r="S156">
        <v>58.466000000000001</v>
      </c>
      <c r="T156">
        <v>59.116</v>
      </c>
      <c r="U156">
        <v>59.231000000000002</v>
      </c>
      <c r="V156">
        <v>59.706000000000003</v>
      </c>
      <c r="W156">
        <v>59.835999999999999</v>
      </c>
      <c r="X156">
        <v>59.378</v>
      </c>
      <c r="Y156">
        <v>58.975999999999999</v>
      </c>
      <c r="Z156">
        <v>59.526000000000003</v>
      </c>
      <c r="AA156">
        <v>59.719000000000001</v>
      </c>
      <c r="AB156">
        <v>60.127000000000002</v>
      </c>
      <c r="AC156">
        <v>60.279000000000003</v>
      </c>
      <c r="AD156">
        <v>60.561999999999998</v>
      </c>
      <c r="AE156">
        <v>60.691000000000003</v>
      </c>
      <c r="AF156">
        <v>61.036000000000001</v>
      </c>
      <c r="AG156">
        <v>61.259</v>
      </c>
      <c r="AH156">
        <v>61.314999999999998</v>
      </c>
      <c r="AI156">
        <v>60.587000000000003</v>
      </c>
      <c r="AJ156">
        <v>60.704000000000001</v>
      </c>
      <c r="AK156">
        <v>61.05</v>
      </c>
      <c r="AL156">
        <v>61.685000000000002</v>
      </c>
      <c r="AM156">
        <v>61.68</v>
      </c>
      <c r="AN156">
        <v>61.536999999999999</v>
      </c>
    </row>
    <row r="157" spans="1:40" x14ac:dyDescent="0.25">
      <c r="A157" t="s">
        <v>319</v>
      </c>
      <c r="B157" t="s">
        <v>320</v>
      </c>
      <c r="C157" t="s">
        <v>9</v>
      </c>
      <c r="D157">
        <v>0</v>
      </c>
      <c r="E157">
        <v>51.610999999999997</v>
      </c>
      <c r="F157">
        <v>51.823</v>
      </c>
      <c r="G157">
        <v>52.186</v>
      </c>
      <c r="H157">
        <v>52.819000000000003</v>
      </c>
      <c r="I157">
        <v>51.951000000000001</v>
      </c>
      <c r="J157">
        <v>52.01</v>
      </c>
      <c r="K157">
        <v>56.866999999999997</v>
      </c>
      <c r="L157">
        <v>56.923999999999999</v>
      </c>
      <c r="M157">
        <v>58.014000000000003</v>
      </c>
      <c r="N157">
        <v>58.124000000000002</v>
      </c>
      <c r="O157">
        <v>57.594999999999999</v>
      </c>
      <c r="P157">
        <v>58.796999999999997</v>
      </c>
      <c r="Q157">
        <v>59.357999999999997</v>
      </c>
      <c r="R157">
        <v>59.497</v>
      </c>
      <c r="S157">
        <v>59.131999999999998</v>
      </c>
      <c r="T157">
        <v>59.35</v>
      </c>
      <c r="U157">
        <v>59.755000000000003</v>
      </c>
      <c r="V157">
        <v>59.956000000000003</v>
      </c>
      <c r="W157">
        <v>61.329000000000001</v>
      </c>
      <c r="X157">
        <v>61.646000000000001</v>
      </c>
      <c r="Y157">
        <v>60.021000000000001</v>
      </c>
      <c r="Z157">
        <v>60.613</v>
      </c>
      <c r="AA157">
        <v>60.902999999999999</v>
      </c>
      <c r="AB157">
        <v>61.21</v>
      </c>
      <c r="AC157">
        <v>61.988</v>
      </c>
      <c r="AD157">
        <v>62.36</v>
      </c>
      <c r="AE157">
        <v>62.933999999999997</v>
      </c>
      <c r="AF157">
        <v>62.704999999999998</v>
      </c>
      <c r="AG157">
        <v>63.006999999999998</v>
      </c>
      <c r="AH157">
        <v>63.079000000000001</v>
      </c>
      <c r="AI157">
        <v>62.636000000000003</v>
      </c>
      <c r="AJ157">
        <v>62.631</v>
      </c>
      <c r="AK157">
        <v>61.930999999999997</v>
      </c>
      <c r="AL157">
        <v>62.375</v>
      </c>
      <c r="AM157">
        <v>62.53</v>
      </c>
      <c r="AN157">
        <v>62.222999999999999</v>
      </c>
    </row>
    <row r="158" spans="1:40" x14ac:dyDescent="0.25">
      <c r="A158" t="s">
        <v>321</v>
      </c>
      <c r="B158" t="s">
        <v>322</v>
      </c>
      <c r="C158" t="s">
        <v>6</v>
      </c>
      <c r="D158">
        <v>0</v>
      </c>
      <c r="E158">
        <v>18.797999999999998</v>
      </c>
      <c r="F158">
        <v>19.062000000000001</v>
      </c>
      <c r="G158">
        <v>19.52</v>
      </c>
      <c r="H158">
        <v>19.739000000000001</v>
      </c>
      <c r="I158">
        <v>20.094000000000001</v>
      </c>
      <c r="J158">
        <v>20.484000000000002</v>
      </c>
      <c r="K158">
        <v>19.042999999999999</v>
      </c>
      <c r="L158">
        <v>17.722999999999999</v>
      </c>
      <c r="M158">
        <v>16.510999999999999</v>
      </c>
      <c r="N158">
        <v>18.594000000000001</v>
      </c>
      <c r="O158">
        <v>20.887</v>
      </c>
      <c r="P158">
        <v>20.241</v>
      </c>
      <c r="Q158">
        <v>19.616</v>
      </c>
      <c r="R158">
        <v>19.010000000000002</v>
      </c>
      <c r="S158">
        <v>17.747</v>
      </c>
      <c r="T158">
        <v>16.538</v>
      </c>
      <c r="U158">
        <v>15.388</v>
      </c>
      <c r="V158">
        <v>14.214</v>
      </c>
      <c r="W158">
        <v>13.702999999999999</v>
      </c>
      <c r="X158">
        <v>13.21</v>
      </c>
      <c r="Y158">
        <v>12.978999999999999</v>
      </c>
      <c r="Z158">
        <v>14.933999999999999</v>
      </c>
      <c r="AA158">
        <v>13.499000000000001</v>
      </c>
      <c r="AB158">
        <v>13.03</v>
      </c>
      <c r="AC158">
        <v>12.811999999999999</v>
      </c>
      <c r="AD158">
        <v>12.728999999999999</v>
      </c>
      <c r="AE158">
        <v>12.802</v>
      </c>
      <c r="AF158">
        <v>12.939</v>
      </c>
      <c r="AG158">
        <v>13.137</v>
      </c>
      <c r="AH158">
        <v>13.39</v>
      </c>
      <c r="AI158">
        <v>12.667999999999999</v>
      </c>
      <c r="AJ158">
        <v>12.824</v>
      </c>
      <c r="AK158">
        <v>13.02</v>
      </c>
      <c r="AL158">
        <v>12.879</v>
      </c>
      <c r="AM158">
        <v>12.772</v>
      </c>
      <c r="AN158">
        <v>12.727</v>
      </c>
    </row>
    <row r="159" spans="1:40" x14ac:dyDescent="0.25">
      <c r="A159" t="s">
        <v>323</v>
      </c>
      <c r="B159" t="s">
        <v>324</v>
      </c>
      <c r="C159" t="s">
        <v>6</v>
      </c>
      <c r="D159">
        <v>0</v>
      </c>
      <c r="E159">
        <v>44.304000000000002</v>
      </c>
      <c r="F159">
        <v>44.298999999999999</v>
      </c>
      <c r="G159">
        <v>44.308999999999997</v>
      </c>
      <c r="H159">
        <v>44.341000000000001</v>
      </c>
      <c r="I159">
        <v>44.362000000000002</v>
      </c>
      <c r="J159">
        <v>44.363</v>
      </c>
      <c r="K159">
        <v>44.360999999999997</v>
      </c>
      <c r="L159">
        <v>44.363</v>
      </c>
      <c r="M159">
        <v>44.372</v>
      </c>
      <c r="N159">
        <v>44.384999999999998</v>
      </c>
      <c r="O159">
        <v>44.393999999999998</v>
      </c>
      <c r="P159">
        <v>44.396999999999998</v>
      </c>
      <c r="Q159">
        <v>44.4</v>
      </c>
      <c r="R159">
        <v>44.404000000000003</v>
      </c>
      <c r="S159">
        <v>41.765999999999998</v>
      </c>
      <c r="T159">
        <v>39.159999999999997</v>
      </c>
      <c r="U159">
        <v>36.597000000000001</v>
      </c>
      <c r="V159">
        <v>34.093000000000004</v>
      </c>
      <c r="W159">
        <v>31.66</v>
      </c>
      <c r="X159">
        <v>29.308</v>
      </c>
      <c r="Y159">
        <v>28.405000000000001</v>
      </c>
      <c r="Z159">
        <v>27.510999999999999</v>
      </c>
      <c r="AA159">
        <v>26.606000000000002</v>
      </c>
      <c r="AB159">
        <v>25.693999999999999</v>
      </c>
      <c r="AC159">
        <v>24.795000000000002</v>
      </c>
      <c r="AD159">
        <v>23.907</v>
      </c>
      <c r="AE159">
        <v>23.032</v>
      </c>
      <c r="AF159">
        <v>22.25</v>
      </c>
      <c r="AG159">
        <v>21.43</v>
      </c>
      <c r="AH159">
        <v>20.681000000000001</v>
      </c>
      <c r="AI159">
        <v>20.486999999999998</v>
      </c>
      <c r="AJ159">
        <v>20.591999999999999</v>
      </c>
      <c r="AK159">
        <v>21.395</v>
      </c>
      <c r="AL159">
        <v>21.673999999999999</v>
      </c>
      <c r="AM159">
        <v>21.946000000000002</v>
      </c>
      <c r="AN159">
        <v>21.896999999999998</v>
      </c>
    </row>
    <row r="160" spans="1:40" x14ac:dyDescent="0.25">
      <c r="A160" t="s">
        <v>325</v>
      </c>
      <c r="B160" t="s">
        <v>326</v>
      </c>
      <c r="C160" t="s">
        <v>14</v>
      </c>
      <c r="D160">
        <v>1</v>
      </c>
      <c r="E160">
        <v>84.054000000000002</v>
      </c>
      <c r="F160">
        <v>84.084000000000003</v>
      </c>
      <c r="G160">
        <v>84.116</v>
      </c>
      <c r="H160">
        <v>84.179000000000002</v>
      </c>
      <c r="I160">
        <v>84.275999999999996</v>
      </c>
      <c r="J160">
        <v>84.332999999999998</v>
      </c>
      <c r="K160">
        <v>84.313999999999993</v>
      </c>
      <c r="L160">
        <v>84.301000000000002</v>
      </c>
      <c r="M160">
        <v>84.316000000000003</v>
      </c>
      <c r="N160">
        <v>84.328000000000003</v>
      </c>
      <c r="O160">
        <v>84.344999999999999</v>
      </c>
      <c r="P160">
        <v>84.35</v>
      </c>
      <c r="Q160">
        <v>84.938999999999993</v>
      </c>
      <c r="R160">
        <v>85.51</v>
      </c>
      <c r="S160">
        <v>86.063999999999993</v>
      </c>
      <c r="T160">
        <v>86.6</v>
      </c>
      <c r="U160">
        <v>87.119</v>
      </c>
      <c r="V160">
        <v>86.361000000000004</v>
      </c>
      <c r="W160">
        <v>85.572000000000003</v>
      </c>
      <c r="X160">
        <v>84.751000000000005</v>
      </c>
      <c r="Y160">
        <v>83.896000000000001</v>
      </c>
      <c r="Z160">
        <v>83.001000000000005</v>
      </c>
      <c r="AA160">
        <v>82.069000000000003</v>
      </c>
      <c r="AB160">
        <v>81.097999999999999</v>
      </c>
      <c r="AC160">
        <v>80.088999999999999</v>
      </c>
      <c r="AD160">
        <v>80.123000000000005</v>
      </c>
      <c r="AE160">
        <v>80.164000000000001</v>
      </c>
      <c r="AF160">
        <v>80.201999999999998</v>
      </c>
      <c r="AG160">
        <v>80.233999999999995</v>
      </c>
      <c r="AH160">
        <v>80.265000000000001</v>
      </c>
      <c r="AI160">
        <v>79.343999999999994</v>
      </c>
      <c r="AJ160">
        <v>80.424999999999997</v>
      </c>
      <c r="AK160">
        <v>80.272999999999996</v>
      </c>
      <c r="AL160">
        <v>80.33</v>
      </c>
      <c r="AM160">
        <v>80.287999999999997</v>
      </c>
      <c r="AN160">
        <v>80.281999999999996</v>
      </c>
    </row>
    <row r="161" spans="1:40" x14ac:dyDescent="0.25">
      <c r="A161" t="s">
        <v>327</v>
      </c>
      <c r="B161" t="s">
        <v>328</v>
      </c>
      <c r="C161" t="s">
        <v>22</v>
      </c>
      <c r="D161">
        <v>0</v>
      </c>
      <c r="E161">
        <v>65.605000000000004</v>
      </c>
      <c r="F161">
        <v>65.522000000000006</v>
      </c>
      <c r="G161">
        <v>65.474000000000004</v>
      </c>
      <c r="H161">
        <v>65.451999999999998</v>
      </c>
      <c r="I161">
        <v>65.456000000000003</v>
      </c>
      <c r="J161">
        <v>66.555999999999997</v>
      </c>
      <c r="K161">
        <v>67.564999999999998</v>
      </c>
      <c r="L161">
        <v>67.742999999999995</v>
      </c>
      <c r="M161">
        <v>66.361000000000004</v>
      </c>
      <c r="N161">
        <v>65.185000000000002</v>
      </c>
      <c r="O161">
        <v>65.596000000000004</v>
      </c>
      <c r="P161">
        <v>65.254999999999995</v>
      </c>
      <c r="Q161">
        <v>65.106999999999999</v>
      </c>
      <c r="R161">
        <v>64.989999999999995</v>
      </c>
      <c r="S161">
        <v>64.808000000000007</v>
      </c>
      <c r="T161">
        <v>65.23</v>
      </c>
      <c r="U161">
        <v>64.281000000000006</v>
      </c>
      <c r="V161">
        <v>64.808000000000007</v>
      </c>
      <c r="W161">
        <v>64.867000000000004</v>
      </c>
      <c r="X161">
        <v>64.659000000000006</v>
      </c>
      <c r="Y161">
        <v>63.685000000000002</v>
      </c>
      <c r="Z161">
        <v>65.805999999999997</v>
      </c>
      <c r="AA161">
        <v>65.070999999999998</v>
      </c>
      <c r="AB161">
        <v>61.78</v>
      </c>
      <c r="AC161">
        <v>61.447000000000003</v>
      </c>
      <c r="AD161">
        <v>61.067999999999998</v>
      </c>
      <c r="AE161">
        <v>60.17</v>
      </c>
      <c r="AF161">
        <v>59.350999999999999</v>
      </c>
      <c r="AG161">
        <v>59.569000000000003</v>
      </c>
      <c r="AH161">
        <v>58.9</v>
      </c>
      <c r="AI161">
        <v>59.106000000000002</v>
      </c>
      <c r="AJ161">
        <v>59.18</v>
      </c>
      <c r="AK161">
        <v>59.576000000000001</v>
      </c>
      <c r="AL161">
        <v>60.311</v>
      </c>
      <c r="AM161">
        <v>59.472999999999999</v>
      </c>
      <c r="AN161">
        <v>58.963000000000001</v>
      </c>
    </row>
    <row r="162" spans="1:40" x14ac:dyDescent="0.25">
      <c r="A162" t="s">
        <v>329</v>
      </c>
      <c r="B162" t="s">
        <v>330</v>
      </c>
      <c r="C162" t="s">
        <v>22</v>
      </c>
      <c r="D162">
        <v>0</v>
      </c>
      <c r="E162">
        <v>66.876000000000005</v>
      </c>
      <c r="F162">
        <v>66.531999999999996</v>
      </c>
      <c r="G162">
        <v>66.299000000000007</v>
      </c>
      <c r="H162">
        <v>66.081000000000003</v>
      </c>
      <c r="I162">
        <v>66.007000000000005</v>
      </c>
      <c r="J162">
        <v>65.906999999999996</v>
      </c>
      <c r="K162">
        <v>65.685000000000002</v>
      </c>
      <c r="L162">
        <v>65.599000000000004</v>
      </c>
      <c r="M162">
        <v>65.763999999999996</v>
      </c>
      <c r="N162">
        <v>67.534999999999997</v>
      </c>
      <c r="O162">
        <v>64.177999999999997</v>
      </c>
      <c r="P162">
        <v>63.704000000000001</v>
      </c>
      <c r="Q162">
        <v>64.123999999999995</v>
      </c>
      <c r="R162">
        <v>64.216999999999999</v>
      </c>
      <c r="S162">
        <v>64.063999999999993</v>
      </c>
      <c r="T162">
        <v>63.841999999999999</v>
      </c>
      <c r="U162">
        <v>64.043999999999997</v>
      </c>
      <c r="V162">
        <v>63.514000000000003</v>
      </c>
      <c r="W162">
        <v>62.926000000000002</v>
      </c>
      <c r="X162">
        <v>62.384999999999998</v>
      </c>
      <c r="Y162">
        <v>61.927999999999997</v>
      </c>
      <c r="Z162">
        <v>61.703000000000003</v>
      </c>
      <c r="AA162">
        <v>61.579000000000001</v>
      </c>
      <c r="AB162">
        <v>61.506999999999998</v>
      </c>
      <c r="AC162">
        <v>61.365000000000002</v>
      </c>
      <c r="AD162">
        <v>61.298000000000002</v>
      </c>
      <c r="AE162">
        <v>61.26</v>
      </c>
      <c r="AF162">
        <v>61.478999999999999</v>
      </c>
      <c r="AG162">
        <v>61.62</v>
      </c>
      <c r="AH162">
        <v>61.033999999999999</v>
      </c>
      <c r="AI162">
        <v>60.457000000000001</v>
      </c>
      <c r="AJ162">
        <v>61.212000000000003</v>
      </c>
      <c r="AK162">
        <v>61.165999999999997</v>
      </c>
      <c r="AL162">
        <v>60.774000000000001</v>
      </c>
      <c r="AM162">
        <v>61.457000000000001</v>
      </c>
      <c r="AN162">
        <v>61.676000000000002</v>
      </c>
    </row>
    <row r="163" spans="1:40" x14ac:dyDescent="0.25">
      <c r="A163" t="s">
        <v>331</v>
      </c>
      <c r="B163" t="s">
        <v>332</v>
      </c>
      <c r="C163" t="s">
        <v>14</v>
      </c>
      <c r="D163">
        <v>0</v>
      </c>
      <c r="E163">
        <v>54.237000000000002</v>
      </c>
      <c r="F163">
        <v>54.311999999999998</v>
      </c>
      <c r="G163">
        <v>54.392000000000003</v>
      </c>
      <c r="H163">
        <v>54.475000000000001</v>
      </c>
      <c r="I163">
        <v>54.564</v>
      </c>
      <c r="J163">
        <v>54.651000000000003</v>
      </c>
      <c r="K163">
        <v>54.743000000000002</v>
      </c>
      <c r="L163">
        <v>54.853999999999999</v>
      </c>
      <c r="M163">
        <v>54.978000000000002</v>
      </c>
      <c r="N163">
        <v>55.091000000000001</v>
      </c>
      <c r="O163">
        <v>55.185000000000002</v>
      </c>
      <c r="P163">
        <v>55.256</v>
      </c>
      <c r="Q163">
        <v>55.31</v>
      </c>
      <c r="R163">
        <v>55.362000000000002</v>
      </c>
      <c r="S163">
        <v>55.418999999999997</v>
      </c>
      <c r="T163">
        <v>55.468000000000004</v>
      </c>
      <c r="U163">
        <v>55.527000000000001</v>
      </c>
      <c r="V163">
        <v>55.578000000000003</v>
      </c>
      <c r="W163">
        <v>55.606000000000002</v>
      </c>
      <c r="X163">
        <v>55.615000000000002</v>
      </c>
      <c r="Y163">
        <v>55.597999999999999</v>
      </c>
      <c r="Z163">
        <v>55.58</v>
      </c>
      <c r="AA163">
        <v>55.575000000000003</v>
      </c>
      <c r="AB163">
        <v>55.585000000000001</v>
      </c>
      <c r="AC163">
        <v>55.609000000000002</v>
      </c>
      <c r="AD163">
        <v>55.643999999999998</v>
      </c>
      <c r="AE163">
        <v>55.686</v>
      </c>
      <c r="AF163">
        <v>55.738</v>
      </c>
      <c r="AG163">
        <v>55.798999999999999</v>
      </c>
      <c r="AH163">
        <v>55.866999999999997</v>
      </c>
      <c r="AI163">
        <v>55.335000000000001</v>
      </c>
      <c r="AJ163">
        <v>55.664000000000001</v>
      </c>
      <c r="AK163">
        <v>56.238</v>
      </c>
      <c r="AL163">
        <v>56.49</v>
      </c>
      <c r="AM163">
        <v>56.603999999999999</v>
      </c>
      <c r="AN163">
        <v>56.637</v>
      </c>
    </row>
    <row r="164" spans="1:40" x14ac:dyDescent="0.25">
      <c r="A164" t="s">
        <v>333</v>
      </c>
      <c r="B164" t="s">
        <v>334</v>
      </c>
      <c r="C164" t="s">
        <v>22</v>
      </c>
      <c r="D164">
        <v>0</v>
      </c>
      <c r="E164">
        <v>36.287999999999997</v>
      </c>
      <c r="F164">
        <v>38.491</v>
      </c>
      <c r="G164">
        <v>40.786000000000001</v>
      </c>
      <c r="H164">
        <v>43.133000000000003</v>
      </c>
      <c r="I164">
        <v>45.466999999999999</v>
      </c>
      <c r="J164">
        <v>45.295000000000002</v>
      </c>
      <c r="K164">
        <v>45.076000000000001</v>
      </c>
      <c r="L164">
        <v>44.893999999999998</v>
      </c>
      <c r="M164">
        <v>44.774999999999999</v>
      </c>
      <c r="N164">
        <v>44.652000000000001</v>
      </c>
      <c r="O164">
        <v>44.526000000000003</v>
      </c>
      <c r="P164">
        <v>44.411999999999999</v>
      </c>
      <c r="Q164">
        <v>44.316000000000003</v>
      </c>
      <c r="R164">
        <v>44.234999999999999</v>
      </c>
      <c r="S164">
        <v>44.146000000000001</v>
      </c>
      <c r="T164">
        <v>44.036999999999999</v>
      </c>
      <c r="U164">
        <v>43.908000000000001</v>
      </c>
      <c r="V164">
        <v>43.814</v>
      </c>
      <c r="W164">
        <v>43.767000000000003</v>
      </c>
      <c r="X164">
        <v>43.725000000000001</v>
      </c>
      <c r="Y164">
        <v>43.634</v>
      </c>
      <c r="Z164">
        <v>43.521000000000001</v>
      </c>
      <c r="AA164">
        <v>43.429000000000002</v>
      </c>
      <c r="AB164">
        <v>43.319000000000003</v>
      </c>
      <c r="AC164">
        <v>43.21</v>
      </c>
      <c r="AD164">
        <v>43.081000000000003</v>
      </c>
      <c r="AE164">
        <v>42.935000000000002</v>
      </c>
      <c r="AF164">
        <v>42.774000000000001</v>
      </c>
      <c r="AG164">
        <v>42.606000000000002</v>
      </c>
      <c r="AH164">
        <v>42.646999999999998</v>
      </c>
      <c r="AI164">
        <v>42.28</v>
      </c>
      <c r="AJ164">
        <v>42.595999999999997</v>
      </c>
      <c r="AK164">
        <v>42.616999999999997</v>
      </c>
      <c r="AL164">
        <v>42.616999999999997</v>
      </c>
      <c r="AM164">
        <v>42.5</v>
      </c>
      <c r="AN164">
        <v>42.347000000000001</v>
      </c>
    </row>
    <row r="165" spans="1:40" x14ac:dyDescent="0.25">
      <c r="A165" t="s">
        <v>335</v>
      </c>
      <c r="B165" t="s">
        <v>336</v>
      </c>
      <c r="C165" t="s">
        <v>17</v>
      </c>
      <c r="D165">
        <v>0</v>
      </c>
      <c r="E165">
        <v>43.393999999999998</v>
      </c>
      <c r="F165">
        <v>43.682000000000002</v>
      </c>
      <c r="G165">
        <v>44.527000000000001</v>
      </c>
      <c r="H165">
        <v>44.546999999999997</v>
      </c>
      <c r="I165">
        <v>45.396000000000001</v>
      </c>
      <c r="J165">
        <v>46.231000000000002</v>
      </c>
      <c r="K165">
        <v>48.387999999999998</v>
      </c>
      <c r="L165">
        <v>48.488999999999997</v>
      </c>
      <c r="M165">
        <v>48.598999999999997</v>
      </c>
      <c r="N165">
        <v>48.521000000000001</v>
      </c>
      <c r="O165">
        <v>48.401000000000003</v>
      </c>
      <c r="P165">
        <v>48.844999999999999</v>
      </c>
      <c r="Q165">
        <v>49.276000000000003</v>
      </c>
      <c r="R165">
        <v>51.195</v>
      </c>
      <c r="S165">
        <v>53.107999999999997</v>
      </c>
      <c r="T165">
        <v>55.018999999999998</v>
      </c>
      <c r="U165">
        <v>55.396000000000001</v>
      </c>
      <c r="V165">
        <v>53.905999999999999</v>
      </c>
      <c r="W165">
        <v>54.572000000000003</v>
      </c>
      <c r="X165">
        <v>53</v>
      </c>
      <c r="Y165">
        <v>52.201000000000001</v>
      </c>
      <c r="Z165">
        <v>51.11</v>
      </c>
      <c r="AA165">
        <v>52.886000000000003</v>
      </c>
      <c r="AB165">
        <v>52.957000000000001</v>
      </c>
      <c r="AC165">
        <v>53.39</v>
      </c>
      <c r="AD165">
        <v>51.963999999999999</v>
      </c>
      <c r="AE165">
        <v>51.921999999999997</v>
      </c>
      <c r="AF165">
        <v>51.621000000000002</v>
      </c>
      <c r="AG165">
        <v>51.338000000000001</v>
      </c>
      <c r="AH165">
        <v>51.033000000000001</v>
      </c>
      <c r="AI165">
        <v>49.325000000000003</v>
      </c>
      <c r="AJ165">
        <v>48.878999999999998</v>
      </c>
      <c r="AK165">
        <v>50.02</v>
      </c>
      <c r="AL165">
        <v>50.030999999999999</v>
      </c>
      <c r="AM165">
        <v>48.149000000000001</v>
      </c>
      <c r="AN165">
        <v>47.77</v>
      </c>
    </row>
    <row r="166" spans="1:40" x14ac:dyDescent="0.25">
      <c r="A166" t="s">
        <v>337</v>
      </c>
      <c r="B166" t="s">
        <v>338</v>
      </c>
      <c r="C166" t="s">
        <v>6</v>
      </c>
      <c r="D166">
        <v>0</v>
      </c>
      <c r="E166">
        <v>22.245000000000001</v>
      </c>
      <c r="F166">
        <v>22.373000000000001</v>
      </c>
      <c r="G166">
        <v>22.763999999999999</v>
      </c>
      <c r="H166">
        <v>22.879000000000001</v>
      </c>
      <c r="I166">
        <v>23.073</v>
      </c>
      <c r="J166">
        <v>23.297000000000001</v>
      </c>
      <c r="K166">
        <v>23.542000000000002</v>
      </c>
      <c r="L166">
        <v>23.812000000000001</v>
      </c>
      <c r="M166">
        <v>23.757999999999999</v>
      </c>
      <c r="N166">
        <v>23.716000000000001</v>
      </c>
      <c r="O166">
        <v>23.684000000000001</v>
      </c>
      <c r="P166">
        <v>23.663</v>
      </c>
      <c r="Q166">
        <v>23.654</v>
      </c>
      <c r="R166">
        <v>23.655000000000001</v>
      </c>
      <c r="S166">
        <v>23.669</v>
      </c>
      <c r="T166">
        <v>23.699000000000002</v>
      </c>
      <c r="U166">
        <v>24.489000000000001</v>
      </c>
      <c r="V166">
        <v>24.584</v>
      </c>
      <c r="W166">
        <v>24.815000000000001</v>
      </c>
      <c r="X166">
        <v>24.773</v>
      </c>
      <c r="Y166">
        <v>24.792000000000002</v>
      </c>
      <c r="Z166">
        <v>24.765000000000001</v>
      </c>
      <c r="AA166">
        <v>25.576000000000001</v>
      </c>
      <c r="AB166">
        <v>25.446999999999999</v>
      </c>
      <c r="AC166">
        <v>25.733000000000001</v>
      </c>
      <c r="AD166">
        <v>26.071999999999999</v>
      </c>
      <c r="AE166">
        <v>26.646999999999998</v>
      </c>
      <c r="AF166">
        <v>26.477</v>
      </c>
      <c r="AG166">
        <v>27.382999999999999</v>
      </c>
      <c r="AH166">
        <v>28.271999999999998</v>
      </c>
      <c r="AI166">
        <v>26.274000000000001</v>
      </c>
      <c r="AJ166">
        <v>26.698</v>
      </c>
      <c r="AK166">
        <v>27.518999999999998</v>
      </c>
      <c r="AL166">
        <v>26.780999999999999</v>
      </c>
      <c r="AM166">
        <v>26.635000000000002</v>
      </c>
      <c r="AN166">
        <v>26.497</v>
      </c>
    </row>
    <row r="167" spans="1:40" x14ac:dyDescent="0.25">
      <c r="A167" t="s">
        <v>339</v>
      </c>
      <c r="B167" t="s">
        <v>340</v>
      </c>
      <c r="C167" t="s">
        <v>9</v>
      </c>
      <c r="D167">
        <v>0</v>
      </c>
      <c r="E167">
        <v>33.930999999999997</v>
      </c>
      <c r="F167">
        <v>33.994</v>
      </c>
      <c r="G167">
        <v>32.590000000000003</v>
      </c>
      <c r="H167">
        <v>26.651</v>
      </c>
      <c r="I167">
        <v>31.143999999999998</v>
      </c>
      <c r="J167">
        <v>30.798999999999999</v>
      </c>
      <c r="K167">
        <v>30.459</v>
      </c>
      <c r="L167">
        <v>28.716999999999999</v>
      </c>
      <c r="M167">
        <v>29.177</v>
      </c>
      <c r="N167">
        <v>29.922000000000001</v>
      </c>
      <c r="O167">
        <v>26.509</v>
      </c>
      <c r="P167">
        <v>27.088000000000001</v>
      </c>
      <c r="Q167">
        <v>27.864000000000001</v>
      </c>
      <c r="R167">
        <v>26.545000000000002</v>
      </c>
      <c r="S167">
        <v>23.138999999999999</v>
      </c>
      <c r="T167">
        <v>23.114000000000001</v>
      </c>
      <c r="U167">
        <v>23.425999999999998</v>
      </c>
      <c r="V167">
        <v>23.449000000000002</v>
      </c>
      <c r="W167">
        <v>24.331</v>
      </c>
      <c r="X167">
        <v>25.867999999999999</v>
      </c>
      <c r="Y167">
        <v>27.445</v>
      </c>
      <c r="Z167">
        <v>28.638999999999999</v>
      </c>
      <c r="AA167">
        <v>29.361000000000001</v>
      </c>
      <c r="AB167">
        <v>30.643999999999998</v>
      </c>
      <c r="AC167">
        <v>30.170999999999999</v>
      </c>
      <c r="AD167">
        <v>31.416</v>
      </c>
      <c r="AE167">
        <v>32.380000000000003</v>
      </c>
      <c r="AF167">
        <v>33.533000000000001</v>
      </c>
      <c r="AG167">
        <v>34.115000000000002</v>
      </c>
      <c r="AH167">
        <v>34.289000000000001</v>
      </c>
      <c r="AI167">
        <v>30.83</v>
      </c>
      <c r="AJ167">
        <v>32.774000000000001</v>
      </c>
      <c r="AK167">
        <v>35.018000000000001</v>
      </c>
      <c r="AL167">
        <v>35.764000000000003</v>
      </c>
      <c r="AM167">
        <v>36.786000000000001</v>
      </c>
      <c r="AN167">
        <v>37.145000000000003</v>
      </c>
    </row>
    <row r="168" spans="1:40" x14ac:dyDescent="0.25">
      <c r="A168" t="s">
        <v>341</v>
      </c>
      <c r="B168" t="s">
        <v>342</v>
      </c>
      <c r="C168" t="s">
        <v>6</v>
      </c>
      <c r="D168">
        <v>0</v>
      </c>
      <c r="E168">
        <v>43.633000000000003</v>
      </c>
      <c r="F168">
        <v>44.494</v>
      </c>
      <c r="G168">
        <v>47.000999999999998</v>
      </c>
      <c r="H168">
        <v>47.103999999999999</v>
      </c>
      <c r="I168">
        <v>50.494999999999997</v>
      </c>
      <c r="J168">
        <v>52.152999999999999</v>
      </c>
      <c r="K168">
        <v>51.283999999999999</v>
      </c>
      <c r="L168">
        <v>53.856000000000002</v>
      </c>
      <c r="M168">
        <v>52.863</v>
      </c>
      <c r="N168">
        <v>50.427999999999997</v>
      </c>
      <c r="O168">
        <v>49.859000000000002</v>
      </c>
      <c r="P168">
        <v>49.481999999999999</v>
      </c>
      <c r="Q168">
        <v>49.774999999999999</v>
      </c>
      <c r="R168">
        <v>49.564999999999998</v>
      </c>
      <c r="S168">
        <v>49.076000000000001</v>
      </c>
      <c r="T168">
        <v>47.445</v>
      </c>
      <c r="U168">
        <v>46.201000000000001</v>
      </c>
      <c r="V168">
        <v>45.04</v>
      </c>
      <c r="W168">
        <v>43.600999999999999</v>
      </c>
      <c r="X168">
        <v>43.16</v>
      </c>
      <c r="Y168">
        <v>42.451000000000001</v>
      </c>
      <c r="Z168">
        <v>41.363999999999997</v>
      </c>
      <c r="AA168">
        <v>40.686</v>
      </c>
      <c r="AB168">
        <v>40.151000000000003</v>
      </c>
      <c r="AC168">
        <v>39.682000000000002</v>
      </c>
      <c r="AD168">
        <v>39.460999999999999</v>
      </c>
      <c r="AE168">
        <v>39.273000000000003</v>
      </c>
      <c r="AF168">
        <v>39.088999999999999</v>
      </c>
      <c r="AG168">
        <v>38.933</v>
      </c>
      <c r="AH168">
        <v>38.787999999999997</v>
      </c>
      <c r="AI168">
        <v>37.61</v>
      </c>
      <c r="AJ168">
        <v>37.838999999999999</v>
      </c>
      <c r="AK168">
        <v>38.384999999999998</v>
      </c>
      <c r="AL168">
        <v>38.228000000000002</v>
      </c>
      <c r="AM168">
        <v>38.35</v>
      </c>
      <c r="AN168">
        <v>38.241999999999997</v>
      </c>
    </row>
    <row r="169" spans="1:40" x14ac:dyDescent="0.25">
      <c r="A169" t="s">
        <v>343</v>
      </c>
      <c r="B169" t="s">
        <v>344</v>
      </c>
      <c r="C169" t="s">
        <v>14</v>
      </c>
      <c r="D169">
        <v>1</v>
      </c>
      <c r="E169">
        <v>70.783000000000001</v>
      </c>
      <c r="F169">
        <v>70.804000000000002</v>
      </c>
      <c r="G169">
        <v>70.844999999999999</v>
      </c>
      <c r="H169">
        <v>70.906000000000006</v>
      </c>
      <c r="I169">
        <v>70.98</v>
      </c>
      <c r="J169">
        <v>71.069000000000003</v>
      </c>
      <c r="K169">
        <v>71.147000000000006</v>
      </c>
      <c r="L169">
        <v>71.201999999999998</v>
      </c>
      <c r="M169">
        <v>71.236000000000004</v>
      </c>
      <c r="N169">
        <v>71.247</v>
      </c>
      <c r="O169">
        <v>71.247</v>
      </c>
      <c r="P169">
        <v>71.228999999999999</v>
      </c>
      <c r="Q169">
        <v>71.188999999999993</v>
      </c>
      <c r="R169">
        <v>71.137</v>
      </c>
      <c r="S169">
        <v>71.084999999999994</v>
      </c>
      <c r="T169">
        <v>71.027000000000001</v>
      </c>
      <c r="U169">
        <v>70.963999999999999</v>
      </c>
      <c r="V169">
        <v>70.902000000000001</v>
      </c>
      <c r="W169">
        <v>70.835999999999999</v>
      </c>
      <c r="X169">
        <v>70.765000000000001</v>
      </c>
      <c r="Y169">
        <v>70.697000000000003</v>
      </c>
      <c r="Z169">
        <v>77.924999999999997</v>
      </c>
      <c r="AA169">
        <v>65.504999999999995</v>
      </c>
      <c r="AB169">
        <v>81.909000000000006</v>
      </c>
      <c r="AC169">
        <v>75.641000000000005</v>
      </c>
      <c r="AD169">
        <v>73.721999999999994</v>
      </c>
      <c r="AE169">
        <v>71.587000000000003</v>
      </c>
      <c r="AF169">
        <v>69.216999999999999</v>
      </c>
      <c r="AG169">
        <v>71.686999999999998</v>
      </c>
      <c r="AH169">
        <v>73.849999999999994</v>
      </c>
      <c r="AI169">
        <v>73.975999999999999</v>
      </c>
      <c r="AJ169">
        <v>74.671999999999997</v>
      </c>
      <c r="AK169">
        <v>75.364000000000004</v>
      </c>
      <c r="AL169">
        <v>75.444999999999993</v>
      </c>
      <c r="AM169">
        <v>75.555999999999997</v>
      </c>
      <c r="AN169">
        <v>75.594999999999999</v>
      </c>
    </row>
    <row r="170" spans="1:40" x14ac:dyDescent="0.25">
      <c r="A170" t="s">
        <v>345</v>
      </c>
      <c r="B170" t="s">
        <v>346</v>
      </c>
      <c r="C170" t="s">
        <v>9</v>
      </c>
      <c r="D170">
        <v>0</v>
      </c>
      <c r="E170">
        <v>53.567</v>
      </c>
      <c r="F170">
        <v>53.496000000000002</v>
      </c>
      <c r="G170">
        <v>53.424999999999997</v>
      </c>
      <c r="H170">
        <v>53.356999999999999</v>
      </c>
      <c r="I170">
        <v>53.292000000000002</v>
      </c>
      <c r="J170">
        <v>53.228999999999999</v>
      </c>
      <c r="K170">
        <v>53.167000000000002</v>
      </c>
      <c r="L170">
        <v>53.104999999999997</v>
      </c>
      <c r="M170">
        <v>53.040999999999997</v>
      </c>
      <c r="N170">
        <v>52.978999999999999</v>
      </c>
      <c r="O170">
        <v>52.920999999999999</v>
      </c>
      <c r="P170">
        <v>52.863999999999997</v>
      </c>
      <c r="Q170">
        <v>52.808</v>
      </c>
      <c r="R170">
        <v>52.752000000000002</v>
      </c>
      <c r="S170">
        <v>52.697000000000003</v>
      </c>
      <c r="T170">
        <v>52.646000000000001</v>
      </c>
      <c r="U170">
        <v>52.594999999999999</v>
      </c>
      <c r="V170">
        <v>52.697000000000003</v>
      </c>
      <c r="W170">
        <v>52.402999999999999</v>
      </c>
      <c r="X170">
        <v>52.109000000000002</v>
      </c>
      <c r="Y170">
        <v>51.816000000000003</v>
      </c>
      <c r="Z170">
        <v>51.523000000000003</v>
      </c>
      <c r="AA170">
        <v>51.23</v>
      </c>
      <c r="AB170">
        <v>50.936999999999998</v>
      </c>
      <c r="AC170">
        <v>50.648000000000003</v>
      </c>
      <c r="AD170">
        <v>50.36</v>
      </c>
      <c r="AE170">
        <v>50.072000000000003</v>
      </c>
      <c r="AF170">
        <v>49.784999999999997</v>
      </c>
      <c r="AG170">
        <v>49.497999999999998</v>
      </c>
      <c r="AH170">
        <v>49.213999999999999</v>
      </c>
      <c r="AI170">
        <v>48.1</v>
      </c>
      <c r="AJ170">
        <v>47.738</v>
      </c>
    </row>
    <row r="171" spans="1:40" x14ac:dyDescent="0.25">
      <c r="A171" t="s">
        <v>347</v>
      </c>
      <c r="B171" t="s">
        <v>348</v>
      </c>
      <c r="C171" t="s">
        <v>6</v>
      </c>
      <c r="D171">
        <v>0</v>
      </c>
      <c r="E171">
        <v>29.32</v>
      </c>
      <c r="F171">
        <v>30.07</v>
      </c>
      <c r="G171">
        <v>30.507000000000001</v>
      </c>
      <c r="H171">
        <v>31.167999999999999</v>
      </c>
      <c r="I171">
        <v>31.196000000000002</v>
      </c>
      <c r="J171">
        <v>31.25</v>
      </c>
      <c r="K171">
        <v>31.844999999999999</v>
      </c>
      <c r="L171">
        <v>32.317</v>
      </c>
      <c r="M171">
        <v>32.822000000000003</v>
      </c>
      <c r="N171">
        <v>33.365000000000002</v>
      </c>
      <c r="O171">
        <v>33.936</v>
      </c>
      <c r="P171">
        <v>34.533000000000001</v>
      </c>
      <c r="Q171">
        <v>35.173000000000002</v>
      </c>
      <c r="R171">
        <v>35.834000000000003</v>
      </c>
      <c r="S171">
        <v>36.496000000000002</v>
      </c>
      <c r="T171">
        <v>37.186999999999998</v>
      </c>
      <c r="U171">
        <v>38.323</v>
      </c>
      <c r="V171">
        <v>39.524000000000001</v>
      </c>
      <c r="W171">
        <v>40.709000000000003</v>
      </c>
      <c r="X171">
        <v>41.790999999999997</v>
      </c>
      <c r="Y171">
        <v>42.860999999999997</v>
      </c>
      <c r="Z171">
        <v>43.94</v>
      </c>
      <c r="AA171">
        <v>44.993000000000002</v>
      </c>
      <c r="AB171">
        <v>46.063000000000002</v>
      </c>
      <c r="AC171">
        <v>47.13</v>
      </c>
      <c r="AD171">
        <v>48.183</v>
      </c>
      <c r="AE171">
        <v>49.228000000000002</v>
      </c>
      <c r="AF171">
        <v>50.926000000000002</v>
      </c>
      <c r="AG171">
        <v>51.311999999999998</v>
      </c>
      <c r="AH171">
        <v>54.381</v>
      </c>
      <c r="AI171">
        <v>58.18</v>
      </c>
      <c r="AJ171">
        <v>50.451999999999998</v>
      </c>
      <c r="AK171">
        <v>53.057000000000002</v>
      </c>
      <c r="AL171">
        <v>52.347000000000001</v>
      </c>
      <c r="AM171">
        <v>52.518999999999998</v>
      </c>
      <c r="AN171">
        <v>53.027000000000001</v>
      </c>
    </row>
    <row r="172" spans="1:40" x14ac:dyDescent="0.25">
      <c r="A172" t="s">
        <v>349</v>
      </c>
      <c r="B172" t="s">
        <v>350</v>
      </c>
      <c r="C172" t="s">
        <v>9</v>
      </c>
      <c r="D172">
        <v>0</v>
      </c>
      <c r="E172">
        <v>52.005000000000003</v>
      </c>
      <c r="F172">
        <v>51.844000000000001</v>
      </c>
      <c r="G172">
        <v>51.828000000000003</v>
      </c>
      <c r="H172">
        <v>51.896000000000001</v>
      </c>
      <c r="I172">
        <v>51.904000000000003</v>
      </c>
      <c r="J172">
        <v>51.86</v>
      </c>
      <c r="K172">
        <v>52.276000000000003</v>
      </c>
      <c r="L172">
        <v>52.676000000000002</v>
      </c>
      <c r="M172">
        <v>52.716999999999999</v>
      </c>
      <c r="N172">
        <v>53.261000000000003</v>
      </c>
      <c r="O172">
        <v>53.66</v>
      </c>
      <c r="P172">
        <v>53.533000000000001</v>
      </c>
      <c r="Q172">
        <v>54.146000000000001</v>
      </c>
      <c r="R172">
        <v>54.110999999999997</v>
      </c>
      <c r="S172">
        <v>54.533999999999999</v>
      </c>
      <c r="T172">
        <v>54.863999999999997</v>
      </c>
      <c r="U172">
        <v>55.378</v>
      </c>
      <c r="V172">
        <v>55.146000000000001</v>
      </c>
      <c r="W172">
        <v>55.448999999999998</v>
      </c>
      <c r="X172">
        <v>55.603999999999999</v>
      </c>
      <c r="Y172">
        <v>55.529000000000003</v>
      </c>
      <c r="Z172">
        <v>55.67</v>
      </c>
      <c r="AA172">
        <v>55.929000000000002</v>
      </c>
      <c r="AB172">
        <v>56.256</v>
      </c>
      <c r="AC172">
        <v>56.521000000000001</v>
      </c>
      <c r="AD172">
        <v>56.722000000000001</v>
      </c>
      <c r="AE172">
        <v>57.073999999999998</v>
      </c>
      <c r="AF172">
        <v>57.273000000000003</v>
      </c>
      <c r="AG172">
        <v>57.524999999999999</v>
      </c>
      <c r="AH172">
        <v>58.036999999999999</v>
      </c>
      <c r="AI172">
        <v>58.277000000000001</v>
      </c>
      <c r="AJ172">
        <v>58.02</v>
      </c>
      <c r="AK172">
        <v>57.703000000000003</v>
      </c>
      <c r="AL172">
        <v>57.38</v>
      </c>
      <c r="AM172">
        <v>57.488999999999997</v>
      </c>
      <c r="AN172">
        <v>57.332999999999998</v>
      </c>
    </row>
    <row r="173" spans="1:40" x14ac:dyDescent="0.25">
      <c r="A173" t="s">
        <v>351</v>
      </c>
      <c r="B173" t="s">
        <v>352</v>
      </c>
      <c r="C173" t="s">
        <v>17</v>
      </c>
      <c r="D173">
        <v>0</v>
      </c>
      <c r="E173">
        <v>55.997999999999998</v>
      </c>
      <c r="F173">
        <v>55.877000000000002</v>
      </c>
      <c r="G173">
        <v>56.298999999999999</v>
      </c>
      <c r="H173">
        <v>56.402999999999999</v>
      </c>
      <c r="I173">
        <v>57.344999999999999</v>
      </c>
      <c r="J173">
        <v>57.576000000000001</v>
      </c>
      <c r="K173">
        <v>57.856000000000002</v>
      </c>
      <c r="L173">
        <v>58.4</v>
      </c>
      <c r="M173">
        <v>58.386000000000003</v>
      </c>
      <c r="N173">
        <v>58.551000000000002</v>
      </c>
      <c r="O173">
        <v>58.682000000000002</v>
      </c>
      <c r="P173">
        <v>58.521000000000001</v>
      </c>
      <c r="Q173">
        <v>58.350999999999999</v>
      </c>
      <c r="R173">
        <v>58.223999999999997</v>
      </c>
      <c r="S173">
        <v>57.944000000000003</v>
      </c>
      <c r="T173">
        <v>58.04</v>
      </c>
      <c r="U173">
        <v>58.161000000000001</v>
      </c>
      <c r="V173">
        <v>58.085999999999999</v>
      </c>
      <c r="W173">
        <v>58.292999999999999</v>
      </c>
      <c r="X173">
        <v>58.054000000000002</v>
      </c>
      <c r="Y173">
        <v>57.515999999999998</v>
      </c>
      <c r="Z173">
        <v>56.997999999999998</v>
      </c>
      <c r="AA173">
        <v>56.777999999999999</v>
      </c>
      <c r="AB173">
        <v>56.362000000000002</v>
      </c>
      <c r="AC173">
        <v>56.197000000000003</v>
      </c>
      <c r="AD173">
        <v>55.938000000000002</v>
      </c>
      <c r="AE173">
        <v>56.094999999999999</v>
      </c>
      <c r="AF173">
        <v>56.395000000000003</v>
      </c>
      <c r="AG173">
        <v>56.470999999999997</v>
      </c>
      <c r="AH173">
        <v>56.868000000000002</v>
      </c>
      <c r="AI173">
        <v>55.704000000000001</v>
      </c>
      <c r="AJ173">
        <v>55.631999999999998</v>
      </c>
      <c r="AK173">
        <v>56.029000000000003</v>
      </c>
      <c r="AL173">
        <v>56.601999999999997</v>
      </c>
      <c r="AM173">
        <v>56.561</v>
      </c>
      <c r="AN173">
        <v>56.343000000000004</v>
      </c>
    </row>
    <row r="174" spans="1:40" x14ac:dyDescent="0.25">
      <c r="A174" t="s">
        <v>353</v>
      </c>
      <c r="B174" t="s">
        <v>354</v>
      </c>
      <c r="C174" t="s">
        <v>17</v>
      </c>
      <c r="D174">
        <v>0</v>
      </c>
      <c r="E174">
        <v>42.569000000000003</v>
      </c>
      <c r="F174">
        <v>43.438000000000002</v>
      </c>
      <c r="G174">
        <v>44.441000000000003</v>
      </c>
      <c r="H174">
        <v>43.424999999999997</v>
      </c>
      <c r="I174">
        <v>45.002000000000002</v>
      </c>
      <c r="J174">
        <v>46.26</v>
      </c>
      <c r="K174">
        <v>47.069000000000003</v>
      </c>
      <c r="L174">
        <v>48.164999999999999</v>
      </c>
      <c r="M174">
        <v>49.256</v>
      </c>
      <c r="N174">
        <v>48.430999999999997</v>
      </c>
      <c r="O174">
        <v>48.985999999999997</v>
      </c>
      <c r="P174">
        <v>51.225999999999999</v>
      </c>
      <c r="Q174">
        <v>49.597000000000001</v>
      </c>
      <c r="R174">
        <v>49.311999999999998</v>
      </c>
      <c r="S174">
        <v>49.088000000000001</v>
      </c>
      <c r="T174">
        <v>49.866</v>
      </c>
      <c r="U174">
        <v>51.624000000000002</v>
      </c>
      <c r="V174">
        <v>53.466999999999999</v>
      </c>
      <c r="W174">
        <v>54.436999999999998</v>
      </c>
      <c r="X174">
        <v>55.16</v>
      </c>
      <c r="Y174">
        <v>54.908999999999999</v>
      </c>
      <c r="Z174">
        <v>56.841999999999999</v>
      </c>
      <c r="AA174">
        <v>56.491999999999997</v>
      </c>
      <c r="AB174">
        <v>55.332999999999998</v>
      </c>
      <c r="AC174">
        <v>56.899000000000001</v>
      </c>
      <c r="AD174">
        <v>56.3</v>
      </c>
      <c r="AE174">
        <v>56.341000000000001</v>
      </c>
      <c r="AF174">
        <v>56.058999999999997</v>
      </c>
      <c r="AG174">
        <v>55.954000000000001</v>
      </c>
      <c r="AH174">
        <v>56.002000000000002</v>
      </c>
      <c r="AI174">
        <v>54.231000000000002</v>
      </c>
      <c r="AJ174">
        <v>56.033999999999999</v>
      </c>
      <c r="AK174">
        <v>55.655999999999999</v>
      </c>
      <c r="AL174">
        <v>56.518000000000001</v>
      </c>
      <c r="AM174">
        <v>57.264000000000003</v>
      </c>
      <c r="AN174">
        <v>57.255000000000003</v>
      </c>
    </row>
    <row r="175" spans="1:40" x14ac:dyDescent="0.25">
      <c r="A175" t="s">
        <v>355</v>
      </c>
      <c r="B175" t="s">
        <v>356</v>
      </c>
      <c r="C175" t="s">
        <v>6</v>
      </c>
      <c r="D175">
        <v>0</v>
      </c>
      <c r="E175">
        <v>38.24</v>
      </c>
      <c r="F175">
        <v>38.976999999999997</v>
      </c>
      <c r="G175">
        <v>39.363</v>
      </c>
      <c r="H175">
        <v>39.658999999999999</v>
      </c>
      <c r="I175">
        <v>39.963000000000001</v>
      </c>
      <c r="J175">
        <v>39.933</v>
      </c>
      <c r="K175">
        <v>39.698</v>
      </c>
      <c r="L175">
        <v>39.731000000000002</v>
      </c>
      <c r="M175">
        <v>39.691000000000003</v>
      </c>
      <c r="N175">
        <v>39.796999999999997</v>
      </c>
      <c r="O175">
        <v>39.637999999999998</v>
      </c>
      <c r="P175">
        <v>39.497999999999998</v>
      </c>
      <c r="Q175">
        <v>39.430999999999997</v>
      </c>
      <c r="R175">
        <v>39.186999999999998</v>
      </c>
      <c r="S175">
        <v>39.055999999999997</v>
      </c>
      <c r="T175">
        <v>38.789000000000001</v>
      </c>
      <c r="U175">
        <v>38.555</v>
      </c>
      <c r="V175">
        <v>38.426000000000002</v>
      </c>
      <c r="W175">
        <v>38.414999999999999</v>
      </c>
      <c r="X175">
        <v>38.895000000000003</v>
      </c>
      <c r="Y175">
        <v>38.960999999999999</v>
      </c>
      <c r="Z175">
        <v>38.883000000000003</v>
      </c>
      <c r="AA175">
        <v>39.100999999999999</v>
      </c>
      <c r="AB175">
        <v>39.191000000000003</v>
      </c>
      <c r="AC175">
        <v>39.274999999999999</v>
      </c>
      <c r="AD175">
        <v>39.447000000000003</v>
      </c>
      <c r="AE175">
        <v>39.57</v>
      </c>
      <c r="AF175">
        <v>39.652000000000001</v>
      </c>
      <c r="AG175">
        <v>39.738999999999997</v>
      </c>
      <c r="AH175">
        <v>39.89</v>
      </c>
      <c r="AI175">
        <v>39.097000000000001</v>
      </c>
      <c r="AJ175">
        <v>39.587000000000003</v>
      </c>
      <c r="AK175">
        <v>41.1</v>
      </c>
      <c r="AL175">
        <v>41.24</v>
      </c>
      <c r="AM175">
        <v>41.273000000000003</v>
      </c>
      <c r="AN175">
        <v>41.177999999999997</v>
      </c>
    </row>
    <row r="176" spans="1:40" x14ac:dyDescent="0.25">
      <c r="A176" t="s">
        <v>357</v>
      </c>
      <c r="B176" t="s">
        <v>358</v>
      </c>
      <c r="C176" t="s">
        <v>22</v>
      </c>
      <c r="D176">
        <v>0</v>
      </c>
      <c r="E176">
        <v>74.02</v>
      </c>
      <c r="F176">
        <v>73.989999999999995</v>
      </c>
      <c r="G176">
        <v>73.986000000000004</v>
      </c>
      <c r="H176">
        <v>74.064999999999998</v>
      </c>
      <c r="I176">
        <v>73.787000000000006</v>
      </c>
      <c r="J176">
        <v>73.855999999999995</v>
      </c>
      <c r="K176">
        <v>73.861999999999995</v>
      </c>
      <c r="L176">
        <v>73.754999999999995</v>
      </c>
      <c r="M176">
        <v>73.804000000000002</v>
      </c>
      <c r="N176">
        <v>73.888000000000005</v>
      </c>
      <c r="O176">
        <v>73.747</v>
      </c>
      <c r="P176">
        <v>74.02</v>
      </c>
      <c r="Q176">
        <v>74.388999999999996</v>
      </c>
      <c r="R176">
        <v>74.317999999999998</v>
      </c>
      <c r="S176">
        <v>74.259</v>
      </c>
      <c r="T176">
        <v>74.144000000000005</v>
      </c>
      <c r="U176">
        <v>73.902000000000001</v>
      </c>
      <c r="V176">
        <v>70.290000000000006</v>
      </c>
      <c r="W176">
        <v>66.403000000000006</v>
      </c>
      <c r="X176">
        <v>62.273000000000003</v>
      </c>
      <c r="Y176">
        <v>57.944000000000003</v>
      </c>
      <c r="Z176">
        <v>57.502000000000002</v>
      </c>
      <c r="AA176">
        <v>57.058999999999997</v>
      </c>
      <c r="AB176">
        <v>56.616</v>
      </c>
      <c r="AC176">
        <v>56.171999999999997</v>
      </c>
      <c r="AD176">
        <v>55.728000000000002</v>
      </c>
      <c r="AE176">
        <v>55.283000000000001</v>
      </c>
      <c r="AF176">
        <v>54.838000000000001</v>
      </c>
      <c r="AG176">
        <v>54.395000000000003</v>
      </c>
      <c r="AH176">
        <v>53.95</v>
      </c>
      <c r="AI176">
        <v>53.445</v>
      </c>
      <c r="AJ176">
        <v>54.624000000000002</v>
      </c>
      <c r="AK176">
        <v>53.631</v>
      </c>
      <c r="AL176">
        <v>53.603999999999999</v>
      </c>
      <c r="AM176">
        <v>53.530999999999999</v>
      </c>
      <c r="AN176">
        <v>53.314</v>
      </c>
    </row>
    <row r="177" spans="1:40" x14ac:dyDescent="0.25">
      <c r="A177" t="s">
        <v>359</v>
      </c>
      <c r="B177" t="s">
        <v>360</v>
      </c>
      <c r="C177" t="s">
        <v>17</v>
      </c>
      <c r="D177">
        <v>0</v>
      </c>
      <c r="E177">
        <v>48.56</v>
      </c>
      <c r="F177">
        <v>49.027000000000001</v>
      </c>
      <c r="G177">
        <v>49.439</v>
      </c>
      <c r="H177">
        <v>49.121000000000002</v>
      </c>
      <c r="I177">
        <v>48.518999999999998</v>
      </c>
      <c r="J177">
        <v>48.502000000000002</v>
      </c>
      <c r="K177">
        <v>48.683</v>
      </c>
      <c r="L177">
        <v>48.743000000000002</v>
      </c>
      <c r="M177">
        <v>48.975999999999999</v>
      </c>
      <c r="N177">
        <v>48.119</v>
      </c>
      <c r="O177">
        <v>47.914000000000001</v>
      </c>
      <c r="P177">
        <v>48.527000000000001</v>
      </c>
      <c r="Q177">
        <v>47.765000000000001</v>
      </c>
      <c r="R177">
        <v>46.462000000000003</v>
      </c>
      <c r="S177">
        <v>47.558</v>
      </c>
      <c r="T177">
        <v>49.457000000000001</v>
      </c>
      <c r="U177">
        <v>50.018999999999998</v>
      </c>
      <c r="V177">
        <v>49.725999999999999</v>
      </c>
      <c r="W177">
        <v>49.734000000000002</v>
      </c>
      <c r="X177">
        <v>50.003999999999998</v>
      </c>
      <c r="Y177">
        <v>49.600999999999999</v>
      </c>
      <c r="Z177">
        <v>49.643000000000001</v>
      </c>
      <c r="AA177">
        <v>49.493000000000002</v>
      </c>
      <c r="AB177">
        <v>49.084000000000003</v>
      </c>
      <c r="AC177">
        <v>48.676000000000002</v>
      </c>
      <c r="AD177">
        <v>48.27</v>
      </c>
      <c r="AE177">
        <v>47.866999999999997</v>
      </c>
      <c r="AF177">
        <v>46.185000000000002</v>
      </c>
      <c r="AG177">
        <v>44.85</v>
      </c>
      <c r="AH177">
        <v>42.344000000000001</v>
      </c>
      <c r="AI177">
        <v>36.887</v>
      </c>
      <c r="AJ177">
        <v>37.368000000000002</v>
      </c>
      <c r="AK177">
        <v>35.32</v>
      </c>
      <c r="AL177">
        <v>36.158000000000001</v>
      </c>
      <c r="AM177">
        <v>37.332000000000001</v>
      </c>
      <c r="AN177">
        <v>37.097999999999999</v>
      </c>
    </row>
    <row r="178" spans="1:40" x14ac:dyDescent="0.25">
      <c r="A178" t="s">
        <v>361</v>
      </c>
      <c r="B178" t="s">
        <v>362</v>
      </c>
      <c r="C178" t="s">
        <v>22</v>
      </c>
      <c r="D178">
        <v>0</v>
      </c>
      <c r="E178">
        <v>74.736000000000004</v>
      </c>
      <c r="F178">
        <v>74.622</v>
      </c>
      <c r="G178">
        <v>74.411000000000001</v>
      </c>
      <c r="H178">
        <v>74.234999999999999</v>
      </c>
      <c r="I178">
        <v>74.034999999999997</v>
      </c>
      <c r="J178">
        <v>73.805999999999997</v>
      </c>
      <c r="K178">
        <v>73.584999999999994</v>
      </c>
      <c r="L178">
        <v>72.531999999999996</v>
      </c>
      <c r="M178">
        <v>71.823999999999998</v>
      </c>
      <c r="N178">
        <v>71.180999999999997</v>
      </c>
      <c r="O178">
        <v>69.974000000000004</v>
      </c>
      <c r="P178">
        <v>71.492999999999995</v>
      </c>
      <c r="Q178">
        <v>70.832999999999998</v>
      </c>
      <c r="R178">
        <v>70.352999999999994</v>
      </c>
      <c r="S178">
        <v>70.097999999999999</v>
      </c>
      <c r="T178">
        <v>70.381</v>
      </c>
      <c r="U178">
        <v>70.727000000000004</v>
      </c>
      <c r="V178">
        <v>71.138000000000005</v>
      </c>
      <c r="W178">
        <v>71.55</v>
      </c>
      <c r="X178">
        <v>71.906000000000006</v>
      </c>
      <c r="Y178">
        <v>71.730999999999995</v>
      </c>
      <c r="Z178">
        <v>71.715000000000003</v>
      </c>
      <c r="AA178">
        <v>71.983000000000004</v>
      </c>
      <c r="AB178">
        <v>72.906000000000006</v>
      </c>
      <c r="AC178">
        <v>73.058999999999997</v>
      </c>
      <c r="AD178">
        <v>72.863</v>
      </c>
      <c r="AE178">
        <v>72.53</v>
      </c>
      <c r="AF178">
        <v>72.575000000000003</v>
      </c>
      <c r="AG178">
        <v>72.897000000000006</v>
      </c>
      <c r="AH178">
        <v>71.510999999999996</v>
      </c>
      <c r="AI178">
        <v>69.094999999999999</v>
      </c>
      <c r="AJ178">
        <v>69.106999999999999</v>
      </c>
      <c r="AK178">
        <v>69.878</v>
      </c>
      <c r="AL178">
        <v>69.215000000000003</v>
      </c>
      <c r="AM178">
        <v>68.905000000000001</v>
      </c>
      <c r="AN178">
        <v>68.551000000000002</v>
      </c>
    </row>
    <row r="179" spans="1:40" x14ac:dyDescent="0.25">
      <c r="A179" t="s">
        <v>363</v>
      </c>
      <c r="B179" t="s">
        <v>364</v>
      </c>
      <c r="C179" t="s">
        <v>6</v>
      </c>
      <c r="D179">
        <v>0</v>
      </c>
      <c r="E179">
        <v>11.315</v>
      </c>
      <c r="F179">
        <v>11.362</v>
      </c>
      <c r="G179">
        <v>11.58</v>
      </c>
      <c r="H179">
        <v>11.631</v>
      </c>
      <c r="I179">
        <v>11.677</v>
      </c>
      <c r="J179">
        <v>11.804</v>
      </c>
      <c r="K179">
        <v>11.693</v>
      </c>
      <c r="L179">
        <v>12.082000000000001</v>
      </c>
      <c r="M179">
        <v>12.534000000000001</v>
      </c>
      <c r="N179">
        <v>12.782999999999999</v>
      </c>
      <c r="O179">
        <v>12.401999999999999</v>
      </c>
      <c r="P179">
        <v>10.039999999999999</v>
      </c>
      <c r="Q179">
        <v>10.064</v>
      </c>
      <c r="R179">
        <v>12.504</v>
      </c>
      <c r="S179">
        <v>12.864000000000001</v>
      </c>
      <c r="T179">
        <v>12.78</v>
      </c>
      <c r="U179">
        <v>13.494999999999999</v>
      </c>
      <c r="V179">
        <v>15.021000000000001</v>
      </c>
      <c r="W179">
        <v>14.706</v>
      </c>
      <c r="X179">
        <v>14.582000000000001</v>
      </c>
      <c r="Y179">
        <v>14.032999999999999</v>
      </c>
      <c r="Z179">
        <v>15.625</v>
      </c>
      <c r="AA179">
        <v>16.169</v>
      </c>
      <c r="AB179">
        <v>15.829000000000001</v>
      </c>
      <c r="AC179">
        <v>16.562999999999999</v>
      </c>
      <c r="AD179">
        <v>17.998000000000001</v>
      </c>
      <c r="AE179">
        <v>17.434999999999999</v>
      </c>
      <c r="AF179">
        <v>17.664999999999999</v>
      </c>
      <c r="AG179">
        <v>17.664999999999999</v>
      </c>
      <c r="AH179">
        <v>18.382999999999999</v>
      </c>
      <c r="AI179">
        <v>16.431000000000001</v>
      </c>
      <c r="AJ179">
        <v>17.545000000000002</v>
      </c>
      <c r="AK179">
        <v>18.934000000000001</v>
      </c>
    </row>
    <row r="180" spans="1:40" x14ac:dyDescent="0.25">
      <c r="A180" t="s">
        <v>365</v>
      </c>
      <c r="B180" t="s">
        <v>366</v>
      </c>
      <c r="C180" t="s">
        <v>6</v>
      </c>
      <c r="D180">
        <v>0</v>
      </c>
      <c r="E180">
        <v>16.094000000000001</v>
      </c>
      <c r="F180">
        <v>16.219000000000001</v>
      </c>
      <c r="G180">
        <v>16.456</v>
      </c>
      <c r="H180">
        <v>16.475000000000001</v>
      </c>
      <c r="I180">
        <v>16.663</v>
      </c>
      <c r="J180">
        <v>17.567</v>
      </c>
      <c r="K180">
        <v>18.513999999999999</v>
      </c>
      <c r="L180">
        <v>19.497</v>
      </c>
      <c r="M180">
        <v>20.52</v>
      </c>
      <c r="N180">
        <v>21.587</v>
      </c>
      <c r="O180">
        <v>20.207999999999998</v>
      </c>
      <c r="P180">
        <v>18.896000000000001</v>
      </c>
      <c r="Q180">
        <v>17.652000000000001</v>
      </c>
      <c r="R180">
        <v>16.475000000000001</v>
      </c>
      <c r="S180">
        <v>15.367000000000001</v>
      </c>
      <c r="T180">
        <v>14.327</v>
      </c>
      <c r="U180">
        <v>13.349</v>
      </c>
      <c r="V180">
        <v>12.428000000000001</v>
      </c>
      <c r="W180">
        <v>11.561</v>
      </c>
      <c r="X180">
        <v>10.747</v>
      </c>
      <c r="Y180">
        <v>9.9819999999999993</v>
      </c>
      <c r="Z180">
        <v>8.7850000000000001</v>
      </c>
      <c r="AA180">
        <v>7.734</v>
      </c>
      <c r="AB180">
        <v>6.8150000000000004</v>
      </c>
      <c r="AC180">
        <v>6.0110000000000001</v>
      </c>
      <c r="AD180">
        <v>5.2069999999999999</v>
      </c>
      <c r="AE180">
        <v>5.117</v>
      </c>
      <c r="AF180">
        <v>5.0410000000000004</v>
      </c>
      <c r="AG180">
        <v>4.9870000000000001</v>
      </c>
      <c r="AH180">
        <v>4.9370000000000003</v>
      </c>
      <c r="AI180">
        <v>4.899</v>
      </c>
      <c r="AJ180">
        <v>4.875</v>
      </c>
      <c r="AK180">
        <v>4.8010000000000002</v>
      </c>
      <c r="AL180">
        <v>4.7519999999999998</v>
      </c>
      <c r="AM180">
        <v>4.7050000000000001</v>
      </c>
      <c r="AN180">
        <v>4.6630000000000003</v>
      </c>
    </row>
    <row r="181" spans="1:40" x14ac:dyDescent="0.25">
      <c r="A181" t="s">
        <v>367</v>
      </c>
      <c r="B181" t="s">
        <v>368</v>
      </c>
      <c r="C181" t="s">
        <v>14</v>
      </c>
      <c r="D181">
        <v>0</v>
      </c>
      <c r="E181">
        <v>50.996000000000002</v>
      </c>
      <c r="F181">
        <v>51.03</v>
      </c>
      <c r="G181">
        <v>51.06</v>
      </c>
      <c r="H181">
        <v>51.082999999999998</v>
      </c>
      <c r="I181">
        <v>51.095999999999997</v>
      </c>
      <c r="J181">
        <v>51.097000000000001</v>
      </c>
      <c r="K181">
        <v>51.094000000000001</v>
      </c>
      <c r="L181">
        <v>51.095999999999997</v>
      </c>
      <c r="M181">
        <v>51.101999999999997</v>
      </c>
      <c r="N181">
        <v>51.109000000000002</v>
      </c>
      <c r="O181">
        <v>51.125999999999998</v>
      </c>
      <c r="P181">
        <v>51.158999999999999</v>
      </c>
      <c r="Q181">
        <v>51.195999999999998</v>
      </c>
      <c r="R181">
        <v>51.23</v>
      </c>
      <c r="S181">
        <v>51.259</v>
      </c>
      <c r="T181">
        <v>51.283999999999999</v>
      </c>
      <c r="U181">
        <v>51.31</v>
      </c>
      <c r="V181">
        <v>51.337000000000003</v>
      </c>
      <c r="W181">
        <v>51.37</v>
      </c>
      <c r="X181">
        <v>51.408000000000001</v>
      </c>
      <c r="Y181">
        <v>51.451000000000001</v>
      </c>
      <c r="Z181">
        <v>51.494999999999997</v>
      </c>
      <c r="AA181">
        <v>51.545000000000002</v>
      </c>
      <c r="AB181">
        <v>51.61</v>
      </c>
      <c r="AC181">
        <v>51.691000000000003</v>
      </c>
      <c r="AD181">
        <v>51.786999999999999</v>
      </c>
      <c r="AE181">
        <v>51.893000000000001</v>
      </c>
      <c r="AF181">
        <v>52.012</v>
      </c>
      <c r="AG181">
        <v>52.137999999999998</v>
      </c>
      <c r="AH181">
        <v>52.171999999999997</v>
      </c>
      <c r="AI181">
        <v>54.405999999999999</v>
      </c>
      <c r="AJ181">
        <v>54.122999999999998</v>
      </c>
      <c r="AK181">
        <v>53.968000000000004</v>
      </c>
      <c r="AL181">
        <v>56.360999999999997</v>
      </c>
      <c r="AM181">
        <v>56.366</v>
      </c>
      <c r="AN181">
        <v>56.426000000000002</v>
      </c>
    </row>
    <row r="182" spans="1:40" x14ac:dyDescent="0.25">
      <c r="A182" t="s">
        <v>369</v>
      </c>
      <c r="B182" t="s">
        <v>370</v>
      </c>
      <c r="C182" t="s">
        <v>14</v>
      </c>
      <c r="D182">
        <v>0</v>
      </c>
      <c r="E182">
        <v>59.15</v>
      </c>
      <c r="F182">
        <v>59.304000000000002</v>
      </c>
      <c r="G182">
        <v>59.283999999999999</v>
      </c>
      <c r="H182">
        <v>59.276000000000003</v>
      </c>
      <c r="I182">
        <v>59.46</v>
      </c>
      <c r="J182">
        <v>59.683999999999997</v>
      </c>
      <c r="K182">
        <v>59.953000000000003</v>
      </c>
      <c r="L182">
        <v>60.231999999999999</v>
      </c>
      <c r="M182">
        <v>60.491</v>
      </c>
      <c r="N182">
        <v>60.713000000000001</v>
      </c>
      <c r="O182">
        <v>60.878</v>
      </c>
      <c r="P182">
        <v>60.994999999999997</v>
      </c>
      <c r="Q182">
        <v>61.037999999999997</v>
      </c>
      <c r="R182">
        <v>61.011000000000003</v>
      </c>
      <c r="S182">
        <v>60.960999999999999</v>
      </c>
      <c r="T182">
        <v>60.906999999999996</v>
      </c>
      <c r="U182">
        <v>60.871000000000002</v>
      </c>
      <c r="V182">
        <v>60.837000000000003</v>
      </c>
      <c r="W182">
        <v>60.774000000000001</v>
      </c>
      <c r="X182">
        <v>60.685000000000002</v>
      </c>
      <c r="Y182">
        <v>60.585000000000001</v>
      </c>
      <c r="Z182">
        <v>60.494999999999997</v>
      </c>
      <c r="AA182">
        <v>60.423999999999999</v>
      </c>
      <c r="AB182">
        <v>60.372999999999998</v>
      </c>
      <c r="AC182">
        <v>60.359000000000002</v>
      </c>
      <c r="AD182">
        <v>60.384</v>
      </c>
      <c r="AE182">
        <v>60.441000000000003</v>
      </c>
      <c r="AF182">
        <v>60.521999999999998</v>
      </c>
      <c r="AG182">
        <v>60.616999999999997</v>
      </c>
      <c r="AH182">
        <v>60.719000000000001</v>
      </c>
      <c r="AI182">
        <v>59.43</v>
      </c>
      <c r="AJ182">
        <v>60.12</v>
      </c>
      <c r="AK182">
        <v>59.768999999999998</v>
      </c>
      <c r="AL182">
        <v>62.177999999999997</v>
      </c>
      <c r="AM182">
        <v>62.115000000000002</v>
      </c>
      <c r="AN182">
        <v>62.155000000000001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36745-336B-4CCE-B094-207003638E91}">
  <dimension ref="A1:D38"/>
  <sheetViews>
    <sheetView zoomScale="72" workbookViewId="0">
      <selection activeCell="U20" sqref="U20"/>
    </sheetView>
  </sheetViews>
  <sheetFormatPr defaultColWidth="8.7265625" defaultRowHeight="14" x14ac:dyDescent="0.3"/>
  <cols>
    <col min="1" max="3" width="8.7265625" style="1"/>
    <col min="4" max="4" width="9.453125" style="1" bestFit="1" customWidth="1"/>
    <col min="5" max="16384" width="8.7265625" style="1"/>
  </cols>
  <sheetData>
    <row r="1" spans="1:4" x14ac:dyDescent="0.3">
      <c r="A1" s="31" t="s">
        <v>14</v>
      </c>
      <c r="B1" s="31"/>
      <c r="C1" s="31"/>
      <c r="D1" s="31"/>
    </row>
    <row r="2" spans="1:4" x14ac:dyDescent="0.3">
      <c r="A2" s="4" t="s">
        <v>371</v>
      </c>
      <c r="B2" s="4" t="s">
        <v>372</v>
      </c>
      <c r="C2" s="4" t="s">
        <v>373</v>
      </c>
      <c r="D2" s="4" t="s">
        <v>374</v>
      </c>
    </row>
    <row r="3" spans="1:4" x14ac:dyDescent="0.3">
      <c r="A3" s="3">
        <v>2025</v>
      </c>
      <c r="B3" s="2">
        <v>70.417023255813959</v>
      </c>
      <c r="C3" s="2">
        <v>59.2470930232558</v>
      </c>
      <c r="D3" s="2">
        <f t="shared" ref="D3:D38" si="0">B3-C3</f>
        <v>11.169930232558158</v>
      </c>
    </row>
    <row r="4" spans="1:4" x14ac:dyDescent="0.3">
      <c r="A4" s="3">
        <v>2024</v>
      </c>
      <c r="B4" s="2">
        <v>70.494651162790703</v>
      </c>
      <c r="C4" s="2">
        <v>59.29265116279069</v>
      </c>
      <c r="D4" s="2">
        <f t="shared" si="0"/>
        <v>11.202000000000012</v>
      </c>
    </row>
    <row r="5" spans="1:4" x14ac:dyDescent="0.3">
      <c r="A5" s="3">
        <v>2023</v>
      </c>
      <c r="B5" s="2">
        <v>70.770477272727263</v>
      </c>
      <c r="C5" s="2">
        <v>59.527068181818159</v>
      </c>
      <c r="D5" s="2">
        <f t="shared" si="0"/>
        <v>11.243409090909104</v>
      </c>
    </row>
    <row r="6" spans="1:4" x14ac:dyDescent="0.3">
      <c r="A6" s="3">
        <v>2022</v>
      </c>
      <c r="B6" s="2">
        <v>70.536022727272723</v>
      </c>
      <c r="C6" s="2">
        <v>59.017204545454547</v>
      </c>
      <c r="D6" s="2">
        <f t="shared" si="0"/>
        <v>11.518818181818176</v>
      </c>
    </row>
    <row r="7" spans="1:4" x14ac:dyDescent="0.3">
      <c r="A7" s="3">
        <v>2021</v>
      </c>
      <c r="B7" s="2">
        <v>69.678136363636369</v>
      </c>
      <c r="C7" s="2">
        <v>58.440750000000008</v>
      </c>
      <c r="D7" s="2">
        <f t="shared" si="0"/>
        <v>11.237386363636361</v>
      </c>
    </row>
    <row r="8" spans="1:4" x14ac:dyDescent="0.3">
      <c r="A8" s="3">
        <v>2020</v>
      </c>
      <c r="B8" s="2">
        <v>69.656909090909068</v>
      </c>
      <c r="C8" s="2">
        <v>58.046863636363653</v>
      </c>
      <c r="D8" s="2">
        <f t="shared" si="0"/>
        <v>11.610045454545414</v>
      </c>
    </row>
    <row r="9" spans="1:4" x14ac:dyDescent="0.3">
      <c r="A9" s="3">
        <v>2019</v>
      </c>
      <c r="B9" s="2">
        <v>70.611068181818169</v>
      </c>
      <c r="C9" s="2">
        <v>58.957636363636361</v>
      </c>
      <c r="D9" s="2">
        <f t="shared" si="0"/>
        <v>11.653431818181808</v>
      </c>
    </row>
    <row r="10" spans="1:4" x14ac:dyDescent="0.3">
      <c r="A10" s="3">
        <v>2018</v>
      </c>
      <c r="B10" s="2">
        <v>70.686340909090916</v>
      </c>
      <c r="C10" s="2">
        <v>59.111159090909084</v>
      </c>
      <c r="D10" s="2">
        <f t="shared" si="0"/>
        <v>11.575181818181832</v>
      </c>
    </row>
    <row r="11" spans="1:4" x14ac:dyDescent="0.3">
      <c r="A11" s="3">
        <v>2017</v>
      </c>
      <c r="B11" s="2">
        <v>70.904772727272714</v>
      </c>
      <c r="C11" s="2">
        <v>59.400636363636345</v>
      </c>
      <c r="D11" s="2">
        <f t="shared" si="0"/>
        <v>11.50413636363637</v>
      </c>
    </row>
    <row r="12" spans="1:4" x14ac:dyDescent="0.3">
      <c r="A12" s="3">
        <v>2016</v>
      </c>
      <c r="B12" s="2">
        <v>71.30504545454545</v>
      </c>
      <c r="C12" s="2">
        <v>59.796931818181818</v>
      </c>
      <c r="D12" s="2">
        <f t="shared" si="0"/>
        <v>11.508113636363632</v>
      </c>
    </row>
    <row r="13" spans="1:4" x14ac:dyDescent="0.3">
      <c r="A13" s="3">
        <v>2015</v>
      </c>
      <c r="B13" s="2">
        <v>71.359840909090934</v>
      </c>
      <c r="C13" s="2">
        <v>60.019272727272714</v>
      </c>
      <c r="D13" s="2">
        <f t="shared" si="0"/>
        <v>11.34056818181822</v>
      </c>
    </row>
    <row r="14" spans="1:4" x14ac:dyDescent="0.3">
      <c r="A14" s="3">
        <v>2014</v>
      </c>
      <c r="B14" s="2">
        <v>71.519295454545457</v>
      </c>
      <c r="C14" s="2">
        <v>60.222136363636359</v>
      </c>
      <c r="D14" s="2">
        <f t="shared" si="0"/>
        <v>11.297159090909098</v>
      </c>
    </row>
    <row r="15" spans="1:4" x14ac:dyDescent="0.3">
      <c r="A15" s="3">
        <v>2013</v>
      </c>
      <c r="B15" s="2">
        <v>71.936500000000009</v>
      </c>
      <c r="C15" s="2">
        <v>60.714590909090902</v>
      </c>
      <c r="D15" s="2">
        <f t="shared" si="0"/>
        <v>11.221909090909108</v>
      </c>
    </row>
    <row r="16" spans="1:4" x14ac:dyDescent="0.3">
      <c r="A16" s="3">
        <v>2012</v>
      </c>
      <c r="B16" s="2">
        <v>71.733613636363643</v>
      </c>
      <c r="C16" s="2">
        <v>60.387340909090902</v>
      </c>
      <c r="D16" s="2">
        <f t="shared" si="0"/>
        <v>11.346272727272741</v>
      </c>
    </row>
    <row r="17" spans="1:4" x14ac:dyDescent="0.3">
      <c r="A17" s="3">
        <v>2011</v>
      </c>
      <c r="B17" s="2">
        <v>72.09429545454546</v>
      </c>
      <c r="C17" s="2">
        <v>60.83949999999998</v>
      </c>
      <c r="D17" s="2">
        <f t="shared" si="0"/>
        <v>11.25479545454548</v>
      </c>
    </row>
    <row r="18" spans="1:4" x14ac:dyDescent="0.3">
      <c r="A18" s="3">
        <v>2010</v>
      </c>
      <c r="B18" s="2">
        <v>72.108068181818169</v>
      </c>
      <c r="C18" s="2">
        <v>60.860090909090907</v>
      </c>
      <c r="D18" s="2">
        <f t="shared" si="0"/>
        <v>11.247977272727262</v>
      </c>
    </row>
    <row r="19" spans="1:4" x14ac:dyDescent="0.3">
      <c r="A19" s="3">
        <v>2009</v>
      </c>
      <c r="B19" s="2">
        <v>72.325113636363639</v>
      </c>
      <c r="C19" s="2">
        <v>61.037136363636343</v>
      </c>
      <c r="D19" s="2">
        <f t="shared" si="0"/>
        <v>11.287977272727296</v>
      </c>
    </row>
    <row r="20" spans="1:4" x14ac:dyDescent="0.3">
      <c r="A20" s="3">
        <v>2008</v>
      </c>
      <c r="B20" s="2">
        <v>72.565954545454531</v>
      </c>
      <c r="C20" s="2">
        <v>61.206568181818177</v>
      </c>
      <c r="D20" s="2">
        <f t="shared" si="0"/>
        <v>11.359386363636354</v>
      </c>
    </row>
    <row r="21" spans="1:4" x14ac:dyDescent="0.3">
      <c r="A21" s="3">
        <v>2007</v>
      </c>
      <c r="B21" s="2">
        <v>72.785022727272704</v>
      </c>
      <c r="C21" s="2">
        <v>61.322045454545446</v>
      </c>
      <c r="D21" s="2">
        <f t="shared" si="0"/>
        <v>11.462977272727258</v>
      </c>
    </row>
    <row r="22" spans="1:4" x14ac:dyDescent="0.3">
      <c r="A22" s="3">
        <v>2006</v>
      </c>
      <c r="B22" s="2">
        <v>72.982590909090902</v>
      </c>
      <c r="C22" s="2">
        <v>61.424204545454558</v>
      </c>
      <c r="D22" s="2">
        <f t="shared" si="0"/>
        <v>11.558386363636345</v>
      </c>
    </row>
    <row r="23" spans="1:4" x14ac:dyDescent="0.3">
      <c r="A23" s="3">
        <v>2005</v>
      </c>
      <c r="B23" s="2">
        <v>73.1889772727273</v>
      </c>
      <c r="C23" s="2">
        <v>61.519363636363657</v>
      </c>
      <c r="D23" s="2">
        <f t="shared" si="0"/>
        <v>11.669613636363643</v>
      </c>
    </row>
    <row r="24" spans="1:4" x14ac:dyDescent="0.3">
      <c r="A24" s="3">
        <v>2004</v>
      </c>
      <c r="B24" s="2">
        <v>73.378431818181809</v>
      </c>
      <c r="C24" s="2">
        <v>61.529499999999992</v>
      </c>
      <c r="D24" s="2">
        <f t="shared" si="0"/>
        <v>11.848931818181818</v>
      </c>
    </row>
    <row r="25" spans="1:4" x14ac:dyDescent="0.3">
      <c r="A25" s="3">
        <v>2003</v>
      </c>
      <c r="B25" s="2">
        <v>73.60327272727271</v>
      </c>
      <c r="C25" s="2">
        <v>61.527363636363653</v>
      </c>
      <c r="D25" s="2">
        <f t="shared" si="0"/>
        <v>12.075909090909057</v>
      </c>
    </row>
    <row r="26" spans="1:4" x14ac:dyDescent="0.3">
      <c r="A26" s="3">
        <v>2002</v>
      </c>
      <c r="B26" s="2">
        <v>73.779727272727271</v>
      </c>
      <c r="C26" s="2">
        <v>61.431840909090894</v>
      </c>
      <c r="D26" s="2">
        <f t="shared" si="0"/>
        <v>12.347886363636377</v>
      </c>
    </row>
    <row r="27" spans="1:4" x14ac:dyDescent="0.3">
      <c r="A27" s="3">
        <v>2001</v>
      </c>
      <c r="B27" s="2">
        <v>73.988681818181817</v>
      </c>
      <c r="C27" s="2">
        <v>61.345681818181809</v>
      </c>
      <c r="D27" s="2">
        <f t="shared" si="0"/>
        <v>12.643000000000008</v>
      </c>
    </row>
    <row r="28" spans="1:4" x14ac:dyDescent="0.3">
      <c r="A28" s="3">
        <v>2000</v>
      </c>
      <c r="B28" s="2">
        <v>74.22411363636364</v>
      </c>
      <c r="C28" s="2">
        <v>61.34229545454545</v>
      </c>
      <c r="D28" s="2">
        <f t="shared" si="0"/>
        <v>12.88181818181819</v>
      </c>
    </row>
    <row r="29" spans="1:4" x14ac:dyDescent="0.3">
      <c r="A29" s="3">
        <v>1999</v>
      </c>
      <c r="B29" s="2">
        <v>74.497068181818179</v>
      </c>
      <c r="C29" s="2">
        <v>61.291886363636351</v>
      </c>
      <c r="D29" s="2">
        <f t="shared" si="0"/>
        <v>13.205181818181828</v>
      </c>
    </row>
    <row r="30" spans="1:4" x14ac:dyDescent="0.3">
      <c r="A30" s="3">
        <v>1998</v>
      </c>
      <c r="B30" s="2">
        <v>74.757409090909093</v>
      </c>
      <c r="C30" s="2">
        <v>61.21943181818181</v>
      </c>
      <c r="D30" s="2">
        <f t="shared" si="0"/>
        <v>13.537977272727282</v>
      </c>
    </row>
    <row r="31" spans="1:4" x14ac:dyDescent="0.3">
      <c r="A31" s="3">
        <v>1997</v>
      </c>
      <c r="B31" s="2">
        <v>74.954613636363632</v>
      </c>
      <c r="C31" s="2">
        <v>61.189636363636374</v>
      </c>
      <c r="D31" s="2">
        <f t="shared" si="0"/>
        <v>13.764977272727258</v>
      </c>
    </row>
    <row r="32" spans="1:4" x14ac:dyDescent="0.3">
      <c r="A32" s="3">
        <v>1996</v>
      </c>
      <c r="B32" s="2">
        <v>75.139977272727293</v>
      </c>
      <c r="C32" s="2">
        <v>61.178590909090914</v>
      </c>
      <c r="D32" s="2">
        <f t="shared" si="0"/>
        <v>13.961386363636379</v>
      </c>
    </row>
    <row r="33" spans="1:4" x14ac:dyDescent="0.3">
      <c r="A33" s="3">
        <v>1995</v>
      </c>
      <c r="B33" s="2">
        <v>75.317659090909103</v>
      </c>
      <c r="C33" s="2">
        <v>61.174818181818189</v>
      </c>
      <c r="D33" s="2">
        <f t="shared" si="0"/>
        <v>14.142840909090914</v>
      </c>
    </row>
    <row r="34" spans="1:4" x14ac:dyDescent="0.3">
      <c r="A34" s="3">
        <v>1994</v>
      </c>
      <c r="B34" s="2">
        <v>75.384795454545468</v>
      </c>
      <c r="C34" s="2">
        <v>61.163613636363614</v>
      </c>
      <c r="D34" s="2">
        <f t="shared" si="0"/>
        <v>14.221181818181854</v>
      </c>
    </row>
    <row r="35" spans="1:4" x14ac:dyDescent="0.3">
      <c r="A35" s="3">
        <v>1993</v>
      </c>
      <c r="B35" s="2">
        <v>75.45304545454546</v>
      </c>
      <c r="C35" s="2">
        <v>61.144386363636343</v>
      </c>
      <c r="D35" s="2">
        <f t="shared" si="0"/>
        <v>14.308659090909117</v>
      </c>
    </row>
    <row r="36" spans="1:4" x14ac:dyDescent="0.3">
      <c r="A36" s="3">
        <v>1992</v>
      </c>
      <c r="B36" s="2">
        <v>75.544136363636369</v>
      </c>
      <c r="C36" s="2">
        <v>61.124568181818177</v>
      </c>
      <c r="D36" s="2">
        <f t="shared" si="0"/>
        <v>14.419568181818192</v>
      </c>
    </row>
    <row r="37" spans="1:4" x14ac:dyDescent="0.3">
      <c r="A37" s="3">
        <v>1991</v>
      </c>
      <c r="B37" s="2">
        <v>75.594522727272761</v>
      </c>
      <c r="C37" s="2">
        <v>61.105954545454559</v>
      </c>
      <c r="D37" s="2">
        <f t="shared" si="0"/>
        <v>14.488568181818202</v>
      </c>
    </row>
    <row r="38" spans="1:4" x14ac:dyDescent="0.3">
      <c r="A38" s="3">
        <v>1990</v>
      </c>
      <c r="B38" s="2">
        <v>75.658931818181827</v>
      </c>
      <c r="C38" s="2">
        <v>61.080568181818187</v>
      </c>
      <c r="D38" s="2">
        <f t="shared" si="0"/>
        <v>14.57836363636364</v>
      </c>
    </row>
  </sheetData>
  <mergeCells count="1">
    <mergeCell ref="A1:D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D6F7C-12B7-488B-9C8F-70C184962D9A}">
  <dimension ref="A1:C18"/>
  <sheetViews>
    <sheetView workbookViewId="0">
      <selection activeCell="J10" sqref="J10"/>
    </sheetView>
  </sheetViews>
  <sheetFormatPr defaultRowHeight="12.5" x14ac:dyDescent="0.25"/>
  <cols>
    <col min="1" max="1" width="19.1796875" customWidth="1"/>
    <col min="2" max="2" width="8.81640625" style="35" customWidth="1"/>
    <col min="3" max="3" width="19.36328125" style="40" customWidth="1"/>
  </cols>
  <sheetData>
    <row r="1" spans="1:3" x14ac:dyDescent="0.25">
      <c r="A1" s="33" t="s">
        <v>49</v>
      </c>
      <c r="B1" s="36">
        <v>2025</v>
      </c>
      <c r="C1" s="39">
        <v>0.63700000000000001</v>
      </c>
    </row>
    <row r="2" spans="1:3" x14ac:dyDescent="0.25">
      <c r="A2" s="34" t="s">
        <v>113</v>
      </c>
      <c r="B2" s="37">
        <v>2025</v>
      </c>
      <c r="C2" s="38">
        <v>0.48499999999999999</v>
      </c>
    </row>
    <row r="3" spans="1:3" x14ac:dyDescent="0.25">
      <c r="A3" s="33" t="s">
        <v>115</v>
      </c>
      <c r="B3" s="36">
        <v>2025</v>
      </c>
      <c r="C3" s="39">
        <v>0.58499999999999996</v>
      </c>
    </row>
    <row r="4" spans="1:3" x14ac:dyDescent="0.25">
      <c r="A4" s="34" t="s">
        <v>125</v>
      </c>
      <c r="B4" s="37">
        <v>2025</v>
      </c>
      <c r="C4" s="38">
        <v>0.45500000000000002</v>
      </c>
    </row>
    <row r="5" spans="1:3" x14ac:dyDescent="0.25">
      <c r="A5" s="33" t="s">
        <v>131</v>
      </c>
      <c r="B5" s="36">
        <v>2025</v>
      </c>
      <c r="C5" s="39">
        <v>0.55300000000000005</v>
      </c>
    </row>
    <row r="6" spans="1:3" x14ac:dyDescent="0.25">
      <c r="A6" s="34" t="s">
        <v>175</v>
      </c>
      <c r="B6" s="37">
        <v>2025</v>
      </c>
      <c r="C6" s="38">
        <v>0.63</v>
      </c>
    </row>
    <row r="7" spans="1:3" x14ac:dyDescent="0.25">
      <c r="A7" s="33" t="s">
        <v>191</v>
      </c>
      <c r="B7" s="36">
        <v>2025</v>
      </c>
      <c r="C7" s="39">
        <v>0.48099999999999998</v>
      </c>
    </row>
    <row r="8" spans="1:3" x14ac:dyDescent="0.25">
      <c r="A8" s="34" t="s">
        <v>193</v>
      </c>
      <c r="B8" s="37">
        <v>2025</v>
      </c>
      <c r="C8" s="38">
        <v>0.72</v>
      </c>
    </row>
    <row r="9" spans="1:3" x14ac:dyDescent="0.25">
      <c r="A9" s="33" t="s">
        <v>205</v>
      </c>
      <c r="B9" s="36">
        <v>2025</v>
      </c>
      <c r="C9" s="39">
        <v>0.58199999999999996</v>
      </c>
    </row>
    <row r="10" spans="1:3" x14ac:dyDescent="0.25">
      <c r="A10" s="34" t="s">
        <v>217</v>
      </c>
      <c r="B10" s="37">
        <v>2025</v>
      </c>
      <c r="C10" s="38">
        <v>0.47499999999999998</v>
      </c>
    </row>
    <row r="11" spans="1:3" x14ac:dyDescent="0.25">
      <c r="A11" s="33" t="s">
        <v>233</v>
      </c>
      <c r="B11" s="36">
        <v>2025</v>
      </c>
      <c r="C11" s="39">
        <v>0.54900000000000004</v>
      </c>
    </row>
    <row r="12" spans="1:3" x14ac:dyDescent="0.25">
      <c r="A12" s="34" t="s">
        <v>245</v>
      </c>
      <c r="B12" s="37">
        <v>2025</v>
      </c>
      <c r="C12" s="38">
        <v>0.80700000000000005</v>
      </c>
    </row>
    <row r="13" spans="1:3" x14ac:dyDescent="0.25">
      <c r="A13" s="33" t="s">
        <v>277</v>
      </c>
      <c r="B13" s="36">
        <v>2025</v>
      </c>
      <c r="C13" s="39">
        <v>0.57299999999999995</v>
      </c>
    </row>
    <row r="14" spans="1:3" x14ac:dyDescent="0.25">
      <c r="A14" s="34" t="s">
        <v>377</v>
      </c>
      <c r="B14" s="37">
        <v>2025</v>
      </c>
      <c r="C14" s="38" t="s">
        <v>416</v>
      </c>
    </row>
    <row r="15" spans="1:3" x14ac:dyDescent="0.25">
      <c r="A15" s="33" t="s">
        <v>289</v>
      </c>
      <c r="B15" s="36">
        <v>2025</v>
      </c>
      <c r="C15" s="39">
        <v>0.51600000000000001</v>
      </c>
    </row>
    <row r="16" spans="1:3" x14ac:dyDescent="0.25">
      <c r="A16" s="34" t="s">
        <v>303</v>
      </c>
      <c r="B16" s="37">
        <v>2023</v>
      </c>
      <c r="C16" s="38">
        <v>0.70399999999999996</v>
      </c>
    </row>
    <row r="17" spans="1:3" x14ac:dyDescent="0.25">
      <c r="A17" s="33" t="s">
        <v>343</v>
      </c>
      <c r="B17" s="36">
        <v>2025</v>
      </c>
      <c r="C17" s="39">
        <v>0.75600000000000001</v>
      </c>
    </row>
    <row r="18" spans="1:3" x14ac:dyDescent="0.25">
      <c r="A18" s="34" t="s">
        <v>367</v>
      </c>
      <c r="B18" s="37">
        <v>2025</v>
      </c>
      <c r="C18" s="38">
        <v>0.56399999999999995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8129-2509-4DAC-8DA1-DFD7D39CEE87}">
  <dimension ref="A1:U343"/>
  <sheetViews>
    <sheetView topLeftCell="A125" workbookViewId="0">
      <selection activeCell="C140" sqref="C140"/>
    </sheetView>
  </sheetViews>
  <sheetFormatPr defaultRowHeight="12.5" x14ac:dyDescent="0.25"/>
  <cols>
    <col min="1" max="1" width="26.7265625" customWidth="1"/>
    <col min="2" max="2" width="13.7265625" bestFit="1" customWidth="1"/>
    <col min="3" max="3" width="41.54296875" customWidth="1"/>
    <col min="4" max="4" width="16.54296875" customWidth="1"/>
    <col min="5" max="5" width="9.453125" bestFit="1" customWidth="1"/>
    <col min="6" max="7" width="9.1796875" customWidth="1"/>
  </cols>
  <sheetData>
    <row r="1" spans="1:21" ht="14" x14ac:dyDescent="0.3">
      <c r="A1" s="12" t="s">
        <v>0</v>
      </c>
      <c r="B1" s="13" t="s">
        <v>1</v>
      </c>
      <c r="C1" s="12" t="s">
        <v>381</v>
      </c>
      <c r="D1" s="13" t="s">
        <v>382</v>
      </c>
      <c r="E1" s="14" t="s">
        <v>3</v>
      </c>
      <c r="F1" s="15" t="s">
        <v>383</v>
      </c>
      <c r="G1" s="15" t="s">
        <v>371</v>
      </c>
    </row>
    <row r="2" spans="1:21" x14ac:dyDescent="0.25">
      <c r="A2" s="8" t="s">
        <v>12</v>
      </c>
      <c r="B2" s="9" t="s">
        <v>13</v>
      </c>
      <c r="C2" s="8" t="s">
        <v>384</v>
      </c>
      <c r="D2" s="9" t="s">
        <v>385</v>
      </c>
      <c r="E2" s="6">
        <v>0</v>
      </c>
      <c r="F2" s="7">
        <v>37.314609527587898</v>
      </c>
      <c r="G2" s="6">
        <v>2016</v>
      </c>
    </row>
    <row r="3" spans="1:21" ht="13" x14ac:dyDescent="0.3">
      <c r="A3" s="8" t="s">
        <v>12</v>
      </c>
      <c r="B3" s="9" t="s">
        <v>13</v>
      </c>
      <c r="C3" s="8" t="s">
        <v>390</v>
      </c>
      <c r="D3" s="9" t="s">
        <v>391</v>
      </c>
      <c r="E3" s="6">
        <v>0</v>
      </c>
      <c r="F3" s="7">
        <v>41.893280029296903</v>
      </c>
      <c r="G3" s="6">
        <v>2016</v>
      </c>
      <c r="I3" s="17"/>
      <c r="J3" s="32" t="s">
        <v>386</v>
      </c>
      <c r="K3" s="32"/>
      <c r="L3" s="32"/>
      <c r="M3" s="32" t="s">
        <v>387</v>
      </c>
      <c r="N3" s="32"/>
      <c r="O3" s="32"/>
      <c r="P3" s="32" t="s">
        <v>388</v>
      </c>
      <c r="Q3" s="32"/>
      <c r="R3" s="32"/>
      <c r="S3" s="32" t="s">
        <v>389</v>
      </c>
      <c r="T3" s="32"/>
      <c r="U3" s="32"/>
    </row>
    <row r="4" spans="1:21" ht="13" x14ac:dyDescent="0.3">
      <c r="A4" s="8" t="s">
        <v>12</v>
      </c>
      <c r="B4" s="9" t="s">
        <v>13</v>
      </c>
      <c r="C4" s="8" t="s">
        <v>393</v>
      </c>
      <c r="D4" s="9" t="s">
        <v>394</v>
      </c>
      <c r="E4" s="6">
        <v>0</v>
      </c>
      <c r="F4" s="7">
        <v>87.091893891765096</v>
      </c>
      <c r="G4" s="6">
        <v>2023</v>
      </c>
      <c r="I4" s="17"/>
      <c r="J4" s="16" t="s">
        <v>372</v>
      </c>
      <c r="K4" s="16" t="s">
        <v>373</v>
      </c>
      <c r="L4" s="16" t="s">
        <v>392</v>
      </c>
      <c r="M4" s="16" t="s">
        <v>372</v>
      </c>
      <c r="N4" s="16" t="s">
        <v>373</v>
      </c>
      <c r="O4" s="16" t="s">
        <v>392</v>
      </c>
      <c r="P4" s="16" t="s">
        <v>372</v>
      </c>
      <c r="Q4" s="16" t="s">
        <v>373</v>
      </c>
      <c r="R4" s="16" t="s">
        <v>392</v>
      </c>
      <c r="S4" s="16" t="s">
        <v>372</v>
      </c>
      <c r="T4" s="16" t="s">
        <v>373</v>
      </c>
      <c r="U4" s="16" t="s">
        <v>392</v>
      </c>
    </row>
    <row r="5" spans="1:21" ht="13" x14ac:dyDescent="0.3">
      <c r="A5" s="8" t="s">
        <v>12</v>
      </c>
      <c r="B5" s="9" t="s">
        <v>13</v>
      </c>
      <c r="C5" s="8" t="s">
        <v>395</v>
      </c>
      <c r="D5" s="9" t="s">
        <v>396</v>
      </c>
      <c r="E5" s="6">
        <v>0</v>
      </c>
      <c r="F5" s="7">
        <v>86.381528430146403</v>
      </c>
      <c r="G5" s="6">
        <v>2023</v>
      </c>
      <c r="I5" s="11" t="s">
        <v>14</v>
      </c>
      <c r="J5" s="7">
        <f>AVERAGEIF($D$2:$D$343, $D$3, $F$2:$F$343)</f>
        <v>36.403962744907908</v>
      </c>
      <c r="K5" s="7">
        <f>AVERAGEIF($D$2:$D$343, $D$2, $F$2:$F$343)</f>
        <v>37.334241151809692</v>
      </c>
      <c r="L5" s="10">
        <f>K5/J5</f>
        <v>1.0255543170786239</v>
      </c>
      <c r="M5" s="7">
        <f>AVERAGEIF($D$2:$D$343, $D$5, $F$2:$F$343)</f>
        <v>102.32951801455171</v>
      </c>
      <c r="N5" s="7">
        <f>AVERAGEIF($D$2:$D$343, $D$4, $F$2:$F$343)</f>
        <v>99.713015531564679</v>
      </c>
      <c r="O5" s="10">
        <f>N5/M5</f>
        <v>0.9744306185179632</v>
      </c>
      <c r="P5" s="7">
        <f>AVERAGEIF($D$2:$D$343, $D$7, $F$2:$F$343)</f>
        <v>57.995364587844449</v>
      </c>
      <c r="Q5" s="7">
        <f>AVERAGEIF($D$2:$D$343, $D$6, $F$2:$F$343)</f>
        <v>58.682948489925124</v>
      </c>
      <c r="R5" s="10">
        <f>Q5/P5</f>
        <v>1.011855842393045</v>
      </c>
      <c r="S5" s="7">
        <f>AVERAGEIF($D$2:$D$343, $D$9, $F$2:$F$343)</f>
        <v>11.255375834783305</v>
      </c>
      <c r="T5" s="7">
        <f>AVERAGEIF($D$2:$D$343, $D$8, $F$2:$F$343)</f>
        <v>11.994398159450839</v>
      </c>
      <c r="U5" s="10">
        <f>T5/S5</f>
        <v>1.065659497782711</v>
      </c>
    </row>
    <row r="6" spans="1:21" x14ac:dyDescent="0.25">
      <c r="A6" s="8" t="s">
        <v>12</v>
      </c>
      <c r="B6" s="9" t="s">
        <v>13</v>
      </c>
      <c r="C6" s="8" t="s">
        <v>397</v>
      </c>
      <c r="D6" s="9" t="s">
        <v>398</v>
      </c>
      <c r="E6" s="6">
        <v>0</v>
      </c>
      <c r="F6" s="7">
        <v>48.1175394651696</v>
      </c>
      <c r="G6" s="6">
        <v>2023</v>
      </c>
    </row>
    <row r="7" spans="1:21" x14ac:dyDescent="0.25">
      <c r="A7" s="8" t="s">
        <v>12</v>
      </c>
      <c r="B7" s="9" t="s">
        <v>13</v>
      </c>
      <c r="C7" s="8" t="s">
        <v>399</v>
      </c>
      <c r="D7" s="9" t="s">
        <v>400</v>
      </c>
      <c r="E7" s="6">
        <v>0</v>
      </c>
      <c r="F7" s="7">
        <v>54.839227906803302</v>
      </c>
      <c r="G7" s="6">
        <v>2023</v>
      </c>
    </row>
    <row r="8" spans="1:21" x14ac:dyDescent="0.25">
      <c r="A8" s="8" t="s">
        <v>12</v>
      </c>
      <c r="B8" s="8" t="s">
        <v>13</v>
      </c>
      <c r="C8" s="8" t="s">
        <v>401</v>
      </c>
      <c r="D8" s="8" t="s">
        <v>402</v>
      </c>
      <c r="E8" s="6">
        <v>0</v>
      </c>
      <c r="F8" s="7">
        <v>9.8983761386408808</v>
      </c>
      <c r="G8" s="6">
        <v>2024</v>
      </c>
    </row>
    <row r="9" spans="1:21" x14ac:dyDescent="0.25">
      <c r="A9" s="8" t="s">
        <v>12</v>
      </c>
      <c r="B9" s="8" t="s">
        <v>13</v>
      </c>
      <c r="C9" s="8" t="s">
        <v>403</v>
      </c>
      <c r="D9" s="8" t="s">
        <v>404</v>
      </c>
      <c r="E9" s="6">
        <v>0</v>
      </c>
      <c r="F9" s="7">
        <v>10.0116183710916</v>
      </c>
      <c r="G9" s="6">
        <v>2024</v>
      </c>
    </row>
    <row r="10" spans="1:21" ht="13" x14ac:dyDescent="0.3">
      <c r="A10" s="8" t="s">
        <v>41</v>
      </c>
      <c r="B10" s="9" t="s">
        <v>42</v>
      </c>
      <c r="C10" s="8" t="s">
        <v>384</v>
      </c>
      <c r="D10" s="9" t="s">
        <v>385</v>
      </c>
      <c r="E10" s="6">
        <v>0</v>
      </c>
      <c r="F10" s="7">
        <v>23.350070953369102</v>
      </c>
      <c r="G10" s="6">
        <v>2021</v>
      </c>
      <c r="I10" s="32" t="s">
        <v>405</v>
      </c>
      <c r="J10" s="32"/>
      <c r="K10" s="32"/>
      <c r="L10" s="32"/>
      <c r="M10" s="32"/>
    </row>
    <row r="11" spans="1:21" ht="13" x14ac:dyDescent="0.3">
      <c r="A11" s="8" t="s">
        <v>41</v>
      </c>
      <c r="B11" s="9" t="s">
        <v>42</v>
      </c>
      <c r="C11" s="8" t="s">
        <v>390</v>
      </c>
      <c r="D11" s="9" t="s">
        <v>391</v>
      </c>
      <c r="E11" s="6">
        <v>0</v>
      </c>
      <c r="F11" s="7">
        <v>22.912349700927699</v>
      </c>
      <c r="G11" s="6">
        <v>2021</v>
      </c>
      <c r="I11" s="17"/>
      <c r="J11" s="16" t="s">
        <v>386</v>
      </c>
      <c r="K11" s="16" t="s">
        <v>387</v>
      </c>
      <c r="L11" s="16" t="s">
        <v>388</v>
      </c>
      <c r="M11" s="16" t="s">
        <v>389</v>
      </c>
    </row>
    <row r="12" spans="1:21" ht="13" x14ac:dyDescent="0.3">
      <c r="A12" s="8" t="s">
        <v>41</v>
      </c>
      <c r="B12" s="9" t="s">
        <v>42</v>
      </c>
      <c r="C12" s="8" t="s">
        <v>393</v>
      </c>
      <c r="D12" s="9" t="s">
        <v>394</v>
      </c>
      <c r="E12" s="6">
        <v>0</v>
      </c>
      <c r="F12" s="7">
        <v>103.905883789062</v>
      </c>
      <c r="G12" s="6">
        <v>2022</v>
      </c>
      <c r="I12" s="11" t="s">
        <v>14</v>
      </c>
      <c r="J12" s="10">
        <f>L5</f>
        <v>1.0255543170786239</v>
      </c>
      <c r="K12" s="10">
        <f>O5</f>
        <v>0.9744306185179632</v>
      </c>
      <c r="L12" s="10">
        <f>R5</f>
        <v>1.011855842393045</v>
      </c>
      <c r="M12" s="10">
        <f>U5</f>
        <v>1.065659497782711</v>
      </c>
    </row>
    <row r="13" spans="1:21" x14ac:dyDescent="0.25">
      <c r="A13" s="8" t="s">
        <v>41</v>
      </c>
      <c r="B13" s="9" t="s">
        <v>42</v>
      </c>
      <c r="C13" s="8" t="s">
        <v>395</v>
      </c>
      <c r="D13" s="9" t="s">
        <v>396</v>
      </c>
      <c r="E13" s="6">
        <v>0</v>
      </c>
      <c r="F13" s="7">
        <v>112.059608459473</v>
      </c>
      <c r="G13" s="6">
        <v>2022</v>
      </c>
    </row>
    <row r="14" spans="1:21" x14ac:dyDescent="0.25">
      <c r="A14" s="8" t="s">
        <v>41</v>
      </c>
      <c r="B14" s="9" t="s">
        <v>42</v>
      </c>
      <c r="C14" s="8" t="s">
        <v>397</v>
      </c>
      <c r="D14" s="9" t="s">
        <v>398</v>
      </c>
      <c r="E14" s="6">
        <v>0</v>
      </c>
      <c r="F14" s="7">
        <v>40.281848907470703</v>
      </c>
      <c r="G14" s="6">
        <v>2022</v>
      </c>
    </row>
    <row r="15" spans="1:21" x14ac:dyDescent="0.25">
      <c r="A15" s="8" t="s">
        <v>41</v>
      </c>
      <c r="B15" s="9" t="s">
        <v>42</v>
      </c>
      <c r="C15" s="8" t="s">
        <v>399</v>
      </c>
      <c r="D15" s="9" t="s">
        <v>400</v>
      </c>
      <c r="E15" s="6">
        <v>0</v>
      </c>
      <c r="F15" s="7">
        <v>46.740760803222699</v>
      </c>
      <c r="G15" s="6">
        <v>2022</v>
      </c>
    </row>
    <row r="16" spans="1:21" x14ac:dyDescent="0.25">
      <c r="A16" s="8" t="s">
        <v>41</v>
      </c>
      <c r="B16" s="8" t="s">
        <v>42</v>
      </c>
      <c r="C16" s="8" t="s">
        <v>401</v>
      </c>
      <c r="D16" s="8" t="s">
        <v>402</v>
      </c>
      <c r="E16" s="6">
        <v>0</v>
      </c>
      <c r="F16" s="7">
        <v>7.5905699729919398</v>
      </c>
      <c r="G16" s="6">
        <v>2022</v>
      </c>
    </row>
    <row r="17" spans="1:7" x14ac:dyDescent="0.25">
      <c r="A17" s="8" t="s">
        <v>41</v>
      </c>
      <c r="B17" s="8" t="s">
        <v>42</v>
      </c>
      <c r="C17" s="8" t="s">
        <v>403</v>
      </c>
      <c r="D17" s="8" t="s">
        <v>404</v>
      </c>
      <c r="E17" s="6">
        <v>0</v>
      </c>
      <c r="F17" s="7">
        <v>12.799019813537599</v>
      </c>
      <c r="G17" s="6">
        <v>2022</v>
      </c>
    </row>
    <row r="18" spans="1:7" x14ac:dyDescent="0.25">
      <c r="A18" s="8" t="s">
        <v>49</v>
      </c>
      <c r="B18" s="9" t="s">
        <v>50</v>
      </c>
      <c r="C18" s="8" t="s">
        <v>384</v>
      </c>
      <c r="D18" s="9" t="s">
        <v>385</v>
      </c>
      <c r="E18" s="6">
        <v>0</v>
      </c>
      <c r="F18" s="7">
        <v>21.819829940795898</v>
      </c>
      <c r="G18" s="6">
        <v>2015</v>
      </c>
    </row>
    <row r="19" spans="1:7" x14ac:dyDescent="0.25">
      <c r="A19" s="8" t="s">
        <v>49</v>
      </c>
      <c r="B19" s="9" t="s">
        <v>50</v>
      </c>
      <c r="C19" s="8" t="s">
        <v>390</v>
      </c>
      <c r="D19" s="9" t="s">
        <v>391</v>
      </c>
      <c r="E19" s="6">
        <v>0</v>
      </c>
      <c r="F19" s="7">
        <v>21.084220886230501</v>
      </c>
      <c r="G19" s="6">
        <v>2015</v>
      </c>
    </row>
    <row r="20" spans="1:7" x14ac:dyDescent="0.25">
      <c r="A20" s="8" t="s">
        <v>49</v>
      </c>
      <c r="B20" s="9" t="s">
        <v>50</v>
      </c>
      <c r="C20" s="8" t="s">
        <v>393</v>
      </c>
      <c r="D20" s="9" t="s">
        <v>394</v>
      </c>
      <c r="E20" s="6">
        <v>0</v>
      </c>
      <c r="F20" s="7">
        <v>108.22018898709101</v>
      </c>
      <c r="G20" s="6">
        <v>2022</v>
      </c>
    </row>
    <row r="21" spans="1:7" x14ac:dyDescent="0.25">
      <c r="A21" s="8" t="s">
        <v>49</v>
      </c>
      <c r="B21" s="9" t="s">
        <v>50</v>
      </c>
      <c r="C21" s="8" t="s">
        <v>395</v>
      </c>
      <c r="D21" s="9" t="s">
        <v>396</v>
      </c>
      <c r="E21" s="6">
        <v>0</v>
      </c>
      <c r="F21" s="7">
        <v>110.312057463616</v>
      </c>
      <c r="G21" s="6">
        <v>2022</v>
      </c>
    </row>
    <row r="22" spans="1:7" x14ac:dyDescent="0.25">
      <c r="A22" s="8" t="s">
        <v>49</v>
      </c>
      <c r="B22" s="9" t="s">
        <v>50</v>
      </c>
      <c r="C22" s="8" t="s">
        <v>397</v>
      </c>
      <c r="D22" s="9" t="s">
        <v>398</v>
      </c>
      <c r="E22" s="6">
        <v>0</v>
      </c>
      <c r="F22" s="7">
        <v>74.065246582031193</v>
      </c>
      <c r="G22" s="6">
        <v>2021</v>
      </c>
    </row>
    <row r="23" spans="1:7" x14ac:dyDescent="0.25">
      <c r="A23" s="8" t="s">
        <v>49</v>
      </c>
      <c r="B23" s="9" t="s">
        <v>50</v>
      </c>
      <c r="C23" s="8" t="s">
        <v>399</v>
      </c>
      <c r="D23" s="9" t="s">
        <v>400</v>
      </c>
      <c r="E23" s="6">
        <v>0</v>
      </c>
      <c r="F23" s="7">
        <v>67.238349914550795</v>
      </c>
      <c r="G23" s="6">
        <v>2021</v>
      </c>
    </row>
    <row r="24" spans="1:7" x14ac:dyDescent="0.25">
      <c r="A24" s="8" t="s">
        <v>49</v>
      </c>
      <c r="B24" s="8" t="s">
        <v>50</v>
      </c>
      <c r="C24" s="8" t="s">
        <v>401</v>
      </c>
      <c r="D24" s="8" t="s">
        <v>402</v>
      </c>
      <c r="E24" s="6">
        <v>0</v>
      </c>
      <c r="F24" s="7">
        <v>26.5916696907383</v>
      </c>
      <c r="G24" s="6">
        <v>2024</v>
      </c>
    </row>
    <row r="25" spans="1:7" x14ac:dyDescent="0.25">
      <c r="A25" s="8" t="s">
        <v>49</v>
      </c>
      <c r="B25" s="8" t="s">
        <v>50</v>
      </c>
      <c r="C25" s="8" t="s">
        <v>403</v>
      </c>
      <c r="D25" s="8" t="s">
        <v>404</v>
      </c>
      <c r="E25" s="6">
        <v>0</v>
      </c>
      <c r="F25" s="7">
        <v>16.2438220757825</v>
      </c>
      <c r="G25" s="6">
        <v>2024</v>
      </c>
    </row>
    <row r="26" spans="1:7" x14ac:dyDescent="0.25">
      <c r="A26" s="8" t="s">
        <v>57</v>
      </c>
      <c r="B26" s="9" t="s">
        <v>58</v>
      </c>
      <c r="C26" s="8" t="s">
        <v>384</v>
      </c>
      <c r="D26" s="9" t="s">
        <v>385</v>
      </c>
      <c r="E26" s="6">
        <v>0</v>
      </c>
      <c r="F26" s="7">
        <v>6.5453848838806197</v>
      </c>
      <c r="G26" s="6">
        <v>2021</v>
      </c>
    </row>
    <row r="27" spans="1:7" x14ac:dyDescent="0.25">
      <c r="A27" s="8" t="s">
        <v>57</v>
      </c>
      <c r="B27" s="9" t="s">
        <v>58</v>
      </c>
      <c r="C27" s="8" t="s">
        <v>390</v>
      </c>
      <c r="D27" s="9" t="s">
        <v>391</v>
      </c>
      <c r="E27" s="6">
        <v>0</v>
      </c>
      <c r="F27" s="7">
        <v>6.4636797904968297</v>
      </c>
      <c r="G27" s="6">
        <v>2021</v>
      </c>
    </row>
    <row r="28" spans="1:7" x14ac:dyDescent="0.25">
      <c r="A28" s="8" t="s">
        <v>57</v>
      </c>
      <c r="B28" s="9" t="s">
        <v>58</v>
      </c>
      <c r="C28" s="8" t="s">
        <v>393</v>
      </c>
      <c r="D28" s="9" t="s">
        <v>394</v>
      </c>
      <c r="E28" s="6">
        <v>0</v>
      </c>
      <c r="F28" s="7">
        <v>78.303962506719301</v>
      </c>
      <c r="G28" s="6">
        <v>2024</v>
      </c>
    </row>
    <row r="29" spans="1:7" x14ac:dyDescent="0.25">
      <c r="A29" s="8" t="s">
        <v>57</v>
      </c>
      <c r="B29" s="9" t="s">
        <v>58</v>
      </c>
      <c r="C29" s="8" t="s">
        <v>395</v>
      </c>
      <c r="D29" s="9" t="s">
        <v>396</v>
      </c>
      <c r="E29" s="6">
        <v>0</v>
      </c>
      <c r="F29" s="7">
        <v>76.063956264749606</v>
      </c>
      <c r="G29" s="6">
        <v>2024</v>
      </c>
    </row>
    <row r="30" spans="1:7" x14ac:dyDescent="0.25">
      <c r="A30" s="8" t="s">
        <v>57</v>
      </c>
      <c r="B30" s="9" t="s">
        <v>58</v>
      </c>
      <c r="C30" s="8" t="s">
        <v>397</v>
      </c>
      <c r="D30" s="9" t="s">
        <v>398</v>
      </c>
      <c r="E30" s="6">
        <v>0</v>
      </c>
      <c r="F30" s="7">
        <v>33.2389182465594</v>
      </c>
      <c r="G30" s="6">
        <v>2024</v>
      </c>
    </row>
    <row r="31" spans="1:7" x14ac:dyDescent="0.25">
      <c r="A31" s="8" t="s">
        <v>57</v>
      </c>
      <c r="B31" s="9" t="s">
        <v>58</v>
      </c>
      <c r="C31" s="8" t="s">
        <v>399</v>
      </c>
      <c r="D31" s="9" t="s">
        <v>400</v>
      </c>
      <c r="E31" s="6">
        <v>0</v>
      </c>
      <c r="F31" s="7">
        <v>26.832098101125801</v>
      </c>
      <c r="G31" s="6">
        <v>2024</v>
      </c>
    </row>
    <row r="32" spans="1:7" x14ac:dyDescent="0.25">
      <c r="A32" s="8" t="s">
        <v>57</v>
      </c>
      <c r="B32" s="8" t="s">
        <v>58</v>
      </c>
      <c r="C32" s="8" t="s">
        <v>401</v>
      </c>
      <c r="D32" s="8" t="s">
        <v>402</v>
      </c>
      <c r="E32" s="6">
        <v>0</v>
      </c>
      <c r="F32" s="7">
        <v>8.5293050621589899</v>
      </c>
      <c r="G32" s="6">
        <v>2024</v>
      </c>
    </row>
    <row r="33" spans="1:7" x14ac:dyDescent="0.25">
      <c r="A33" s="8" t="s">
        <v>57</v>
      </c>
      <c r="B33" s="8" t="s">
        <v>58</v>
      </c>
      <c r="C33" s="8" t="s">
        <v>403</v>
      </c>
      <c r="D33" s="8" t="s">
        <v>404</v>
      </c>
      <c r="E33" s="6">
        <v>0</v>
      </c>
      <c r="F33" s="7">
        <v>11.524820353825699</v>
      </c>
      <c r="G33" s="6">
        <v>2024</v>
      </c>
    </row>
    <row r="34" spans="1:7" x14ac:dyDescent="0.25">
      <c r="A34" s="8" t="s">
        <v>59</v>
      </c>
      <c r="B34" s="9" t="s">
        <v>60</v>
      </c>
      <c r="C34" s="8" t="s">
        <v>384</v>
      </c>
      <c r="D34" s="9" t="s">
        <v>385</v>
      </c>
      <c r="E34" s="6">
        <v>0</v>
      </c>
      <c r="F34" s="7">
        <v>16.746170043945298</v>
      </c>
      <c r="G34" s="6">
        <v>2021</v>
      </c>
    </row>
    <row r="35" spans="1:7" x14ac:dyDescent="0.25">
      <c r="A35" s="8" t="s">
        <v>59</v>
      </c>
      <c r="B35" s="9" t="s">
        <v>60</v>
      </c>
      <c r="C35" s="8" t="s">
        <v>390</v>
      </c>
      <c r="D35" s="9" t="s">
        <v>391</v>
      </c>
      <c r="E35" s="6">
        <v>0</v>
      </c>
      <c r="F35" s="7">
        <v>16.242700576782202</v>
      </c>
      <c r="G35" s="6">
        <v>2021</v>
      </c>
    </row>
    <row r="36" spans="1:7" x14ac:dyDescent="0.25">
      <c r="A36" s="8" t="s">
        <v>59</v>
      </c>
      <c r="B36" s="9" t="s">
        <v>60</v>
      </c>
      <c r="C36" s="8" t="s">
        <v>393</v>
      </c>
      <c r="D36" s="9" t="s">
        <v>394</v>
      </c>
      <c r="E36" s="6">
        <v>0</v>
      </c>
      <c r="F36" s="7">
        <v>102.094532694283</v>
      </c>
      <c r="G36" s="6">
        <v>2020</v>
      </c>
    </row>
    <row r="37" spans="1:7" x14ac:dyDescent="0.25">
      <c r="A37" s="8" t="s">
        <v>59</v>
      </c>
      <c r="B37" s="9" t="s">
        <v>60</v>
      </c>
      <c r="C37" s="8" t="s">
        <v>395</v>
      </c>
      <c r="D37" s="9" t="s">
        <v>396</v>
      </c>
      <c r="E37" s="6">
        <v>0</v>
      </c>
      <c r="F37" s="7">
        <v>101.230412090104</v>
      </c>
      <c r="G37" s="6">
        <v>2020</v>
      </c>
    </row>
    <row r="38" spans="1:7" x14ac:dyDescent="0.25">
      <c r="A38" s="8" t="s">
        <v>59</v>
      </c>
      <c r="B38" s="9" t="s">
        <v>60</v>
      </c>
      <c r="C38" s="8" t="s">
        <v>397</v>
      </c>
      <c r="D38" s="9" t="s">
        <v>398</v>
      </c>
      <c r="E38" s="6">
        <v>0</v>
      </c>
      <c r="F38" s="7">
        <v>49.257638733239801</v>
      </c>
      <c r="G38" s="6">
        <v>2020</v>
      </c>
    </row>
    <row r="39" spans="1:7" x14ac:dyDescent="0.25">
      <c r="A39" s="8" t="s">
        <v>59</v>
      </c>
      <c r="B39" s="9" t="s">
        <v>60</v>
      </c>
      <c r="C39" s="8" t="s">
        <v>399</v>
      </c>
      <c r="D39" s="9" t="s">
        <v>400</v>
      </c>
      <c r="E39" s="6">
        <v>0</v>
      </c>
      <c r="F39" s="7">
        <v>40.583631926774402</v>
      </c>
      <c r="G39" s="6">
        <v>2020</v>
      </c>
    </row>
    <row r="40" spans="1:7" x14ac:dyDescent="0.25">
      <c r="A40" s="8" t="s">
        <v>59</v>
      </c>
      <c r="B40" s="8" t="s">
        <v>60</v>
      </c>
      <c r="C40" s="8" t="s">
        <v>401</v>
      </c>
      <c r="D40" s="8" t="s">
        <v>402</v>
      </c>
      <c r="E40" s="6">
        <v>0</v>
      </c>
      <c r="F40" s="7">
        <v>5.2686400413513201</v>
      </c>
      <c r="G40" s="6">
        <v>2023</v>
      </c>
    </row>
    <row r="41" spans="1:7" x14ac:dyDescent="0.25">
      <c r="A41" s="8" t="s">
        <v>59</v>
      </c>
      <c r="B41" s="8" t="s">
        <v>60</v>
      </c>
      <c r="C41" s="8" t="s">
        <v>403</v>
      </c>
      <c r="D41" s="8" t="s">
        <v>404</v>
      </c>
      <c r="E41" s="6">
        <v>0</v>
      </c>
      <c r="F41" s="7">
        <v>6.78353023529053</v>
      </c>
      <c r="G41" s="6">
        <v>2023</v>
      </c>
    </row>
    <row r="42" spans="1:7" x14ac:dyDescent="0.25">
      <c r="A42" s="8" t="s">
        <v>61</v>
      </c>
      <c r="B42" s="9" t="s">
        <v>62</v>
      </c>
      <c r="C42" s="8" t="s">
        <v>384</v>
      </c>
      <c r="D42" s="9" t="s">
        <v>385</v>
      </c>
      <c r="E42" s="6">
        <v>0</v>
      </c>
      <c r="F42" s="7">
        <v>75.599952697753906</v>
      </c>
      <c r="G42" s="6">
        <v>2019</v>
      </c>
    </row>
    <row r="43" spans="1:7" x14ac:dyDescent="0.25">
      <c r="A43" s="8" t="s">
        <v>61</v>
      </c>
      <c r="B43" s="9" t="s">
        <v>62</v>
      </c>
      <c r="C43" s="8" t="s">
        <v>390</v>
      </c>
      <c r="D43" s="9" t="s">
        <v>391</v>
      </c>
      <c r="E43" s="6">
        <v>0</v>
      </c>
      <c r="F43" s="7">
        <v>73.830581665039105</v>
      </c>
      <c r="G43" s="6">
        <v>2019</v>
      </c>
    </row>
    <row r="44" spans="1:7" x14ac:dyDescent="0.25">
      <c r="A44" s="8" t="s">
        <v>61</v>
      </c>
      <c r="B44" s="9" t="s">
        <v>62</v>
      </c>
      <c r="C44" s="8" t="s">
        <v>393</v>
      </c>
      <c r="D44" s="9" t="s">
        <v>394</v>
      </c>
      <c r="E44" s="6">
        <v>0</v>
      </c>
      <c r="F44" s="7">
        <v>101.999652838049</v>
      </c>
      <c r="G44" s="6">
        <v>2022</v>
      </c>
    </row>
    <row r="45" spans="1:7" x14ac:dyDescent="0.25">
      <c r="A45" s="8" t="s">
        <v>61</v>
      </c>
      <c r="B45" s="9" t="s">
        <v>62</v>
      </c>
      <c r="C45" s="8" t="s">
        <v>395</v>
      </c>
      <c r="D45" s="9" t="s">
        <v>396</v>
      </c>
      <c r="E45" s="6">
        <v>0</v>
      </c>
      <c r="F45" s="7">
        <v>103.889397306837</v>
      </c>
      <c r="G45" s="6">
        <v>2022</v>
      </c>
    </row>
    <row r="46" spans="1:7" x14ac:dyDescent="0.25">
      <c r="A46" s="8" t="s">
        <v>61</v>
      </c>
      <c r="B46" s="9" t="s">
        <v>62</v>
      </c>
      <c r="C46" s="8" t="s">
        <v>397</v>
      </c>
      <c r="D46" s="9" t="s">
        <v>398</v>
      </c>
      <c r="E46" s="6">
        <v>0</v>
      </c>
      <c r="F46" s="7">
        <v>103.58259369722199</v>
      </c>
      <c r="G46" s="6">
        <v>2022</v>
      </c>
    </row>
    <row r="47" spans="1:7" x14ac:dyDescent="0.25">
      <c r="A47" s="8" t="s">
        <v>61</v>
      </c>
      <c r="B47" s="9" t="s">
        <v>62</v>
      </c>
      <c r="C47" s="8" t="s">
        <v>399</v>
      </c>
      <c r="D47" s="9" t="s">
        <v>400</v>
      </c>
      <c r="E47" s="6">
        <v>0</v>
      </c>
      <c r="F47" s="7">
        <v>89.813090328588501</v>
      </c>
      <c r="G47" s="6">
        <v>2022</v>
      </c>
    </row>
    <row r="48" spans="1:7" x14ac:dyDescent="0.25">
      <c r="A48" s="8" t="s">
        <v>61</v>
      </c>
      <c r="B48" s="8" t="s">
        <v>62</v>
      </c>
      <c r="C48" s="8" t="s">
        <v>401</v>
      </c>
      <c r="D48" s="8" t="s">
        <v>402</v>
      </c>
      <c r="E48" s="6">
        <v>0</v>
      </c>
      <c r="F48" s="7">
        <v>29.956445993031402</v>
      </c>
      <c r="G48" s="6">
        <v>2018</v>
      </c>
    </row>
    <row r="49" spans="1:7" x14ac:dyDescent="0.25">
      <c r="A49" s="8" t="s">
        <v>61</v>
      </c>
      <c r="B49" s="8" t="s">
        <v>62</v>
      </c>
      <c r="C49" s="8" t="s">
        <v>403</v>
      </c>
      <c r="D49" s="8" t="s">
        <v>404</v>
      </c>
      <c r="E49" s="6">
        <v>0</v>
      </c>
      <c r="F49" s="7">
        <v>19.094975637031698</v>
      </c>
      <c r="G49" s="6">
        <v>2018</v>
      </c>
    </row>
    <row r="50" spans="1:7" x14ac:dyDescent="0.25">
      <c r="A50" s="8" t="s">
        <v>65</v>
      </c>
      <c r="B50" s="9" t="s">
        <v>66</v>
      </c>
      <c r="C50" s="8" t="s">
        <v>384</v>
      </c>
      <c r="D50" s="9" t="s">
        <v>385</v>
      </c>
      <c r="E50" s="6">
        <v>0</v>
      </c>
      <c r="F50" s="7">
        <v>35.993011474609403</v>
      </c>
      <c r="G50" s="6">
        <v>2019</v>
      </c>
    </row>
    <row r="51" spans="1:7" x14ac:dyDescent="0.25">
      <c r="A51" s="8" t="s">
        <v>65</v>
      </c>
      <c r="B51" s="9" t="s">
        <v>66</v>
      </c>
      <c r="C51" s="8" t="s">
        <v>390</v>
      </c>
      <c r="D51" s="9" t="s">
        <v>391</v>
      </c>
      <c r="E51" s="6">
        <v>0</v>
      </c>
      <c r="F51" s="7">
        <v>35.249759674072301</v>
      </c>
      <c r="G51" s="6">
        <v>2019</v>
      </c>
    </row>
    <row r="52" spans="1:7" x14ac:dyDescent="0.25">
      <c r="A52" s="8" t="s">
        <v>65</v>
      </c>
      <c r="B52" s="9" t="s">
        <v>66</v>
      </c>
      <c r="C52" s="8" t="s">
        <v>393</v>
      </c>
      <c r="D52" s="9" t="s">
        <v>394</v>
      </c>
      <c r="E52" s="6">
        <v>0</v>
      </c>
      <c r="F52" s="7">
        <v>109.52745649001299</v>
      </c>
      <c r="G52" s="6">
        <v>2024</v>
      </c>
    </row>
    <row r="53" spans="1:7" x14ac:dyDescent="0.25">
      <c r="A53" s="8" t="s">
        <v>65</v>
      </c>
      <c r="B53" s="9" t="s">
        <v>66</v>
      </c>
      <c r="C53" s="8" t="s">
        <v>395</v>
      </c>
      <c r="D53" s="9" t="s">
        <v>396</v>
      </c>
      <c r="E53" s="6">
        <v>0</v>
      </c>
      <c r="F53" s="7">
        <v>119.218704160207</v>
      </c>
      <c r="G53" s="6">
        <v>2024</v>
      </c>
    </row>
    <row r="54" spans="1:7" x14ac:dyDescent="0.25">
      <c r="A54" s="8" t="s">
        <v>65</v>
      </c>
      <c r="B54" s="9" t="s">
        <v>66</v>
      </c>
      <c r="C54" s="8" t="s">
        <v>397</v>
      </c>
      <c r="D54" s="9" t="s">
        <v>398</v>
      </c>
      <c r="E54" s="6">
        <v>0</v>
      </c>
      <c r="F54" s="7">
        <v>42.494419780338902</v>
      </c>
      <c r="G54" s="6">
        <v>2023</v>
      </c>
    </row>
    <row r="55" spans="1:7" x14ac:dyDescent="0.25">
      <c r="A55" s="8" t="s">
        <v>65</v>
      </c>
      <c r="B55" s="9" t="s">
        <v>66</v>
      </c>
      <c r="C55" s="8" t="s">
        <v>399</v>
      </c>
      <c r="D55" s="9" t="s">
        <v>400</v>
      </c>
      <c r="E55" s="6">
        <v>0</v>
      </c>
      <c r="F55" s="7">
        <v>47.174874264827402</v>
      </c>
      <c r="G55" s="6">
        <v>2023</v>
      </c>
    </row>
    <row r="56" spans="1:7" x14ac:dyDescent="0.25">
      <c r="A56" s="8" t="s">
        <v>65</v>
      </c>
      <c r="B56" s="8" t="s">
        <v>66</v>
      </c>
      <c r="C56" s="8" t="s">
        <v>401</v>
      </c>
      <c r="D56" s="8" t="s">
        <v>402</v>
      </c>
      <c r="E56" s="6">
        <v>0</v>
      </c>
      <c r="F56" s="7">
        <v>16.363246293811802</v>
      </c>
      <c r="G56" s="6">
        <v>2024</v>
      </c>
    </row>
    <row r="57" spans="1:7" x14ac:dyDescent="0.25">
      <c r="A57" s="8" t="s">
        <v>65</v>
      </c>
      <c r="B57" s="8" t="s">
        <v>66</v>
      </c>
      <c r="C57" s="8" t="s">
        <v>403</v>
      </c>
      <c r="D57" s="8" t="s">
        <v>404</v>
      </c>
      <c r="E57" s="6">
        <v>0</v>
      </c>
      <c r="F57" s="7">
        <v>16.959371196980999</v>
      </c>
      <c r="G57" s="6">
        <v>2024</v>
      </c>
    </row>
    <row r="58" spans="1:7" x14ac:dyDescent="0.25">
      <c r="A58" s="8" t="s">
        <v>69</v>
      </c>
      <c r="B58" s="9" t="s">
        <v>70</v>
      </c>
      <c r="C58" s="8" t="s">
        <v>384</v>
      </c>
      <c r="D58" s="9" t="s">
        <v>385</v>
      </c>
      <c r="E58" s="6">
        <v>0</v>
      </c>
      <c r="F58" s="7">
        <v>2.99059009552002</v>
      </c>
      <c r="G58" s="6">
        <v>2017</v>
      </c>
    </row>
    <row r="59" spans="1:7" x14ac:dyDescent="0.25">
      <c r="A59" s="8" t="s">
        <v>69</v>
      </c>
      <c r="B59" s="9" t="s">
        <v>70</v>
      </c>
      <c r="C59" s="8" t="s">
        <v>390</v>
      </c>
      <c r="D59" s="9" t="s">
        <v>391</v>
      </c>
      <c r="E59" s="6">
        <v>0</v>
      </c>
      <c r="F59" s="7">
        <v>2.86144995689392</v>
      </c>
      <c r="G59" s="6">
        <v>2017</v>
      </c>
    </row>
    <row r="60" spans="1:7" x14ac:dyDescent="0.25">
      <c r="A60" s="8" t="s">
        <v>69</v>
      </c>
      <c r="B60" s="9" t="s">
        <v>70</v>
      </c>
      <c r="C60" s="8" t="s">
        <v>393</v>
      </c>
      <c r="D60" s="9" t="s">
        <v>394</v>
      </c>
      <c r="E60" s="6">
        <v>0</v>
      </c>
      <c r="F60" s="7">
        <v>85.163619995117202</v>
      </c>
      <c r="G60" s="6">
        <v>2016</v>
      </c>
    </row>
    <row r="61" spans="1:7" x14ac:dyDescent="0.25">
      <c r="A61" s="8" t="s">
        <v>69</v>
      </c>
      <c r="B61" s="9" t="s">
        <v>70</v>
      </c>
      <c r="C61" s="8" t="s">
        <v>395</v>
      </c>
      <c r="D61" s="9" t="s">
        <v>396</v>
      </c>
      <c r="E61" s="6">
        <v>0</v>
      </c>
      <c r="F61" s="7">
        <v>108.266952514648</v>
      </c>
      <c r="G61" s="6">
        <v>2016</v>
      </c>
    </row>
    <row r="62" spans="1:7" x14ac:dyDescent="0.25">
      <c r="A62" s="8" t="s">
        <v>69</v>
      </c>
      <c r="B62" s="9" t="s">
        <v>70</v>
      </c>
      <c r="C62" s="8" t="s">
        <v>397</v>
      </c>
      <c r="D62" s="9" t="s">
        <v>398</v>
      </c>
      <c r="E62" s="6">
        <v>0</v>
      </c>
      <c r="F62" s="7">
        <v>12.7931003570557</v>
      </c>
      <c r="G62" s="6">
        <v>2017</v>
      </c>
    </row>
    <row r="63" spans="1:7" x14ac:dyDescent="0.25">
      <c r="A63" s="8" t="s">
        <v>69</v>
      </c>
      <c r="B63" s="9" t="s">
        <v>70</v>
      </c>
      <c r="C63" s="8" t="s">
        <v>399</v>
      </c>
      <c r="D63" s="9" t="s">
        <v>400</v>
      </c>
      <c r="E63" s="6">
        <v>0</v>
      </c>
      <c r="F63" s="7">
        <v>18.772220611572301</v>
      </c>
      <c r="G63" s="6">
        <v>2017</v>
      </c>
    </row>
    <row r="64" spans="1:7" x14ac:dyDescent="0.25">
      <c r="A64" s="8" t="s">
        <v>69</v>
      </c>
      <c r="B64" s="8" t="s">
        <v>70</v>
      </c>
      <c r="C64" s="8" t="s">
        <v>401</v>
      </c>
      <c r="D64" s="8" t="s">
        <v>402</v>
      </c>
      <c r="E64" s="6">
        <v>0</v>
      </c>
      <c r="F64" s="7">
        <v>1.4526000022888199</v>
      </c>
      <c r="G64" s="6">
        <v>2012</v>
      </c>
    </row>
    <row r="65" spans="1:7" x14ac:dyDescent="0.25">
      <c r="A65" s="8" t="s">
        <v>69</v>
      </c>
      <c r="B65" s="8" t="s">
        <v>70</v>
      </c>
      <c r="C65" s="8" t="s">
        <v>403</v>
      </c>
      <c r="D65" s="8" t="s">
        <v>404</v>
      </c>
      <c r="E65" s="6">
        <v>0</v>
      </c>
      <c r="F65" s="7">
        <v>4.1740798950195304</v>
      </c>
      <c r="G65" s="6">
        <v>2012</v>
      </c>
    </row>
    <row r="66" spans="1:7" x14ac:dyDescent="0.25">
      <c r="A66" s="8" t="s">
        <v>71</v>
      </c>
      <c r="B66" s="9" t="s">
        <v>72</v>
      </c>
      <c r="C66" s="8" t="s">
        <v>384</v>
      </c>
      <c r="D66" s="9" t="s">
        <v>385</v>
      </c>
      <c r="E66" s="6">
        <v>0</v>
      </c>
      <c r="F66" s="7">
        <v>1.2288999557495099</v>
      </c>
      <c r="G66" s="6">
        <v>2021</v>
      </c>
    </row>
    <row r="67" spans="1:7" x14ac:dyDescent="0.25">
      <c r="A67" s="8" t="s">
        <v>71</v>
      </c>
      <c r="B67" s="9" t="s">
        <v>72</v>
      </c>
      <c r="C67" s="8" t="s">
        <v>390</v>
      </c>
      <c r="D67" s="9" t="s">
        <v>391</v>
      </c>
      <c r="E67" s="6">
        <v>0</v>
      </c>
      <c r="F67" s="7">
        <v>1.31189000606537</v>
      </c>
      <c r="G67" s="6">
        <v>2021</v>
      </c>
    </row>
    <row r="68" spans="1:7" x14ac:dyDescent="0.25">
      <c r="A68" s="8" t="s">
        <v>71</v>
      </c>
      <c r="B68" s="9" t="s">
        <v>72</v>
      </c>
      <c r="C68" s="8" t="s">
        <v>393</v>
      </c>
      <c r="D68" s="9" t="s">
        <v>394</v>
      </c>
      <c r="E68" s="6">
        <v>0</v>
      </c>
      <c r="F68" s="7">
        <v>81.8316067445719</v>
      </c>
      <c r="G68" s="6">
        <v>2024</v>
      </c>
    </row>
    <row r="69" spans="1:7" x14ac:dyDescent="0.25">
      <c r="A69" s="8" t="s">
        <v>71</v>
      </c>
      <c r="B69" s="9" t="s">
        <v>72</v>
      </c>
      <c r="C69" s="8" t="s">
        <v>395</v>
      </c>
      <c r="D69" s="9" t="s">
        <v>396</v>
      </c>
      <c r="E69" s="6">
        <v>0</v>
      </c>
      <c r="F69" s="7">
        <v>94.926156785397694</v>
      </c>
      <c r="G69" s="6">
        <v>2024</v>
      </c>
    </row>
    <row r="70" spans="1:7" x14ac:dyDescent="0.25">
      <c r="A70" s="8" t="s">
        <v>71</v>
      </c>
      <c r="B70" s="9" t="s">
        <v>72</v>
      </c>
      <c r="C70" s="8" t="s">
        <v>397</v>
      </c>
      <c r="D70" s="9" t="s">
        <v>398</v>
      </c>
      <c r="E70" s="6">
        <v>0</v>
      </c>
      <c r="F70" s="7">
        <v>19.439010713043199</v>
      </c>
      <c r="G70" s="6">
        <v>2024</v>
      </c>
    </row>
    <row r="71" spans="1:7" x14ac:dyDescent="0.25">
      <c r="A71" s="8" t="s">
        <v>71</v>
      </c>
      <c r="B71" s="8" t="s">
        <v>72</v>
      </c>
      <c r="C71" s="8" t="s">
        <v>399</v>
      </c>
      <c r="D71" s="8" t="s">
        <v>400</v>
      </c>
      <c r="E71" s="6">
        <v>0</v>
      </c>
      <c r="F71" s="7">
        <v>27.441823808816501</v>
      </c>
      <c r="G71" s="6">
        <v>2024</v>
      </c>
    </row>
    <row r="72" spans="1:7" x14ac:dyDescent="0.25">
      <c r="A72" s="8" t="s">
        <v>71</v>
      </c>
      <c r="B72" s="8" t="s">
        <v>72</v>
      </c>
      <c r="C72" s="8" t="s">
        <v>401</v>
      </c>
      <c r="D72" s="8" t="s">
        <v>402</v>
      </c>
      <c r="E72" s="6">
        <v>0</v>
      </c>
      <c r="F72" s="7">
        <v>2.4760773358050101</v>
      </c>
      <c r="G72" s="6">
        <v>2020</v>
      </c>
    </row>
    <row r="73" spans="1:7" x14ac:dyDescent="0.25">
      <c r="A73" s="8" t="s">
        <v>71</v>
      </c>
      <c r="B73" s="8" t="s">
        <v>72</v>
      </c>
      <c r="C73" s="8" t="s">
        <v>403</v>
      </c>
      <c r="D73" s="8" t="s">
        <v>404</v>
      </c>
      <c r="E73" s="6">
        <v>0</v>
      </c>
      <c r="F73" s="7">
        <v>6.27686236119116</v>
      </c>
      <c r="G73" s="6">
        <v>2020</v>
      </c>
    </row>
    <row r="74" spans="1:7" x14ac:dyDescent="0.25">
      <c r="A74" s="8" t="s">
        <v>79</v>
      </c>
      <c r="B74" s="9" t="s">
        <v>80</v>
      </c>
      <c r="C74" s="8" t="s">
        <v>384</v>
      </c>
      <c r="D74" s="9" t="s">
        <v>385</v>
      </c>
      <c r="E74" s="6">
        <v>0</v>
      </c>
      <c r="F74" s="7">
        <v>22.162349700927699</v>
      </c>
      <c r="G74" s="6">
        <v>2018</v>
      </c>
    </row>
    <row r="75" spans="1:7" x14ac:dyDescent="0.25">
      <c r="A75" s="8" t="s">
        <v>79</v>
      </c>
      <c r="B75" s="9" t="s">
        <v>80</v>
      </c>
      <c r="C75" s="8" t="s">
        <v>390</v>
      </c>
      <c r="D75" s="9" t="s">
        <v>391</v>
      </c>
      <c r="E75" s="6">
        <v>0</v>
      </c>
      <c r="F75" s="7">
        <v>21.466260910034201</v>
      </c>
      <c r="G75" s="6">
        <v>2018</v>
      </c>
    </row>
    <row r="76" spans="1:7" x14ac:dyDescent="0.25">
      <c r="A76" s="8" t="s">
        <v>79</v>
      </c>
      <c r="B76" s="9" t="s">
        <v>80</v>
      </c>
      <c r="C76" s="8" t="s">
        <v>393</v>
      </c>
      <c r="D76" s="9" t="s">
        <v>394</v>
      </c>
      <c r="E76" s="6">
        <v>0</v>
      </c>
      <c r="F76" s="7">
        <v>96.332287798025703</v>
      </c>
      <c r="G76" s="6">
        <v>2024</v>
      </c>
    </row>
    <row r="77" spans="1:7" x14ac:dyDescent="0.25">
      <c r="A77" s="8" t="s">
        <v>79</v>
      </c>
      <c r="B77" s="9" t="s">
        <v>80</v>
      </c>
      <c r="C77" s="8" t="s">
        <v>395</v>
      </c>
      <c r="D77" s="9" t="s">
        <v>396</v>
      </c>
      <c r="E77" s="6">
        <v>0</v>
      </c>
      <c r="F77" s="7">
        <v>97.660248598586406</v>
      </c>
      <c r="G77" s="6">
        <v>2024</v>
      </c>
    </row>
    <row r="78" spans="1:7" x14ac:dyDescent="0.25">
      <c r="A78" s="8" t="s">
        <v>79</v>
      </c>
      <c r="B78" s="9" t="s">
        <v>80</v>
      </c>
      <c r="C78" s="8" t="s">
        <v>397</v>
      </c>
      <c r="D78" s="9" t="s">
        <v>398</v>
      </c>
      <c r="E78" s="6">
        <v>0</v>
      </c>
      <c r="F78" s="7">
        <v>64.556525338945093</v>
      </c>
      <c r="G78" s="6">
        <v>2018</v>
      </c>
    </row>
    <row r="79" spans="1:7" x14ac:dyDescent="0.25">
      <c r="A79" s="8" t="s">
        <v>79</v>
      </c>
      <c r="B79" s="8" t="s">
        <v>80</v>
      </c>
      <c r="C79" s="8" t="s">
        <v>399</v>
      </c>
      <c r="D79" s="8" t="s">
        <v>400</v>
      </c>
      <c r="E79" s="6">
        <v>0</v>
      </c>
      <c r="F79" s="7">
        <v>59.0085253156319</v>
      </c>
      <c r="G79" s="6">
        <v>2018</v>
      </c>
    </row>
    <row r="80" spans="1:7" x14ac:dyDescent="0.25">
      <c r="A80" s="8" t="s">
        <v>79</v>
      </c>
      <c r="B80" s="8" t="s">
        <v>80</v>
      </c>
      <c r="C80" s="8" t="s">
        <v>401</v>
      </c>
      <c r="D80" s="8" t="s">
        <v>402</v>
      </c>
      <c r="E80" s="6">
        <v>0</v>
      </c>
      <c r="F80" s="7">
        <v>18.2928303711764</v>
      </c>
      <c r="G80" s="6">
        <v>2017</v>
      </c>
    </row>
    <row r="81" spans="1:7" x14ac:dyDescent="0.25">
      <c r="A81" s="8" t="s">
        <v>79</v>
      </c>
      <c r="B81" s="8" t="s">
        <v>80</v>
      </c>
      <c r="C81" s="8" t="s">
        <v>403</v>
      </c>
      <c r="D81" s="8" t="s">
        <v>404</v>
      </c>
      <c r="E81" s="6">
        <v>0</v>
      </c>
      <c r="F81" s="7">
        <v>19.3721602643536</v>
      </c>
      <c r="G81" s="6">
        <v>2017</v>
      </c>
    </row>
    <row r="82" spans="1:7" x14ac:dyDescent="0.25">
      <c r="A82" s="8" t="s">
        <v>81</v>
      </c>
      <c r="B82" s="9" t="s">
        <v>82</v>
      </c>
      <c r="C82" s="8" t="s">
        <v>384</v>
      </c>
      <c r="D82" s="9" t="s">
        <v>385</v>
      </c>
      <c r="E82" s="6">
        <v>0</v>
      </c>
      <c r="F82" s="7">
        <v>7.1174697875976598</v>
      </c>
      <c r="G82" s="6">
        <v>2020</v>
      </c>
    </row>
    <row r="83" spans="1:7" x14ac:dyDescent="0.25">
      <c r="A83" s="8" t="s">
        <v>81</v>
      </c>
      <c r="B83" s="9" t="s">
        <v>82</v>
      </c>
      <c r="C83" s="8" t="s">
        <v>390</v>
      </c>
      <c r="D83" s="9" t="s">
        <v>391</v>
      </c>
      <c r="E83" s="6">
        <v>0</v>
      </c>
      <c r="F83" s="7">
        <v>6.6142301559448198</v>
      </c>
      <c r="G83" s="6">
        <v>2020</v>
      </c>
    </row>
    <row r="84" spans="1:7" x14ac:dyDescent="0.25">
      <c r="A84" s="8" t="s">
        <v>81</v>
      </c>
      <c r="B84" s="9" t="s">
        <v>82</v>
      </c>
      <c r="C84" s="8" t="s">
        <v>393</v>
      </c>
      <c r="D84" s="9" t="s">
        <v>394</v>
      </c>
      <c r="E84" s="6">
        <v>0</v>
      </c>
      <c r="F84" s="7">
        <v>114.33464050293</v>
      </c>
      <c r="G84" s="6">
        <v>2023</v>
      </c>
    </row>
    <row r="85" spans="1:7" x14ac:dyDescent="0.25">
      <c r="A85" s="8" t="s">
        <v>81</v>
      </c>
      <c r="B85" s="9" t="s">
        <v>82</v>
      </c>
      <c r="C85" s="8" t="s">
        <v>395</v>
      </c>
      <c r="D85" s="9" t="s">
        <v>396</v>
      </c>
      <c r="E85" s="6">
        <v>0</v>
      </c>
      <c r="F85" s="7">
        <v>120.86775970459</v>
      </c>
      <c r="G85" s="6">
        <v>2023</v>
      </c>
    </row>
    <row r="86" spans="1:7" x14ac:dyDescent="0.25">
      <c r="A86" s="8" t="s">
        <v>81</v>
      </c>
      <c r="B86" s="9" t="s">
        <v>82</v>
      </c>
      <c r="C86" s="8" t="s">
        <v>397</v>
      </c>
      <c r="D86" s="9" t="s">
        <v>398</v>
      </c>
      <c r="E86" s="6">
        <v>0</v>
      </c>
      <c r="F86" s="7">
        <v>42.952701568603501</v>
      </c>
      <c r="G86" s="6">
        <v>2021</v>
      </c>
    </row>
    <row r="87" spans="1:7" x14ac:dyDescent="0.25">
      <c r="A87" s="8" t="s">
        <v>81</v>
      </c>
      <c r="B87" s="8" t="s">
        <v>82</v>
      </c>
      <c r="C87" s="8" t="s">
        <v>399</v>
      </c>
      <c r="D87" s="8" t="s">
        <v>400</v>
      </c>
      <c r="E87" s="6">
        <v>0</v>
      </c>
      <c r="F87" s="7">
        <v>67.812637329101605</v>
      </c>
      <c r="G87" s="6">
        <v>2021</v>
      </c>
    </row>
    <row r="88" spans="1:7" x14ac:dyDescent="0.25">
      <c r="A88" s="8" t="s">
        <v>81</v>
      </c>
      <c r="B88" s="8" t="s">
        <v>82</v>
      </c>
      <c r="C88" s="8" t="s">
        <v>401</v>
      </c>
      <c r="D88" s="8" t="s">
        <v>402</v>
      </c>
      <c r="E88" s="6">
        <v>0</v>
      </c>
      <c r="F88" s="7">
        <v>4.7484498023986799</v>
      </c>
      <c r="G88" s="6">
        <v>2020</v>
      </c>
    </row>
    <row r="89" spans="1:7" x14ac:dyDescent="0.25">
      <c r="A89" s="8" t="s">
        <v>81</v>
      </c>
      <c r="B89" s="8" t="s">
        <v>82</v>
      </c>
      <c r="C89" s="8" t="s">
        <v>403</v>
      </c>
      <c r="D89" s="8" t="s">
        <v>404</v>
      </c>
      <c r="E89" s="6">
        <v>0</v>
      </c>
      <c r="F89" s="7">
        <v>8.0168695449829102</v>
      </c>
      <c r="G89" s="6">
        <v>2020</v>
      </c>
    </row>
    <row r="90" spans="1:7" x14ac:dyDescent="0.25">
      <c r="A90" s="8" t="s">
        <v>83</v>
      </c>
      <c r="B90" s="9" t="s">
        <v>84</v>
      </c>
      <c r="C90" s="8" t="s">
        <v>384</v>
      </c>
      <c r="D90" s="9" t="s">
        <v>385</v>
      </c>
      <c r="E90" s="6">
        <v>0</v>
      </c>
      <c r="F90" s="7">
        <v>14.914959907531699</v>
      </c>
      <c r="G90" s="6">
        <v>2018</v>
      </c>
    </row>
    <row r="91" spans="1:7" x14ac:dyDescent="0.25">
      <c r="A91" s="8" t="s">
        <v>83</v>
      </c>
      <c r="B91" s="9" t="s">
        <v>84</v>
      </c>
      <c r="C91" s="8" t="s">
        <v>390</v>
      </c>
      <c r="D91" s="9" t="s">
        <v>391</v>
      </c>
      <c r="E91" s="6">
        <v>0</v>
      </c>
      <c r="F91" s="7">
        <v>13.668800354003899</v>
      </c>
      <c r="G91" s="6">
        <v>2018</v>
      </c>
    </row>
    <row r="92" spans="1:7" x14ac:dyDescent="0.25">
      <c r="A92" s="8" t="s">
        <v>83</v>
      </c>
      <c r="B92" s="9" t="s">
        <v>84</v>
      </c>
      <c r="C92" s="8" t="s">
        <v>393</v>
      </c>
      <c r="D92" s="9" t="s">
        <v>394</v>
      </c>
      <c r="E92" s="6">
        <v>0</v>
      </c>
      <c r="F92" s="7">
        <v>86.853202819824205</v>
      </c>
      <c r="G92" s="6">
        <v>2023</v>
      </c>
    </row>
    <row r="93" spans="1:7" x14ac:dyDescent="0.25">
      <c r="A93" s="8" t="s">
        <v>83</v>
      </c>
      <c r="B93" s="9" t="s">
        <v>84</v>
      </c>
      <c r="C93" s="8" t="s">
        <v>395</v>
      </c>
      <c r="D93" s="9" t="s">
        <v>396</v>
      </c>
      <c r="E93" s="6">
        <v>0</v>
      </c>
      <c r="F93" s="7">
        <v>88.889549255371094</v>
      </c>
      <c r="G93" s="6">
        <v>2023</v>
      </c>
    </row>
    <row r="94" spans="1:7" x14ac:dyDescent="0.25">
      <c r="A94" s="8" t="s">
        <v>83</v>
      </c>
      <c r="B94" s="9" t="s">
        <v>84</v>
      </c>
      <c r="C94" s="8" t="s">
        <v>397</v>
      </c>
      <c r="D94" s="9" t="s">
        <v>398</v>
      </c>
      <c r="E94" s="6">
        <v>0</v>
      </c>
      <c r="F94" s="7">
        <v>46.873519897460902</v>
      </c>
      <c r="G94" s="6">
        <v>2012</v>
      </c>
    </row>
    <row r="95" spans="1:7" x14ac:dyDescent="0.25">
      <c r="A95" s="8" t="s">
        <v>83</v>
      </c>
      <c r="B95" s="8" t="s">
        <v>84</v>
      </c>
      <c r="C95" s="8" t="s">
        <v>399</v>
      </c>
      <c r="D95" s="8" t="s">
        <v>400</v>
      </c>
      <c r="E95" s="6">
        <v>0</v>
      </c>
      <c r="F95" s="7">
        <v>54.141269683837898</v>
      </c>
      <c r="G95" s="6">
        <v>2012</v>
      </c>
    </row>
    <row r="96" spans="1:7" x14ac:dyDescent="0.25">
      <c r="A96" s="8" t="s">
        <v>83</v>
      </c>
      <c r="B96" s="8" t="s">
        <v>84</v>
      </c>
      <c r="C96" s="8" t="s">
        <v>401</v>
      </c>
      <c r="D96" s="8" t="s">
        <v>402</v>
      </c>
      <c r="E96" s="6">
        <v>0</v>
      </c>
      <c r="F96" s="7">
        <v>8.3163499832153303</v>
      </c>
      <c r="G96" s="6">
        <v>2023</v>
      </c>
    </row>
    <row r="97" spans="1:7" x14ac:dyDescent="0.25">
      <c r="A97" s="8" t="s">
        <v>83</v>
      </c>
      <c r="B97" s="8" t="s">
        <v>84</v>
      </c>
      <c r="C97" s="8" t="s">
        <v>403</v>
      </c>
      <c r="D97" s="8" t="s">
        <v>404</v>
      </c>
      <c r="E97" s="6">
        <v>0</v>
      </c>
      <c r="F97" s="7">
        <v>12.4298095703125</v>
      </c>
      <c r="G97" s="6">
        <v>2023</v>
      </c>
    </row>
    <row r="98" spans="1:7" x14ac:dyDescent="0.25">
      <c r="A98" s="8" t="s">
        <v>87</v>
      </c>
      <c r="B98" s="9" t="s">
        <v>88</v>
      </c>
      <c r="C98" s="8" t="s">
        <v>384</v>
      </c>
      <c r="D98" s="9" t="s">
        <v>385</v>
      </c>
      <c r="E98" s="6">
        <v>0</v>
      </c>
      <c r="F98" s="7">
        <v>11.273151397705099</v>
      </c>
      <c r="G98" s="6">
        <v>2022</v>
      </c>
    </row>
    <row r="99" spans="1:7" x14ac:dyDescent="0.25">
      <c r="A99" s="8" t="s">
        <v>87</v>
      </c>
      <c r="B99" s="9" t="s">
        <v>88</v>
      </c>
      <c r="C99" s="8" t="s">
        <v>390</v>
      </c>
      <c r="D99" s="9" t="s">
        <v>391</v>
      </c>
      <c r="E99" s="6">
        <v>0</v>
      </c>
      <c r="F99" s="7">
        <v>10.168138504028301</v>
      </c>
      <c r="G99" s="6">
        <v>2022</v>
      </c>
    </row>
    <row r="100" spans="1:7" x14ac:dyDescent="0.25">
      <c r="A100" s="8" t="s">
        <v>87</v>
      </c>
      <c r="B100" s="9" t="s">
        <v>88</v>
      </c>
      <c r="C100" s="8" t="s">
        <v>393</v>
      </c>
      <c r="D100" s="9" t="s">
        <v>394</v>
      </c>
      <c r="E100" s="6">
        <v>0</v>
      </c>
      <c r="F100" s="7">
        <v>94.383814709654601</v>
      </c>
      <c r="G100" s="6">
        <v>2024</v>
      </c>
    </row>
    <row r="101" spans="1:7" x14ac:dyDescent="0.25">
      <c r="A101" s="8" t="s">
        <v>87</v>
      </c>
      <c r="B101" s="9" t="s">
        <v>88</v>
      </c>
      <c r="C101" s="8" t="s">
        <v>395</v>
      </c>
      <c r="D101" s="9" t="s">
        <v>396</v>
      </c>
      <c r="E101" s="6">
        <v>0</v>
      </c>
      <c r="F101" s="7">
        <v>92.230177030930903</v>
      </c>
      <c r="G101" s="6">
        <v>2024</v>
      </c>
    </row>
    <row r="102" spans="1:7" x14ac:dyDescent="0.25">
      <c r="A102" s="8" t="s">
        <v>87</v>
      </c>
      <c r="B102" s="9" t="s">
        <v>88</v>
      </c>
      <c r="C102" s="8" t="s">
        <v>397</v>
      </c>
      <c r="D102" s="9" t="s">
        <v>398</v>
      </c>
      <c r="E102" s="6">
        <v>0</v>
      </c>
      <c r="F102" s="7">
        <v>64.478504015283903</v>
      </c>
      <c r="G102" s="6">
        <v>2024</v>
      </c>
    </row>
    <row r="103" spans="1:7" x14ac:dyDescent="0.25">
      <c r="A103" s="8" t="s">
        <v>87</v>
      </c>
      <c r="B103" s="8" t="s">
        <v>88</v>
      </c>
      <c r="C103" s="8" t="s">
        <v>399</v>
      </c>
      <c r="D103" s="8" t="s">
        <v>400</v>
      </c>
      <c r="E103" s="6">
        <v>0</v>
      </c>
      <c r="F103" s="7">
        <v>66.093355586216106</v>
      </c>
      <c r="G103" s="6">
        <v>2024</v>
      </c>
    </row>
    <row r="104" spans="1:7" x14ac:dyDescent="0.25">
      <c r="A104" s="8" t="s">
        <v>87</v>
      </c>
      <c r="B104" s="8" t="s">
        <v>88</v>
      </c>
      <c r="C104" s="8" t="s">
        <v>401</v>
      </c>
      <c r="D104" s="8" t="s">
        <v>402</v>
      </c>
      <c r="E104" s="6">
        <v>0</v>
      </c>
      <c r="F104" s="7">
        <v>11.1647106583714</v>
      </c>
      <c r="G104" s="6">
        <v>2023</v>
      </c>
    </row>
    <row r="105" spans="1:7" x14ac:dyDescent="0.25">
      <c r="A105" s="8" t="s">
        <v>87</v>
      </c>
      <c r="B105" s="8" t="s">
        <v>88</v>
      </c>
      <c r="C105" s="8" t="s">
        <v>403</v>
      </c>
      <c r="D105" s="8" t="s">
        <v>404</v>
      </c>
      <c r="E105" s="6">
        <v>0</v>
      </c>
      <c r="F105" s="7">
        <v>11.943457814042899</v>
      </c>
      <c r="G105" s="6">
        <v>2023</v>
      </c>
    </row>
    <row r="106" spans="1:7" x14ac:dyDescent="0.25">
      <c r="A106" s="8" t="s">
        <v>107</v>
      </c>
      <c r="B106" s="9" t="s">
        <v>108</v>
      </c>
      <c r="C106" s="8" t="s">
        <v>384</v>
      </c>
      <c r="D106" s="9" t="s">
        <v>385</v>
      </c>
      <c r="E106" s="6">
        <v>0</v>
      </c>
      <c r="F106" s="7">
        <v>43.7865180969238</v>
      </c>
      <c r="G106" s="6">
        <v>2015</v>
      </c>
    </row>
    <row r="107" spans="1:7" x14ac:dyDescent="0.25">
      <c r="A107" s="8" t="s">
        <v>107</v>
      </c>
      <c r="B107" s="9" t="s">
        <v>108</v>
      </c>
      <c r="C107" s="8" t="s">
        <v>390</v>
      </c>
      <c r="D107" s="9" t="s">
        <v>391</v>
      </c>
      <c r="E107" s="6">
        <v>0</v>
      </c>
      <c r="F107" s="7">
        <v>42.949378967285199</v>
      </c>
      <c r="G107" s="6">
        <v>2015</v>
      </c>
    </row>
    <row r="108" spans="1:7" x14ac:dyDescent="0.25">
      <c r="A108" s="8" t="s">
        <v>107</v>
      </c>
      <c r="B108" s="9" t="s">
        <v>108</v>
      </c>
      <c r="C108" s="8" t="s">
        <v>393</v>
      </c>
      <c r="D108" s="9" t="s">
        <v>394</v>
      </c>
      <c r="E108" s="6">
        <v>0</v>
      </c>
      <c r="F108" s="7">
        <v>47.470909118652301</v>
      </c>
      <c r="G108" s="6">
        <v>2015</v>
      </c>
    </row>
    <row r="109" spans="1:7" x14ac:dyDescent="0.25">
      <c r="A109" s="8" t="s">
        <v>107</v>
      </c>
      <c r="B109" s="9" t="s">
        <v>108</v>
      </c>
      <c r="C109" s="8" t="s">
        <v>395</v>
      </c>
      <c r="D109" s="9" t="s">
        <v>396</v>
      </c>
      <c r="E109" s="6">
        <v>0</v>
      </c>
      <c r="F109" s="7">
        <v>47.623870849609403</v>
      </c>
      <c r="G109" s="6">
        <v>2015</v>
      </c>
    </row>
    <row r="110" spans="1:7" x14ac:dyDescent="0.25">
      <c r="A110" s="8" t="s">
        <v>109</v>
      </c>
      <c r="B110" s="9" t="s">
        <v>110</v>
      </c>
      <c r="C110" s="8" t="s">
        <v>384</v>
      </c>
      <c r="D110" s="9" t="s">
        <v>385</v>
      </c>
      <c r="E110" s="6">
        <v>1</v>
      </c>
      <c r="F110" s="7">
        <v>23.709110260009801</v>
      </c>
      <c r="G110" s="6">
        <v>2019</v>
      </c>
    </row>
    <row r="111" spans="1:7" x14ac:dyDescent="0.25">
      <c r="A111" s="8" t="s">
        <v>109</v>
      </c>
      <c r="B111" s="9" t="s">
        <v>110</v>
      </c>
      <c r="C111" s="8" t="s">
        <v>390</v>
      </c>
      <c r="D111" s="9" t="s">
        <v>391</v>
      </c>
      <c r="E111" s="6">
        <v>1</v>
      </c>
      <c r="F111" s="7">
        <v>23.990150451660199</v>
      </c>
      <c r="G111" s="6">
        <v>2019</v>
      </c>
    </row>
    <row r="112" spans="1:7" x14ac:dyDescent="0.25">
      <c r="A112" s="8" t="s">
        <v>109</v>
      </c>
      <c r="B112" s="9" t="s">
        <v>110</v>
      </c>
      <c r="C112" s="8" t="s">
        <v>393</v>
      </c>
      <c r="D112" s="9" t="s">
        <v>394</v>
      </c>
      <c r="E112" s="6">
        <v>1</v>
      </c>
      <c r="F112" s="7">
        <v>82.415382385253906</v>
      </c>
      <c r="G112" s="6">
        <v>2022</v>
      </c>
    </row>
    <row r="113" spans="1:7" x14ac:dyDescent="0.25">
      <c r="A113" s="8" t="s">
        <v>109</v>
      </c>
      <c r="B113" s="9" t="s">
        <v>110</v>
      </c>
      <c r="C113" s="8" t="s">
        <v>395</v>
      </c>
      <c r="D113" s="9" t="s">
        <v>396</v>
      </c>
      <c r="E113" s="6">
        <v>1</v>
      </c>
      <c r="F113" s="7">
        <v>96.913749694824205</v>
      </c>
      <c r="G113" s="6">
        <v>2022</v>
      </c>
    </row>
    <row r="114" spans="1:7" x14ac:dyDescent="0.25">
      <c r="A114" s="8" t="s">
        <v>109</v>
      </c>
      <c r="B114" s="9" t="s">
        <v>110</v>
      </c>
      <c r="C114" s="8" t="s">
        <v>397</v>
      </c>
      <c r="D114" s="9" t="s">
        <v>398</v>
      </c>
      <c r="E114" s="6">
        <v>1</v>
      </c>
      <c r="F114" s="7">
        <v>40.276081085205099</v>
      </c>
      <c r="G114" s="6">
        <v>2022</v>
      </c>
    </row>
    <row r="115" spans="1:7" x14ac:dyDescent="0.25">
      <c r="A115" s="8" t="s">
        <v>109</v>
      </c>
      <c r="B115" s="8" t="s">
        <v>110</v>
      </c>
      <c r="C115" s="8" t="s">
        <v>399</v>
      </c>
      <c r="D115" s="8" t="s">
        <v>400</v>
      </c>
      <c r="E115" s="6">
        <v>1</v>
      </c>
      <c r="F115" s="7">
        <v>47.759620666503899</v>
      </c>
      <c r="G115" s="6">
        <v>2022</v>
      </c>
    </row>
    <row r="116" spans="1:7" x14ac:dyDescent="0.25">
      <c r="A116" s="8" t="s">
        <v>109</v>
      </c>
      <c r="B116" s="8" t="s">
        <v>110</v>
      </c>
      <c r="C116" s="8" t="s">
        <v>401</v>
      </c>
      <c r="D116" s="8" t="s">
        <v>402</v>
      </c>
      <c r="E116" s="6">
        <v>1</v>
      </c>
      <c r="F116" s="7">
        <v>2.6442599296569802</v>
      </c>
      <c r="G116" s="6">
        <v>2016</v>
      </c>
    </row>
    <row r="117" spans="1:7" x14ac:dyDescent="0.25">
      <c r="A117" s="8" t="s">
        <v>109</v>
      </c>
      <c r="B117" s="8" t="s">
        <v>110</v>
      </c>
      <c r="C117" s="8" t="s">
        <v>403</v>
      </c>
      <c r="D117" s="8" t="s">
        <v>404</v>
      </c>
      <c r="E117" s="6">
        <v>1</v>
      </c>
      <c r="F117" s="7">
        <v>3.75425004959106</v>
      </c>
      <c r="G117" s="6">
        <v>2016</v>
      </c>
    </row>
    <row r="118" spans="1:7" x14ac:dyDescent="0.25">
      <c r="A118" s="8" t="s">
        <v>113</v>
      </c>
      <c r="B118" s="9" t="s">
        <v>114</v>
      </c>
      <c r="C118" s="8" t="s">
        <v>384</v>
      </c>
      <c r="D118" s="9" t="s">
        <v>385</v>
      </c>
      <c r="E118" s="6">
        <v>0</v>
      </c>
      <c r="F118" s="7">
        <v>33.740001678466797</v>
      </c>
      <c r="G118" s="6">
        <v>2014</v>
      </c>
    </row>
    <row r="119" spans="1:7" x14ac:dyDescent="0.25">
      <c r="A119" s="8" t="s">
        <v>113</v>
      </c>
      <c r="B119" s="9" t="s">
        <v>114</v>
      </c>
      <c r="C119" s="8" t="s">
        <v>390</v>
      </c>
      <c r="D119" s="9" t="s">
        <v>391</v>
      </c>
      <c r="E119" s="6">
        <v>0</v>
      </c>
      <c r="F119" s="7">
        <v>26.280000686645501</v>
      </c>
      <c r="G119" s="6">
        <v>2014</v>
      </c>
    </row>
    <row r="120" spans="1:7" x14ac:dyDescent="0.25">
      <c r="A120" s="8" t="s">
        <v>113</v>
      </c>
      <c r="B120" s="9" t="s">
        <v>114</v>
      </c>
      <c r="C120" s="8" t="s">
        <v>393</v>
      </c>
      <c r="D120" s="9" t="s">
        <v>394</v>
      </c>
      <c r="E120" s="6">
        <v>0</v>
      </c>
      <c r="F120" s="7">
        <v>112.566011191719</v>
      </c>
      <c r="G120" s="6">
        <v>2023</v>
      </c>
    </row>
    <row r="121" spans="1:7" x14ac:dyDescent="0.25">
      <c r="A121" s="8" t="s">
        <v>113</v>
      </c>
      <c r="B121" s="9" t="s">
        <v>114</v>
      </c>
      <c r="C121" s="8" t="s">
        <v>395</v>
      </c>
      <c r="D121" s="9" t="s">
        <v>396</v>
      </c>
      <c r="E121" s="6">
        <v>0</v>
      </c>
      <c r="F121" s="7">
        <v>120.47485507398</v>
      </c>
      <c r="G121" s="6">
        <v>2023</v>
      </c>
    </row>
    <row r="122" spans="1:7" x14ac:dyDescent="0.25">
      <c r="A122" s="8" t="s">
        <v>113</v>
      </c>
      <c r="B122" s="9" t="s">
        <v>114</v>
      </c>
      <c r="C122" s="8" t="s">
        <v>397</v>
      </c>
      <c r="D122" s="9" t="s">
        <v>398</v>
      </c>
      <c r="E122" s="6">
        <v>0</v>
      </c>
      <c r="F122" s="7">
        <v>90.828620910644503</v>
      </c>
      <c r="G122" s="6">
        <v>2022</v>
      </c>
    </row>
    <row r="123" spans="1:7" x14ac:dyDescent="0.25">
      <c r="A123" s="8" t="s">
        <v>113</v>
      </c>
      <c r="B123" s="8" t="s">
        <v>114</v>
      </c>
      <c r="C123" s="8" t="s">
        <v>399</v>
      </c>
      <c r="D123" s="8" t="s">
        <v>400</v>
      </c>
      <c r="E123" s="6">
        <v>0</v>
      </c>
      <c r="F123" s="7">
        <v>85.749183654785199</v>
      </c>
      <c r="G123" s="6">
        <v>2022</v>
      </c>
    </row>
    <row r="124" spans="1:7" x14ac:dyDescent="0.25">
      <c r="A124" s="8" t="s">
        <v>113</v>
      </c>
      <c r="B124" s="8" t="s">
        <v>114</v>
      </c>
      <c r="C124" s="8" t="s">
        <v>401</v>
      </c>
      <c r="D124" s="8" t="s">
        <v>402</v>
      </c>
      <c r="E124" s="6">
        <v>0</v>
      </c>
      <c r="F124" s="7">
        <v>6.3956115881500404</v>
      </c>
      <c r="G124" s="6">
        <v>2013</v>
      </c>
    </row>
    <row r="125" spans="1:7" x14ac:dyDescent="0.25">
      <c r="A125" s="8" t="s">
        <v>113</v>
      </c>
      <c r="B125" s="8" t="s">
        <v>114</v>
      </c>
      <c r="C125" s="8" t="s">
        <v>403</v>
      </c>
      <c r="D125" s="8" t="s">
        <v>404</v>
      </c>
      <c r="E125" s="6">
        <v>0</v>
      </c>
      <c r="F125" s="7">
        <v>6.4773546568788101</v>
      </c>
      <c r="G125" s="6">
        <v>2013</v>
      </c>
    </row>
    <row r="126" spans="1:7" x14ac:dyDescent="0.25">
      <c r="A126" s="8" t="s">
        <v>115</v>
      </c>
      <c r="B126" s="9" t="s">
        <v>116</v>
      </c>
      <c r="C126" s="8" t="s">
        <v>384</v>
      </c>
      <c r="D126" s="9" t="s">
        <v>385</v>
      </c>
      <c r="E126" s="6">
        <v>1</v>
      </c>
      <c r="F126" s="7">
        <v>29.270769119262699</v>
      </c>
      <c r="G126" s="6">
        <v>2021</v>
      </c>
    </row>
    <row r="127" spans="1:7" x14ac:dyDescent="0.25">
      <c r="A127" s="8" t="s">
        <v>115</v>
      </c>
      <c r="B127" s="9" t="s">
        <v>116</v>
      </c>
      <c r="C127" s="8" t="s">
        <v>390</v>
      </c>
      <c r="D127" s="9" t="s">
        <v>391</v>
      </c>
      <c r="E127" s="6">
        <v>1</v>
      </c>
      <c r="F127" s="7">
        <v>30.9440402984619</v>
      </c>
      <c r="G127" s="6">
        <v>2021</v>
      </c>
    </row>
    <row r="128" spans="1:7" x14ac:dyDescent="0.25">
      <c r="A128" s="8" t="s">
        <v>115</v>
      </c>
      <c r="B128" s="9" t="s">
        <v>116</v>
      </c>
      <c r="C128" s="8" t="s">
        <v>393</v>
      </c>
      <c r="D128" s="9" t="s">
        <v>394</v>
      </c>
      <c r="E128" s="6">
        <v>1</v>
      </c>
      <c r="F128" s="7">
        <v>81.412303252894105</v>
      </c>
      <c r="G128" s="6">
        <v>2024</v>
      </c>
    </row>
    <row r="129" spans="1:7" x14ac:dyDescent="0.25">
      <c r="A129" s="8" t="s">
        <v>115</v>
      </c>
      <c r="B129" s="9" t="s">
        <v>116</v>
      </c>
      <c r="C129" s="8" t="s">
        <v>395</v>
      </c>
      <c r="D129" s="9" t="s">
        <v>396</v>
      </c>
      <c r="E129" s="6">
        <v>1</v>
      </c>
      <c r="F129" s="7">
        <v>87.318906511434307</v>
      </c>
      <c r="G129" s="6">
        <v>2024</v>
      </c>
    </row>
    <row r="130" spans="1:7" x14ac:dyDescent="0.25">
      <c r="A130" s="8" t="s">
        <v>115</v>
      </c>
      <c r="B130" s="9" t="s">
        <v>116</v>
      </c>
      <c r="C130" s="8" t="s">
        <v>397</v>
      </c>
      <c r="D130" s="9" t="s">
        <v>398</v>
      </c>
      <c r="E130" s="6">
        <v>1</v>
      </c>
      <c r="F130" s="7">
        <v>33.321026595271199</v>
      </c>
      <c r="G130" s="6">
        <v>2015</v>
      </c>
    </row>
    <row r="131" spans="1:7" x14ac:dyDescent="0.25">
      <c r="A131" s="8" t="s">
        <v>115</v>
      </c>
      <c r="B131" s="8" t="s">
        <v>116</v>
      </c>
      <c r="C131" s="8" t="s">
        <v>399</v>
      </c>
      <c r="D131" s="8" t="s">
        <v>400</v>
      </c>
      <c r="E131" s="6">
        <v>1</v>
      </c>
      <c r="F131" s="7">
        <v>34.4858927099528</v>
      </c>
      <c r="G131" s="6">
        <v>2015</v>
      </c>
    </row>
    <row r="132" spans="1:7" x14ac:dyDescent="0.25">
      <c r="A132" s="8" t="s">
        <v>115</v>
      </c>
      <c r="B132" s="8" t="s">
        <v>116</v>
      </c>
      <c r="C132" s="8" t="s">
        <v>401</v>
      </c>
      <c r="D132" s="8" t="s">
        <v>402</v>
      </c>
      <c r="E132" s="6">
        <v>1</v>
      </c>
      <c r="F132" s="7">
        <v>3.5573412788108598</v>
      </c>
      <c r="G132" s="6">
        <v>2014</v>
      </c>
    </row>
    <row r="133" spans="1:7" x14ac:dyDescent="0.25">
      <c r="A133" s="8" t="s">
        <v>115</v>
      </c>
      <c r="B133" s="8" t="s">
        <v>116</v>
      </c>
      <c r="C133" s="8" t="s">
        <v>403</v>
      </c>
      <c r="D133" s="8" t="s">
        <v>404</v>
      </c>
      <c r="E133" s="6">
        <v>1</v>
      </c>
      <c r="F133" s="7">
        <v>8.2155191375066199</v>
      </c>
      <c r="G133" s="6">
        <v>2014</v>
      </c>
    </row>
    <row r="134" spans="1:7" x14ac:dyDescent="0.25">
      <c r="A134" s="8" t="s">
        <v>123</v>
      </c>
      <c r="B134" s="9" t="s">
        <v>124</v>
      </c>
      <c r="C134" s="8" t="s">
        <v>384</v>
      </c>
      <c r="D134" s="9" t="s">
        <v>385</v>
      </c>
      <c r="E134" s="6">
        <v>0</v>
      </c>
      <c r="F134" s="7">
        <v>43.708381652832003</v>
      </c>
      <c r="G134" s="6">
        <v>2019</v>
      </c>
    </row>
    <row r="135" spans="1:7" x14ac:dyDescent="0.25">
      <c r="A135" s="8" t="s">
        <v>123</v>
      </c>
      <c r="B135" s="9" t="s">
        <v>124</v>
      </c>
      <c r="C135" s="8" t="s">
        <v>390</v>
      </c>
      <c r="D135" s="9" t="s">
        <v>391</v>
      </c>
      <c r="E135" s="6">
        <v>0</v>
      </c>
      <c r="F135" s="7">
        <v>42.2795600891113</v>
      </c>
      <c r="G135" s="6">
        <v>2019</v>
      </c>
    </row>
    <row r="136" spans="1:7" x14ac:dyDescent="0.25">
      <c r="A136" s="8" t="s">
        <v>123</v>
      </c>
      <c r="B136" s="9" t="s">
        <v>124</v>
      </c>
      <c r="C136" s="8" t="s">
        <v>393</v>
      </c>
      <c r="D136" s="9" t="s">
        <v>394</v>
      </c>
      <c r="E136" s="6">
        <v>0</v>
      </c>
      <c r="F136" s="7">
        <v>97.956033467062397</v>
      </c>
      <c r="G136" s="6">
        <v>2019</v>
      </c>
    </row>
    <row r="137" spans="1:7" x14ac:dyDescent="0.25">
      <c r="A137" s="8" t="s">
        <v>123</v>
      </c>
      <c r="B137" s="9" t="s">
        <v>124</v>
      </c>
      <c r="C137" s="8" t="s">
        <v>395</v>
      </c>
      <c r="D137" s="9" t="s">
        <v>396</v>
      </c>
      <c r="E137" s="6">
        <v>0</v>
      </c>
      <c r="F137" s="7">
        <v>102.37043286487101</v>
      </c>
      <c r="G137" s="6">
        <v>2019</v>
      </c>
    </row>
    <row r="138" spans="1:7" x14ac:dyDescent="0.25">
      <c r="A138" s="8" t="s">
        <v>123</v>
      </c>
      <c r="B138" s="9" t="s">
        <v>124</v>
      </c>
      <c r="C138" s="8" t="s">
        <v>397</v>
      </c>
      <c r="D138" s="9" t="s">
        <v>398</v>
      </c>
      <c r="E138" s="6">
        <v>0</v>
      </c>
      <c r="F138" s="7">
        <v>72.051062941533303</v>
      </c>
      <c r="G138" s="6">
        <v>2019</v>
      </c>
    </row>
    <row r="139" spans="1:7" x14ac:dyDescent="0.25">
      <c r="A139" s="8" t="s">
        <v>123</v>
      </c>
      <c r="B139" s="8" t="s">
        <v>124</v>
      </c>
      <c r="C139" s="8" t="s">
        <v>399</v>
      </c>
      <c r="D139" s="8" t="s">
        <v>400</v>
      </c>
      <c r="E139" s="6">
        <v>0</v>
      </c>
      <c r="F139" s="7">
        <v>68.483446205040906</v>
      </c>
      <c r="G139" s="6">
        <v>2019</v>
      </c>
    </row>
    <row r="140" spans="1:7" x14ac:dyDescent="0.25">
      <c r="A140" s="8" t="s">
        <v>125</v>
      </c>
      <c r="B140" s="9" t="s">
        <v>126</v>
      </c>
      <c r="C140" s="8" t="s">
        <v>384</v>
      </c>
      <c r="D140" s="9" t="s">
        <v>385</v>
      </c>
      <c r="E140" s="6">
        <v>0</v>
      </c>
      <c r="F140" s="7">
        <v>43.742885589599602</v>
      </c>
      <c r="G140" s="6">
        <v>2022</v>
      </c>
    </row>
    <row r="141" spans="1:7" x14ac:dyDescent="0.25">
      <c r="A141" s="8" t="s">
        <v>125</v>
      </c>
      <c r="B141" s="9" t="s">
        <v>126</v>
      </c>
      <c r="C141" s="8" t="s">
        <v>390</v>
      </c>
      <c r="D141" s="9" t="s">
        <v>391</v>
      </c>
      <c r="E141" s="6">
        <v>0</v>
      </c>
      <c r="F141" s="7">
        <v>40.166408538818402</v>
      </c>
      <c r="G141" s="6">
        <v>2022</v>
      </c>
    </row>
    <row r="142" spans="1:7" x14ac:dyDescent="0.25">
      <c r="A142" s="8" t="s">
        <v>125</v>
      </c>
      <c r="B142" s="9" t="s">
        <v>126</v>
      </c>
      <c r="C142" s="8" t="s">
        <v>393</v>
      </c>
      <c r="D142" s="9" t="s">
        <v>394</v>
      </c>
      <c r="E142" s="6">
        <v>0</v>
      </c>
      <c r="F142" s="7">
        <v>108.231604011173</v>
      </c>
      <c r="G142" s="6">
        <v>2025</v>
      </c>
    </row>
    <row r="143" spans="1:7" x14ac:dyDescent="0.25">
      <c r="A143" s="8" t="s">
        <v>125</v>
      </c>
      <c r="B143" s="9" t="s">
        <v>126</v>
      </c>
      <c r="C143" s="8" t="s">
        <v>395</v>
      </c>
      <c r="D143" s="9" t="s">
        <v>396</v>
      </c>
      <c r="E143" s="6">
        <v>0</v>
      </c>
      <c r="F143" s="7">
        <v>92.774650860887903</v>
      </c>
      <c r="G143" s="6">
        <v>2025</v>
      </c>
    </row>
    <row r="144" spans="1:7" x14ac:dyDescent="0.25">
      <c r="A144" s="8" t="s">
        <v>125</v>
      </c>
      <c r="B144" s="9" t="s">
        <v>126</v>
      </c>
      <c r="C144" s="8" t="s">
        <v>397</v>
      </c>
      <c r="D144" s="9" t="s">
        <v>398</v>
      </c>
      <c r="E144" s="6">
        <v>0</v>
      </c>
      <c r="F144" s="7">
        <v>116.37276655377801</v>
      </c>
      <c r="G144" s="6">
        <v>2021</v>
      </c>
    </row>
    <row r="145" spans="1:7" x14ac:dyDescent="0.25">
      <c r="A145" s="8" t="s">
        <v>125</v>
      </c>
      <c r="B145" s="8" t="s">
        <v>126</v>
      </c>
      <c r="C145" s="8" t="s">
        <v>399</v>
      </c>
      <c r="D145" s="8" t="s">
        <v>400</v>
      </c>
      <c r="E145" s="6">
        <v>0</v>
      </c>
      <c r="F145" s="7">
        <v>97.841532563531601</v>
      </c>
      <c r="G145" s="6">
        <v>2021</v>
      </c>
    </row>
    <row r="146" spans="1:7" x14ac:dyDescent="0.25">
      <c r="A146" s="8" t="s">
        <v>125</v>
      </c>
      <c r="B146" s="8" t="s">
        <v>126</v>
      </c>
      <c r="C146" s="8" t="s">
        <v>401</v>
      </c>
      <c r="D146" s="8" t="s">
        <v>402</v>
      </c>
      <c r="E146" s="6">
        <v>0</v>
      </c>
      <c r="F146" s="7">
        <v>23.140840530395501</v>
      </c>
      <c r="G146" s="6">
        <v>2024</v>
      </c>
    </row>
    <row r="147" spans="1:7" x14ac:dyDescent="0.25">
      <c r="A147" s="8" t="s">
        <v>125</v>
      </c>
      <c r="B147" s="8" t="s">
        <v>126</v>
      </c>
      <c r="C147" s="8" t="s">
        <v>403</v>
      </c>
      <c r="D147" s="8" t="s">
        <v>404</v>
      </c>
      <c r="E147" s="6">
        <v>0</v>
      </c>
      <c r="F147" s="7">
        <v>3.94231009483337</v>
      </c>
      <c r="G147" s="6">
        <v>2024</v>
      </c>
    </row>
    <row r="148" spans="1:7" x14ac:dyDescent="0.25">
      <c r="A148" s="8" t="s">
        <v>131</v>
      </c>
      <c r="B148" s="9" t="s">
        <v>132</v>
      </c>
      <c r="C148" s="8" t="s">
        <v>384</v>
      </c>
      <c r="D148" s="9" t="s">
        <v>385</v>
      </c>
      <c r="E148" s="6">
        <v>0</v>
      </c>
      <c r="F148" s="7">
        <v>117.207801818848</v>
      </c>
      <c r="G148" s="6">
        <v>2020</v>
      </c>
    </row>
    <row r="149" spans="1:7" x14ac:dyDescent="0.25">
      <c r="A149" s="8" t="s">
        <v>131</v>
      </c>
      <c r="B149" s="9" t="s">
        <v>132</v>
      </c>
      <c r="C149" s="8" t="s">
        <v>390</v>
      </c>
      <c r="D149" s="9" t="s">
        <v>391</v>
      </c>
      <c r="E149" s="6">
        <v>0</v>
      </c>
      <c r="F149" s="7">
        <v>115.11042022705099</v>
      </c>
      <c r="G149" s="6">
        <v>2020</v>
      </c>
    </row>
    <row r="150" spans="1:7" x14ac:dyDescent="0.25">
      <c r="A150" s="8" t="s">
        <v>131</v>
      </c>
      <c r="B150" s="9" t="s">
        <v>132</v>
      </c>
      <c r="C150" s="8" t="s">
        <v>393</v>
      </c>
      <c r="D150" s="9" t="s">
        <v>394</v>
      </c>
      <c r="E150" s="6">
        <v>0</v>
      </c>
      <c r="F150" s="7">
        <v>96.837565132834001</v>
      </c>
      <c r="G150" s="6">
        <v>2022</v>
      </c>
    </row>
    <row r="151" spans="1:7" x14ac:dyDescent="0.25">
      <c r="A151" s="8" t="s">
        <v>131</v>
      </c>
      <c r="B151" s="9" t="s">
        <v>132</v>
      </c>
      <c r="C151" s="8" t="s">
        <v>395</v>
      </c>
      <c r="D151" s="9" t="s">
        <v>396</v>
      </c>
      <c r="E151" s="6">
        <v>0</v>
      </c>
      <c r="F151" s="7">
        <v>99.595563641309695</v>
      </c>
      <c r="G151" s="6">
        <v>2022</v>
      </c>
    </row>
    <row r="152" spans="1:7" x14ac:dyDescent="0.25">
      <c r="A152" s="8" t="s">
        <v>131</v>
      </c>
      <c r="B152" s="9" t="s">
        <v>132</v>
      </c>
      <c r="C152" s="8" t="s">
        <v>397</v>
      </c>
      <c r="D152" s="9" t="s">
        <v>398</v>
      </c>
      <c r="E152" s="6">
        <v>0</v>
      </c>
      <c r="F152" s="7">
        <v>77.957477801385807</v>
      </c>
      <c r="G152" s="6">
        <v>2022</v>
      </c>
    </row>
    <row r="153" spans="1:7" x14ac:dyDescent="0.25">
      <c r="A153" s="8" t="s">
        <v>131</v>
      </c>
      <c r="B153" s="8" t="s">
        <v>132</v>
      </c>
      <c r="C153" s="8" t="s">
        <v>399</v>
      </c>
      <c r="D153" s="8" t="s">
        <v>400</v>
      </c>
      <c r="E153" s="6">
        <v>0</v>
      </c>
      <c r="F153" s="7">
        <v>77.678818121613702</v>
      </c>
      <c r="G153" s="6">
        <v>2022</v>
      </c>
    </row>
    <row r="154" spans="1:7" x14ac:dyDescent="0.25">
      <c r="A154" s="8" t="s">
        <v>131</v>
      </c>
      <c r="B154" s="8" t="s">
        <v>132</v>
      </c>
      <c r="C154" s="8" t="s">
        <v>401</v>
      </c>
      <c r="D154" s="8" t="s">
        <v>402</v>
      </c>
      <c r="E154" s="6">
        <v>0</v>
      </c>
      <c r="F154" s="7">
        <v>21.675734641775499</v>
      </c>
      <c r="G154" s="6">
        <v>2023</v>
      </c>
    </row>
    <row r="155" spans="1:7" x14ac:dyDescent="0.25">
      <c r="A155" s="8" t="s">
        <v>131</v>
      </c>
      <c r="B155" s="8" t="s">
        <v>132</v>
      </c>
      <c r="C155" s="8" t="s">
        <v>403</v>
      </c>
      <c r="D155" s="8" t="s">
        <v>404</v>
      </c>
      <c r="E155" s="6">
        <v>0</v>
      </c>
      <c r="F155" s="7">
        <v>22.509388723189101</v>
      </c>
      <c r="G155" s="6">
        <v>2023</v>
      </c>
    </row>
    <row r="156" spans="1:7" x14ac:dyDescent="0.25">
      <c r="A156" s="8" t="s">
        <v>137</v>
      </c>
      <c r="B156" s="8" t="s">
        <v>138</v>
      </c>
      <c r="C156" s="8" t="s">
        <v>384</v>
      </c>
      <c r="D156" s="8" t="s">
        <v>385</v>
      </c>
      <c r="E156" s="6">
        <v>0</v>
      </c>
      <c r="F156" s="7">
        <v>19.4323825836182</v>
      </c>
      <c r="G156" s="6">
        <v>2021</v>
      </c>
    </row>
    <row r="157" spans="1:7" x14ac:dyDescent="0.25">
      <c r="A157" s="8" t="s">
        <v>137</v>
      </c>
      <c r="B157" s="8" t="s">
        <v>138</v>
      </c>
      <c r="C157" s="8" t="s">
        <v>390</v>
      </c>
      <c r="D157" s="8" t="s">
        <v>391</v>
      </c>
      <c r="E157" s="6">
        <v>0</v>
      </c>
      <c r="F157" s="7">
        <v>19.8797302246094</v>
      </c>
      <c r="G157" s="6">
        <v>2021</v>
      </c>
    </row>
    <row r="158" spans="1:7" x14ac:dyDescent="0.25">
      <c r="A158" s="8" t="s">
        <v>137</v>
      </c>
      <c r="B158" s="8" t="s">
        <v>138</v>
      </c>
      <c r="C158" s="8" t="s">
        <v>393</v>
      </c>
      <c r="D158" s="8" t="s">
        <v>394</v>
      </c>
      <c r="E158" s="6">
        <v>0</v>
      </c>
      <c r="F158" s="7">
        <v>92.777046203613295</v>
      </c>
      <c r="G158" s="6">
        <v>2020</v>
      </c>
    </row>
    <row r="159" spans="1:7" x14ac:dyDescent="0.25">
      <c r="A159" s="8" t="s">
        <v>137</v>
      </c>
      <c r="B159" s="8" t="s">
        <v>138</v>
      </c>
      <c r="C159" s="8" t="s">
        <v>395</v>
      </c>
      <c r="D159" s="8" t="s">
        <v>396</v>
      </c>
      <c r="E159" s="6">
        <v>0</v>
      </c>
      <c r="F159" s="7">
        <v>107.971389770508</v>
      </c>
      <c r="G159" s="6">
        <v>2020</v>
      </c>
    </row>
    <row r="160" spans="1:7" x14ac:dyDescent="0.25">
      <c r="A160" s="8" t="s">
        <v>137</v>
      </c>
      <c r="B160" s="8" t="s">
        <v>138</v>
      </c>
      <c r="C160" s="8" t="s">
        <v>397</v>
      </c>
      <c r="D160" s="8" t="s">
        <v>398</v>
      </c>
      <c r="E160" s="6">
        <v>0</v>
      </c>
      <c r="F160" s="7">
        <v>30.602209091186499</v>
      </c>
      <c r="G160" s="6">
        <v>2014</v>
      </c>
    </row>
    <row r="161" spans="1:7" x14ac:dyDescent="0.25">
      <c r="A161" s="8" t="s">
        <v>137</v>
      </c>
      <c r="B161" s="8" t="s">
        <v>138</v>
      </c>
      <c r="C161" s="8" t="s">
        <v>399</v>
      </c>
      <c r="D161" s="8" t="s">
        <v>400</v>
      </c>
      <c r="E161" s="6">
        <v>0</v>
      </c>
      <c r="F161" s="7">
        <v>46.284698486328097</v>
      </c>
      <c r="G161" s="6">
        <v>2014</v>
      </c>
    </row>
    <row r="162" spans="1:7" x14ac:dyDescent="0.25">
      <c r="A162" s="8" t="s">
        <v>137</v>
      </c>
      <c r="B162" s="8" t="s">
        <v>138</v>
      </c>
      <c r="C162" s="8" t="s">
        <v>401</v>
      </c>
      <c r="D162" s="8" t="s">
        <v>402</v>
      </c>
      <c r="E162" s="6">
        <v>0</v>
      </c>
      <c r="F162" s="7">
        <v>6.6369900703430202</v>
      </c>
      <c r="G162" s="6">
        <v>2014</v>
      </c>
    </row>
    <row r="163" spans="1:7" x14ac:dyDescent="0.25">
      <c r="A163" s="8" t="s">
        <v>137</v>
      </c>
      <c r="B163" s="8" t="s">
        <v>138</v>
      </c>
      <c r="C163" s="8" t="s">
        <v>403</v>
      </c>
      <c r="D163" s="8" t="s">
        <v>404</v>
      </c>
      <c r="E163" s="6">
        <v>0</v>
      </c>
      <c r="F163" s="7">
        <v>15.0457601547241</v>
      </c>
      <c r="G163" s="6">
        <v>2014</v>
      </c>
    </row>
    <row r="164" spans="1:7" x14ac:dyDescent="0.25">
      <c r="A164" s="8" t="s">
        <v>139</v>
      </c>
      <c r="B164" s="8" t="s">
        <v>140</v>
      </c>
      <c r="C164" s="8" t="s">
        <v>384</v>
      </c>
      <c r="D164" s="8" t="s">
        <v>385</v>
      </c>
      <c r="E164" s="6">
        <v>0</v>
      </c>
      <c r="F164" s="7">
        <v>13.6099996566772</v>
      </c>
      <c r="G164" s="6">
        <v>2014</v>
      </c>
    </row>
    <row r="165" spans="1:7" x14ac:dyDescent="0.25">
      <c r="A165" s="8" t="s">
        <v>139</v>
      </c>
      <c r="B165" s="8" t="s">
        <v>140</v>
      </c>
      <c r="C165" s="8" t="s">
        <v>390</v>
      </c>
      <c r="D165" s="8" t="s">
        <v>391</v>
      </c>
      <c r="E165" s="6">
        <v>0</v>
      </c>
      <c r="F165" s="7">
        <v>12.819999694824199</v>
      </c>
      <c r="G165" s="6">
        <v>2014</v>
      </c>
    </row>
    <row r="166" spans="1:7" x14ac:dyDescent="0.25">
      <c r="A166" s="8" t="s">
        <v>139</v>
      </c>
      <c r="B166" s="8" t="s">
        <v>140</v>
      </c>
      <c r="C166" s="8" t="s">
        <v>393</v>
      </c>
      <c r="D166" s="8" t="s">
        <v>394</v>
      </c>
      <c r="E166" s="6">
        <v>0</v>
      </c>
      <c r="F166" s="7">
        <v>110.438018798828</v>
      </c>
      <c r="G166" s="6">
        <v>2010</v>
      </c>
    </row>
    <row r="167" spans="1:7" x14ac:dyDescent="0.25">
      <c r="A167" s="8" t="s">
        <v>139</v>
      </c>
      <c r="B167" s="8" t="s">
        <v>140</v>
      </c>
      <c r="C167" s="8" t="s">
        <v>395</v>
      </c>
      <c r="D167" s="8" t="s">
        <v>396</v>
      </c>
      <c r="E167" s="6">
        <v>0</v>
      </c>
      <c r="F167" s="7">
        <v>116.39414215087901</v>
      </c>
      <c r="G167" s="6">
        <v>2010</v>
      </c>
    </row>
    <row r="168" spans="1:7" x14ac:dyDescent="0.25">
      <c r="A168" s="8" t="s">
        <v>175</v>
      </c>
      <c r="B168" s="8" t="s">
        <v>176</v>
      </c>
      <c r="C168" s="8" t="s">
        <v>384</v>
      </c>
      <c r="D168" s="8" t="s">
        <v>385</v>
      </c>
      <c r="E168" s="6">
        <v>1</v>
      </c>
      <c r="F168" s="7">
        <v>64.440528869628906</v>
      </c>
      <c r="G168" s="6">
        <v>2019</v>
      </c>
    </row>
    <row r="169" spans="1:7" x14ac:dyDescent="0.25">
      <c r="A169" s="8" t="s">
        <v>175</v>
      </c>
      <c r="B169" s="8" t="s">
        <v>176</v>
      </c>
      <c r="C169" s="8" t="s">
        <v>390</v>
      </c>
      <c r="D169" s="8" t="s">
        <v>391</v>
      </c>
      <c r="E169" s="6">
        <v>1</v>
      </c>
      <c r="F169" s="7">
        <v>65.837242126464801</v>
      </c>
      <c r="G169" s="6">
        <v>2019</v>
      </c>
    </row>
    <row r="170" spans="1:7" x14ac:dyDescent="0.25">
      <c r="A170" s="8" t="s">
        <v>175</v>
      </c>
      <c r="B170" s="8" t="s">
        <v>176</v>
      </c>
      <c r="C170" s="8" t="s">
        <v>393</v>
      </c>
      <c r="D170" s="8" t="s">
        <v>394</v>
      </c>
      <c r="E170" s="6">
        <v>1</v>
      </c>
      <c r="F170" s="7">
        <v>96.626372763988499</v>
      </c>
      <c r="G170" s="6">
        <v>2023</v>
      </c>
    </row>
    <row r="171" spans="1:7" x14ac:dyDescent="0.25">
      <c r="A171" s="8" t="s">
        <v>175</v>
      </c>
      <c r="B171" s="8" t="s">
        <v>176</v>
      </c>
      <c r="C171" s="8" t="s">
        <v>395</v>
      </c>
      <c r="D171" s="8" t="s">
        <v>396</v>
      </c>
      <c r="E171" s="6">
        <v>1</v>
      </c>
      <c r="F171" s="7">
        <v>99.847885720690499</v>
      </c>
      <c r="G171" s="6">
        <v>2023</v>
      </c>
    </row>
    <row r="172" spans="1:7" x14ac:dyDescent="0.25">
      <c r="A172" s="8" t="s">
        <v>175</v>
      </c>
      <c r="B172" s="8" t="s">
        <v>176</v>
      </c>
      <c r="C172" s="8" t="s">
        <v>397</v>
      </c>
      <c r="D172" s="8" t="s">
        <v>398</v>
      </c>
      <c r="E172" s="6">
        <v>1</v>
      </c>
      <c r="F172" s="7">
        <v>84.750533984065498</v>
      </c>
      <c r="G172" s="6">
        <v>2023</v>
      </c>
    </row>
    <row r="173" spans="1:7" x14ac:dyDescent="0.25">
      <c r="A173" s="8" t="s">
        <v>175</v>
      </c>
      <c r="B173" s="8" t="s">
        <v>176</v>
      </c>
      <c r="C173" s="8" t="s">
        <v>399</v>
      </c>
      <c r="D173" s="8" t="s">
        <v>400</v>
      </c>
      <c r="E173" s="6">
        <v>1</v>
      </c>
      <c r="F173" s="7">
        <v>83.868350157421503</v>
      </c>
      <c r="G173" s="6">
        <v>2023</v>
      </c>
    </row>
    <row r="174" spans="1:7" x14ac:dyDescent="0.25">
      <c r="A174" s="8" t="s">
        <v>175</v>
      </c>
      <c r="B174" s="8" t="s">
        <v>176</v>
      </c>
      <c r="C174" s="8" t="s">
        <v>401</v>
      </c>
      <c r="D174" s="8" t="s">
        <v>402</v>
      </c>
      <c r="E174" s="6">
        <v>1</v>
      </c>
      <c r="F174" s="7">
        <v>9.2283323961025605</v>
      </c>
      <c r="G174" s="6">
        <v>2024</v>
      </c>
    </row>
    <row r="175" spans="1:7" x14ac:dyDescent="0.25">
      <c r="A175" s="8" t="s">
        <v>175</v>
      </c>
      <c r="B175" s="8" t="s">
        <v>176</v>
      </c>
      <c r="C175" s="8" t="s">
        <v>403</v>
      </c>
      <c r="D175" s="8" t="s">
        <v>404</v>
      </c>
      <c r="E175" s="6">
        <v>1</v>
      </c>
      <c r="F175" s="7">
        <v>11.630246284371101</v>
      </c>
      <c r="G175" s="6">
        <v>2024</v>
      </c>
    </row>
    <row r="176" spans="1:7" x14ac:dyDescent="0.25">
      <c r="A176" s="8" t="s">
        <v>191</v>
      </c>
      <c r="B176" s="8" t="s">
        <v>192</v>
      </c>
      <c r="C176" s="8" t="s">
        <v>384</v>
      </c>
      <c r="D176" s="8" t="s">
        <v>385</v>
      </c>
      <c r="E176" s="6">
        <v>0</v>
      </c>
      <c r="F176" s="7">
        <v>33.453666687011697</v>
      </c>
      <c r="G176" s="6">
        <v>2019</v>
      </c>
    </row>
    <row r="177" spans="1:7" x14ac:dyDescent="0.25">
      <c r="A177" s="8" t="s">
        <v>191</v>
      </c>
      <c r="B177" s="8" t="s">
        <v>192</v>
      </c>
      <c r="C177" s="8" t="s">
        <v>390</v>
      </c>
      <c r="D177" s="8" t="s">
        <v>391</v>
      </c>
      <c r="E177" s="6">
        <v>0</v>
      </c>
      <c r="F177" s="7">
        <v>32.643154144287102</v>
      </c>
      <c r="G177" s="6">
        <v>2019</v>
      </c>
    </row>
    <row r="178" spans="1:7" x14ac:dyDescent="0.25">
      <c r="A178" s="8" t="s">
        <v>191</v>
      </c>
      <c r="B178" s="8" t="s">
        <v>192</v>
      </c>
      <c r="C178" s="8" t="s">
        <v>393</v>
      </c>
      <c r="D178" s="8" t="s">
        <v>394</v>
      </c>
      <c r="E178" s="6">
        <v>0</v>
      </c>
      <c r="F178" s="7">
        <v>78.5987944155831</v>
      </c>
      <c r="G178" s="6">
        <v>2024</v>
      </c>
    </row>
    <row r="179" spans="1:7" x14ac:dyDescent="0.25">
      <c r="A179" s="8" t="s">
        <v>191</v>
      </c>
      <c r="B179" s="8" t="s">
        <v>192</v>
      </c>
      <c r="C179" s="8" t="s">
        <v>395</v>
      </c>
      <c r="D179" s="8" t="s">
        <v>396</v>
      </c>
      <c r="E179" s="6">
        <v>0</v>
      </c>
      <c r="F179" s="7">
        <v>81.752905432242699</v>
      </c>
      <c r="G179" s="6">
        <v>2024</v>
      </c>
    </row>
    <row r="180" spans="1:7" x14ac:dyDescent="0.25">
      <c r="A180" s="8" t="s">
        <v>191</v>
      </c>
      <c r="B180" s="8" t="s">
        <v>192</v>
      </c>
      <c r="C180" s="8" t="s">
        <v>397</v>
      </c>
      <c r="D180" s="8" t="s">
        <v>398</v>
      </c>
      <c r="E180" s="6">
        <v>0</v>
      </c>
      <c r="F180" s="7">
        <v>68.138751859682102</v>
      </c>
      <c r="G180" s="6">
        <v>2017</v>
      </c>
    </row>
    <row r="181" spans="1:7" x14ac:dyDescent="0.25">
      <c r="A181" s="8" t="s">
        <v>191</v>
      </c>
      <c r="B181" s="8" t="s">
        <v>192</v>
      </c>
      <c r="C181" s="8" t="s">
        <v>399</v>
      </c>
      <c r="D181" s="8" t="s">
        <v>400</v>
      </c>
      <c r="E181" s="6">
        <v>0</v>
      </c>
      <c r="F181" s="7">
        <v>50.584276696750003</v>
      </c>
      <c r="G181" s="6">
        <v>2017</v>
      </c>
    </row>
    <row r="182" spans="1:7" x14ac:dyDescent="0.25">
      <c r="A182" s="8" t="s">
        <v>191</v>
      </c>
      <c r="B182" s="8" t="s">
        <v>192</v>
      </c>
      <c r="C182" s="8" t="s">
        <v>401</v>
      </c>
      <c r="D182" s="8" t="s">
        <v>402</v>
      </c>
      <c r="E182" s="6">
        <v>0</v>
      </c>
      <c r="F182" s="7">
        <v>11.9503822035062</v>
      </c>
      <c r="G182" s="6">
        <v>2018</v>
      </c>
    </row>
    <row r="183" spans="1:7" x14ac:dyDescent="0.25">
      <c r="A183" s="8" t="s">
        <v>191</v>
      </c>
      <c r="B183" s="8" t="s">
        <v>192</v>
      </c>
      <c r="C183" s="8" t="s">
        <v>403</v>
      </c>
      <c r="D183" s="8" t="s">
        <v>404</v>
      </c>
      <c r="E183" s="6">
        <v>0</v>
      </c>
      <c r="F183" s="7">
        <v>7.9027806079916996</v>
      </c>
      <c r="G183" s="6">
        <v>2018</v>
      </c>
    </row>
    <row r="184" spans="1:7" x14ac:dyDescent="0.25">
      <c r="A184" s="8" t="s">
        <v>193</v>
      </c>
      <c r="B184" s="8" t="s">
        <v>194</v>
      </c>
      <c r="C184" s="8" t="s">
        <v>384</v>
      </c>
      <c r="D184" s="8" t="s">
        <v>385</v>
      </c>
      <c r="E184" s="6">
        <v>0</v>
      </c>
      <c r="F184" s="7">
        <v>133.94534301757801</v>
      </c>
      <c r="G184" s="6">
        <v>2020</v>
      </c>
    </row>
    <row r="185" spans="1:7" x14ac:dyDescent="0.25">
      <c r="A185" s="8" t="s">
        <v>193</v>
      </c>
      <c r="B185" s="8" t="s">
        <v>194</v>
      </c>
      <c r="C185" s="8" t="s">
        <v>390</v>
      </c>
      <c r="D185" s="8" t="s">
        <v>391</v>
      </c>
      <c r="E185" s="6">
        <v>0</v>
      </c>
      <c r="F185" s="7">
        <v>123.234092712402</v>
      </c>
      <c r="G185" s="6">
        <v>2020</v>
      </c>
    </row>
    <row r="186" spans="1:7" x14ac:dyDescent="0.25">
      <c r="A186" s="8" t="s">
        <v>193</v>
      </c>
      <c r="B186" s="8" t="s">
        <v>194</v>
      </c>
      <c r="C186" s="8" t="s">
        <v>393</v>
      </c>
      <c r="D186" s="8" t="s">
        <v>394</v>
      </c>
      <c r="E186" s="6">
        <v>0</v>
      </c>
      <c r="F186" s="7">
        <v>67.416142483233202</v>
      </c>
      <c r="G186" s="6">
        <v>2022</v>
      </c>
    </row>
    <row r="187" spans="1:7" x14ac:dyDescent="0.25">
      <c r="A187" s="8" t="s">
        <v>193</v>
      </c>
      <c r="B187" s="8" t="s">
        <v>194</v>
      </c>
      <c r="C187" s="8" t="s">
        <v>395</v>
      </c>
      <c r="D187" s="8" t="s">
        <v>396</v>
      </c>
      <c r="E187" s="6">
        <v>0</v>
      </c>
      <c r="F187" s="7">
        <v>65.791497587665106</v>
      </c>
      <c r="G187" s="6">
        <v>2022</v>
      </c>
    </row>
    <row r="188" spans="1:7" x14ac:dyDescent="0.25">
      <c r="A188" s="8" t="s">
        <v>193</v>
      </c>
      <c r="B188" s="8" t="s">
        <v>194</v>
      </c>
      <c r="C188" s="8" t="s">
        <v>397</v>
      </c>
      <c r="D188" s="8" t="s">
        <v>398</v>
      </c>
      <c r="E188" s="6">
        <v>0</v>
      </c>
      <c r="F188" s="7">
        <v>37.022098541259801</v>
      </c>
      <c r="G188" s="6">
        <v>2020</v>
      </c>
    </row>
    <row r="189" spans="1:7" x14ac:dyDescent="0.25">
      <c r="A189" s="8" t="s">
        <v>193</v>
      </c>
      <c r="B189" s="8" t="s">
        <v>194</v>
      </c>
      <c r="C189" s="8" t="s">
        <v>399</v>
      </c>
      <c r="D189" s="8" t="s">
        <v>400</v>
      </c>
      <c r="E189" s="6">
        <v>0</v>
      </c>
      <c r="F189" s="7">
        <v>38.447219848632798</v>
      </c>
      <c r="G189" s="6">
        <v>2020</v>
      </c>
    </row>
    <row r="190" spans="1:7" x14ac:dyDescent="0.25">
      <c r="A190" s="8" t="s">
        <v>193</v>
      </c>
      <c r="B190" s="8" t="s">
        <v>194</v>
      </c>
      <c r="C190" s="8" t="s">
        <v>401</v>
      </c>
      <c r="D190" s="8" t="s">
        <v>402</v>
      </c>
      <c r="E190" s="6">
        <v>0</v>
      </c>
      <c r="F190" s="7">
        <v>8.2363200134004</v>
      </c>
      <c r="G190" s="6">
        <v>2012</v>
      </c>
    </row>
    <row r="191" spans="1:7" x14ac:dyDescent="0.25">
      <c r="A191" s="8" t="s">
        <v>193</v>
      </c>
      <c r="B191" s="8" t="s">
        <v>194</v>
      </c>
      <c r="C191" s="8" t="s">
        <v>403</v>
      </c>
      <c r="D191" s="8" t="s">
        <v>404</v>
      </c>
      <c r="E191" s="6">
        <v>0</v>
      </c>
      <c r="F191" s="7">
        <v>13.4546138949287</v>
      </c>
      <c r="G191" s="6">
        <v>2012</v>
      </c>
    </row>
    <row r="192" spans="1:7" x14ac:dyDescent="0.25">
      <c r="A192" s="8" t="s">
        <v>203</v>
      </c>
      <c r="B192" s="8" t="s">
        <v>204</v>
      </c>
      <c r="C192" s="8" t="s">
        <v>384</v>
      </c>
      <c r="D192" s="8" t="s">
        <v>385</v>
      </c>
      <c r="E192" s="6">
        <v>0</v>
      </c>
      <c r="F192" s="7">
        <v>42.194839477539098</v>
      </c>
      <c r="G192" s="6">
        <v>2019</v>
      </c>
    </row>
    <row r="193" spans="1:7" x14ac:dyDescent="0.25">
      <c r="A193" s="8" t="s">
        <v>203</v>
      </c>
      <c r="B193" s="8" t="s">
        <v>204</v>
      </c>
      <c r="C193" s="8" t="s">
        <v>390</v>
      </c>
      <c r="D193" s="8" t="s">
        <v>391</v>
      </c>
      <c r="E193" s="6">
        <v>0</v>
      </c>
      <c r="F193" s="7">
        <v>38.151988983154297</v>
      </c>
      <c r="G193" s="6">
        <v>2019</v>
      </c>
    </row>
    <row r="194" spans="1:7" x14ac:dyDescent="0.25">
      <c r="A194" s="8" t="s">
        <v>203</v>
      </c>
      <c r="B194" s="8" t="s">
        <v>204</v>
      </c>
      <c r="C194" s="8" t="s">
        <v>393</v>
      </c>
      <c r="D194" s="8" t="s">
        <v>394</v>
      </c>
      <c r="E194" s="6">
        <v>0</v>
      </c>
      <c r="F194" s="7">
        <v>135.63113268134899</v>
      </c>
      <c r="G194" s="6">
        <v>2024</v>
      </c>
    </row>
    <row r="195" spans="1:7" x14ac:dyDescent="0.25">
      <c r="A195" s="8" t="s">
        <v>203</v>
      </c>
      <c r="B195" s="8" t="s">
        <v>204</v>
      </c>
      <c r="C195" s="8" t="s">
        <v>395</v>
      </c>
      <c r="D195" s="8" t="s">
        <v>396</v>
      </c>
      <c r="E195" s="6">
        <v>0</v>
      </c>
      <c r="F195" s="7">
        <v>129.92235904929899</v>
      </c>
      <c r="G195" s="6">
        <v>2024</v>
      </c>
    </row>
    <row r="196" spans="1:7" x14ac:dyDescent="0.25">
      <c r="A196" s="8" t="s">
        <v>203</v>
      </c>
      <c r="B196" s="8" t="s">
        <v>204</v>
      </c>
      <c r="C196" s="8" t="s">
        <v>397</v>
      </c>
      <c r="D196" s="8" t="s">
        <v>398</v>
      </c>
      <c r="E196" s="6">
        <v>0</v>
      </c>
      <c r="F196" s="7">
        <v>35.258022225023403</v>
      </c>
      <c r="G196" s="6">
        <v>2021</v>
      </c>
    </row>
    <row r="197" spans="1:7" x14ac:dyDescent="0.25">
      <c r="A197" s="8" t="s">
        <v>203</v>
      </c>
      <c r="B197" s="8" t="s">
        <v>204</v>
      </c>
      <c r="C197" s="8" t="s">
        <v>399</v>
      </c>
      <c r="D197" s="8" t="s">
        <v>400</v>
      </c>
      <c r="E197" s="6">
        <v>0</v>
      </c>
      <c r="F197" s="7">
        <v>33.027072053311102</v>
      </c>
      <c r="G197" s="6">
        <v>2021</v>
      </c>
    </row>
    <row r="198" spans="1:7" x14ac:dyDescent="0.25">
      <c r="A198" s="8" t="s">
        <v>203</v>
      </c>
      <c r="B198" s="8" t="s">
        <v>204</v>
      </c>
      <c r="C198" s="8" t="s">
        <v>401</v>
      </c>
      <c r="D198" s="8" t="s">
        <v>402</v>
      </c>
      <c r="E198" s="6">
        <v>0</v>
      </c>
      <c r="F198" s="7">
        <v>6.2210962004597201</v>
      </c>
      <c r="G198" s="6">
        <v>2023</v>
      </c>
    </row>
    <row r="199" spans="1:7" x14ac:dyDescent="0.25">
      <c r="A199" s="8" t="s">
        <v>203</v>
      </c>
      <c r="B199" s="8" t="s">
        <v>204</v>
      </c>
      <c r="C199" s="8" t="s">
        <v>403</v>
      </c>
      <c r="D199" s="8" t="s">
        <v>404</v>
      </c>
      <c r="E199" s="6">
        <v>0</v>
      </c>
      <c r="F199" s="7">
        <v>6.0733132454569096</v>
      </c>
      <c r="G199" s="6">
        <v>2023</v>
      </c>
    </row>
    <row r="200" spans="1:7" x14ac:dyDescent="0.25">
      <c r="A200" s="8" t="s">
        <v>205</v>
      </c>
      <c r="B200" s="8" t="s">
        <v>206</v>
      </c>
      <c r="C200" s="8" t="s">
        <v>384</v>
      </c>
      <c r="D200" s="8" t="s">
        <v>385</v>
      </c>
      <c r="E200" s="6">
        <v>1</v>
      </c>
      <c r="F200" s="7">
        <v>84.018096923828097</v>
      </c>
      <c r="G200" s="6">
        <v>2015</v>
      </c>
    </row>
    <row r="201" spans="1:7" x14ac:dyDescent="0.25">
      <c r="A201" s="8" t="s">
        <v>205</v>
      </c>
      <c r="B201" s="8" t="s">
        <v>206</v>
      </c>
      <c r="C201" s="8" t="s">
        <v>390</v>
      </c>
      <c r="D201" s="8" t="s">
        <v>391</v>
      </c>
      <c r="E201" s="6">
        <v>1</v>
      </c>
      <c r="F201" s="7">
        <v>83.149436950683594</v>
      </c>
      <c r="G201" s="6">
        <v>2015</v>
      </c>
    </row>
    <row r="202" spans="1:7" x14ac:dyDescent="0.25">
      <c r="A202" s="8" t="s">
        <v>205</v>
      </c>
      <c r="B202" s="8" t="s">
        <v>206</v>
      </c>
      <c r="C202" s="8" t="s">
        <v>393</v>
      </c>
      <c r="D202" s="8" t="s">
        <v>394</v>
      </c>
      <c r="E202" s="6">
        <v>1</v>
      </c>
      <c r="F202" s="7">
        <v>140.69081605249801</v>
      </c>
      <c r="G202" s="6">
        <v>2024</v>
      </c>
    </row>
    <row r="203" spans="1:7" x14ac:dyDescent="0.25">
      <c r="A203" s="8" t="s">
        <v>205</v>
      </c>
      <c r="B203" s="8" t="s">
        <v>206</v>
      </c>
      <c r="C203" s="8" t="s">
        <v>395</v>
      </c>
      <c r="D203" s="8" t="s">
        <v>396</v>
      </c>
      <c r="E203" s="6">
        <v>1</v>
      </c>
      <c r="F203" s="7">
        <v>137.33919134377001</v>
      </c>
      <c r="G203" s="6">
        <v>2024</v>
      </c>
    </row>
    <row r="204" spans="1:7" x14ac:dyDescent="0.25">
      <c r="A204" s="8" t="s">
        <v>205</v>
      </c>
      <c r="B204" s="8" t="s">
        <v>206</v>
      </c>
      <c r="C204" s="8" t="s">
        <v>397</v>
      </c>
      <c r="D204" s="8" t="s">
        <v>398</v>
      </c>
      <c r="E204" s="6">
        <v>1</v>
      </c>
      <c r="F204" s="7">
        <v>37.256405225357497</v>
      </c>
      <c r="G204" s="6">
        <v>2023</v>
      </c>
    </row>
    <row r="205" spans="1:7" x14ac:dyDescent="0.25">
      <c r="A205" s="8" t="s">
        <v>205</v>
      </c>
      <c r="B205" s="8" t="s">
        <v>206</v>
      </c>
      <c r="C205" s="8" t="s">
        <v>399</v>
      </c>
      <c r="D205" s="8" t="s">
        <v>400</v>
      </c>
      <c r="E205" s="6">
        <v>1</v>
      </c>
      <c r="F205" s="7">
        <v>36.023100925410198</v>
      </c>
      <c r="G205" s="6">
        <v>2023</v>
      </c>
    </row>
    <row r="206" spans="1:7" x14ac:dyDescent="0.25">
      <c r="A206" s="8" t="s">
        <v>205</v>
      </c>
      <c r="B206" s="8" t="s">
        <v>206</v>
      </c>
      <c r="C206" s="8" t="s">
        <v>401</v>
      </c>
      <c r="D206" s="8" t="s">
        <v>402</v>
      </c>
      <c r="E206" s="6">
        <v>1</v>
      </c>
      <c r="F206" s="7">
        <v>2.22621093042937</v>
      </c>
      <c r="G206" s="6">
        <v>2022</v>
      </c>
    </row>
    <row r="207" spans="1:7" x14ac:dyDescent="0.25">
      <c r="A207" s="8" t="s">
        <v>205</v>
      </c>
      <c r="B207" s="8" t="s">
        <v>206</v>
      </c>
      <c r="C207" s="8" t="s">
        <v>403</v>
      </c>
      <c r="D207" s="8" t="s">
        <v>404</v>
      </c>
      <c r="E207" s="6">
        <v>1</v>
      </c>
      <c r="F207" s="7">
        <v>3.1991449121014801</v>
      </c>
      <c r="G207" s="6">
        <v>2022</v>
      </c>
    </row>
    <row r="208" spans="1:7" x14ac:dyDescent="0.25">
      <c r="A208" s="8" t="s">
        <v>211</v>
      </c>
      <c r="B208" s="8" t="s">
        <v>212</v>
      </c>
      <c r="C208" s="8" t="s">
        <v>384</v>
      </c>
      <c r="D208" s="8" t="s">
        <v>385</v>
      </c>
      <c r="E208" s="6">
        <v>0</v>
      </c>
      <c r="F208" s="7">
        <v>7.7915759086608896</v>
      </c>
      <c r="G208" s="6">
        <v>2020</v>
      </c>
    </row>
    <row r="209" spans="1:7" x14ac:dyDescent="0.25">
      <c r="A209" s="8" t="s">
        <v>211</v>
      </c>
      <c r="B209" s="8" t="s">
        <v>212</v>
      </c>
      <c r="C209" s="8" t="s">
        <v>390</v>
      </c>
      <c r="D209" s="8" t="s">
        <v>391</v>
      </c>
      <c r="E209" s="6">
        <v>0</v>
      </c>
      <c r="F209" s="7">
        <v>7.4069862365722701</v>
      </c>
      <c r="G209" s="6">
        <v>2020</v>
      </c>
    </row>
    <row r="210" spans="1:7" x14ac:dyDescent="0.25">
      <c r="A210" s="8" t="s">
        <v>211</v>
      </c>
      <c r="B210" s="8" t="s">
        <v>212</v>
      </c>
      <c r="C210" s="8" t="s">
        <v>393</v>
      </c>
      <c r="D210" s="8" t="s">
        <v>394</v>
      </c>
      <c r="E210" s="6">
        <v>0</v>
      </c>
      <c r="F210" s="7">
        <v>69.367190688864</v>
      </c>
      <c r="G210" s="6">
        <v>2023</v>
      </c>
    </row>
    <row r="211" spans="1:7" x14ac:dyDescent="0.25">
      <c r="A211" s="8" t="s">
        <v>211</v>
      </c>
      <c r="B211" s="8" t="s">
        <v>212</v>
      </c>
      <c r="C211" s="8" t="s">
        <v>395</v>
      </c>
      <c r="D211" s="8" t="s">
        <v>396</v>
      </c>
      <c r="E211" s="6">
        <v>0</v>
      </c>
      <c r="F211" s="7">
        <v>76.149657901005298</v>
      </c>
      <c r="G211" s="6">
        <v>2023</v>
      </c>
    </row>
    <row r="212" spans="1:7" x14ac:dyDescent="0.25">
      <c r="A212" s="8" t="s">
        <v>211</v>
      </c>
      <c r="B212" s="8" t="s">
        <v>212</v>
      </c>
      <c r="C212" s="8" t="s">
        <v>397</v>
      </c>
      <c r="D212" s="8" t="s">
        <v>398</v>
      </c>
      <c r="E212" s="6">
        <v>0</v>
      </c>
      <c r="F212" s="7">
        <v>37.130756041679398</v>
      </c>
      <c r="G212" s="6">
        <v>2023</v>
      </c>
    </row>
    <row r="213" spans="1:7" x14ac:dyDescent="0.25">
      <c r="A213" s="8" t="s">
        <v>211</v>
      </c>
      <c r="B213" s="8" t="s">
        <v>212</v>
      </c>
      <c r="C213" s="8" t="s">
        <v>399</v>
      </c>
      <c r="D213" s="8" t="s">
        <v>400</v>
      </c>
      <c r="E213" s="6">
        <v>0</v>
      </c>
      <c r="F213" s="7">
        <v>40.701853831223701</v>
      </c>
      <c r="G213" s="6">
        <v>2023</v>
      </c>
    </row>
    <row r="214" spans="1:7" x14ac:dyDescent="0.25">
      <c r="A214" s="8" t="s">
        <v>211</v>
      </c>
      <c r="B214" s="8" t="s">
        <v>212</v>
      </c>
      <c r="C214" s="8" t="s">
        <v>401</v>
      </c>
      <c r="D214" s="8" t="s">
        <v>402</v>
      </c>
      <c r="E214" s="6">
        <v>0</v>
      </c>
      <c r="F214" s="7">
        <v>3.03322587061689</v>
      </c>
      <c r="G214" s="6">
        <v>2015</v>
      </c>
    </row>
    <row r="215" spans="1:7" x14ac:dyDescent="0.25">
      <c r="A215" s="8" t="s">
        <v>211</v>
      </c>
      <c r="B215" s="8" t="s">
        <v>212</v>
      </c>
      <c r="C215" s="8" t="s">
        <v>403</v>
      </c>
      <c r="D215" s="8" t="s">
        <v>404</v>
      </c>
      <c r="E215" s="6">
        <v>0</v>
      </c>
      <c r="F215" s="7">
        <v>7.1633398111147004</v>
      </c>
      <c r="G215" s="6">
        <v>2015</v>
      </c>
    </row>
    <row r="216" spans="1:7" x14ac:dyDescent="0.25">
      <c r="A216" s="8" t="s">
        <v>217</v>
      </c>
      <c r="B216" s="9" t="s">
        <v>218</v>
      </c>
      <c r="C216" s="8" t="s">
        <v>384</v>
      </c>
      <c r="D216" s="9" t="s">
        <v>385</v>
      </c>
      <c r="E216" s="6">
        <v>0</v>
      </c>
      <c r="F216" s="7">
        <v>99.610427856445298</v>
      </c>
      <c r="G216" s="6">
        <v>2021</v>
      </c>
    </row>
    <row r="217" spans="1:7" x14ac:dyDescent="0.25">
      <c r="A217" s="8" t="s">
        <v>217</v>
      </c>
      <c r="B217" s="9" t="s">
        <v>218</v>
      </c>
      <c r="C217" s="8" t="s">
        <v>390</v>
      </c>
      <c r="D217" s="9" t="s">
        <v>391</v>
      </c>
      <c r="E217" s="6">
        <v>0</v>
      </c>
      <c r="F217" s="7">
        <v>104.307571411133</v>
      </c>
      <c r="G217" s="6">
        <v>2021</v>
      </c>
    </row>
    <row r="218" spans="1:7" x14ac:dyDescent="0.25">
      <c r="A218" s="8" t="s">
        <v>217</v>
      </c>
      <c r="B218" s="9" t="s">
        <v>218</v>
      </c>
      <c r="C218" s="8" t="s">
        <v>393</v>
      </c>
      <c r="D218" s="9" t="s">
        <v>394</v>
      </c>
      <c r="E218" s="6">
        <v>0</v>
      </c>
      <c r="F218" s="7">
        <v>107.776825372088</v>
      </c>
      <c r="G218" s="6">
        <v>2024</v>
      </c>
    </row>
    <row r="219" spans="1:7" x14ac:dyDescent="0.25">
      <c r="A219" s="8" t="s">
        <v>217</v>
      </c>
      <c r="B219" s="9" t="s">
        <v>218</v>
      </c>
      <c r="C219" s="8" t="s">
        <v>395</v>
      </c>
      <c r="D219" s="9" t="s">
        <v>396</v>
      </c>
      <c r="E219" s="6">
        <v>0</v>
      </c>
      <c r="F219" s="7">
        <v>106.93750776493999</v>
      </c>
      <c r="G219" s="6">
        <v>2024</v>
      </c>
    </row>
    <row r="220" spans="1:7" x14ac:dyDescent="0.25">
      <c r="A220" s="8" t="s">
        <v>217</v>
      </c>
      <c r="B220" s="9" t="s">
        <v>218</v>
      </c>
      <c r="C220" s="8" t="s">
        <v>397</v>
      </c>
      <c r="D220" s="9" t="s">
        <v>398</v>
      </c>
      <c r="E220" s="6">
        <v>0</v>
      </c>
      <c r="F220" s="7">
        <v>93.386946088039707</v>
      </c>
      <c r="G220" s="6">
        <v>2024</v>
      </c>
    </row>
    <row r="221" spans="1:7" x14ac:dyDescent="0.25">
      <c r="A221" s="8" t="s">
        <v>217</v>
      </c>
      <c r="B221" s="8" t="s">
        <v>218</v>
      </c>
      <c r="C221" s="8" t="s">
        <v>399</v>
      </c>
      <c r="D221" s="8" t="s">
        <v>400</v>
      </c>
      <c r="E221" s="6">
        <v>0</v>
      </c>
      <c r="F221" s="7">
        <v>88.132691278758699</v>
      </c>
      <c r="G221" s="6">
        <v>2024</v>
      </c>
    </row>
    <row r="222" spans="1:7" x14ac:dyDescent="0.25">
      <c r="A222" s="8" t="s">
        <v>217</v>
      </c>
      <c r="B222" s="8" t="s">
        <v>218</v>
      </c>
      <c r="C222" s="8" t="s">
        <v>401</v>
      </c>
      <c r="D222" s="8" t="s">
        <v>402</v>
      </c>
      <c r="E222" s="6">
        <v>0</v>
      </c>
      <c r="F222" s="7">
        <v>55.133776414451297</v>
      </c>
      <c r="G222" s="6">
        <v>2024</v>
      </c>
    </row>
    <row r="223" spans="1:7" x14ac:dyDescent="0.25">
      <c r="A223" s="8" t="s">
        <v>217</v>
      </c>
      <c r="B223" s="8" t="s">
        <v>218</v>
      </c>
      <c r="C223" s="8" t="s">
        <v>403</v>
      </c>
      <c r="D223" s="8" t="s">
        <v>404</v>
      </c>
      <c r="E223" s="6">
        <v>0</v>
      </c>
      <c r="F223" s="7">
        <v>36.696299359106902</v>
      </c>
      <c r="G223" s="6">
        <v>2024</v>
      </c>
    </row>
    <row r="224" spans="1:7" x14ac:dyDescent="0.25">
      <c r="A224" s="8" t="s">
        <v>229</v>
      </c>
      <c r="B224" s="8" t="s">
        <v>230</v>
      </c>
      <c r="C224" s="8" t="s">
        <v>393</v>
      </c>
      <c r="D224" s="8" t="s">
        <v>394</v>
      </c>
      <c r="E224" s="6">
        <v>0</v>
      </c>
      <c r="F224" s="7">
        <v>116.085038319644</v>
      </c>
      <c r="G224" s="6">
        <v>2022</v>
      </c>
    </row>
    <row r="225" spans="1:7" x14ac:dyDescent="0.25">
      <c r="A225" s="8" t="s">
        <v>229</v>
      </c>
      <c r="B225" s="8" t="s">
        <v>230</v>
      </c>
      <c r="C225" s="8" t="s">
        <v>395</v>
      </c>
      <c r="D225" s="8" t="s">
        <v>396</v>
      </c>
      <c r="E225" s="6">
        <v>0</v>
      </c>
      <c r="F225" s="7">
        <v>122.219977676597</v>
      </c>
      <c r="G225" s="6">
        <v>2022</v>
      </c>
    </row>
    <row r="226" spans="1:7" x14ac:dyDescent="0.25">
      <c r="A226" s="8" t="s">
        <v>229</v>
      </c>
      <c r="B226" s="8" t="s">
        <v>230</v>
      </c>
      <c r="C226" s="8" t="s">
        <v>397</v>
      </c>
      <c r="D226" s="8" t="s">
        <v>398</v>
      </c>
      <c r="E226" s="6">
        <v>0</v>
      </c>
      <c r="F226" s="7">
        <v>35.299449920654297</v>
      </c>
      <c r="G226" s="6">
        <v>2017</v>
      </c>
    </row>
    <row r="227" spans="1:7" x14ac:dyDescent="0.25">
      <c r="A227" s="8" t="s">
        <v>229</v>
      </c>
      <c r="B227" s="8" t="s">
        <v>230</v>
      </c>
      <c r="C227" s="8" t="s">
        <v>399</v>
      </c>
      <c r="D227" s="8" t="s">
        <v>400</v>
      </c>
      <c r="E227" s="6">
        <v>0</v>
      </c>
      <c r="F227" s="7">
        <v>39.1933403015137</v>
      </c>
      <c r="G227" s="6">
        <v>2017</v>
      </c>
    </row>
    <row r="228" spans="1:7" x14ac:dyDescent="0.25">
      <c r="A228" s="8" t="s">
        <v>229</v>
      </c>
      <c r="B228" s="8" t="s">
        <v>230</v>
      </c>
      <c r="C228" s="8" t="s">
        <v>401</v>
      </c>
      <c r="D228" s="8" t="s">
        <v>402</v>
      </c>
      <c r="E228" s="6">
        <v>0</v>
      </c>
      <c r="F228" s="7">
        <v>6.6845262111075696</v>
      </c>
      <c r="G228" s="6">
        <v>2018</v>
      </c>
    </row>
    <row r="229" spans="1:7" x14ac:dyDescent="0.25">
      <c r="A229" s="8" t="s">
        <v>229</v>
      </c>
      <c r="B229" s="8" t="s">
        <v>230</v>
      </c>
      <c r="C229" s="8" t="s">
        <v>403</v>
      </c>
      <c r="D229" s="8" t="s">
        <v>404</v>
      </c>
      <c r="E229" s="6">
        <v>0</v>
      </c>
      <c r="F229" s="7">
        <v>8.2544108760691692</v>
      </c>
      <c r="G229" s="6">
        <v>2018</v>
      </c>
    </row>
    <row r="230" spans="1:7" x14ac:dyDescent="0.25">
      <c r="A230" s="8" t="s">
        <v>233</v>
      </c>
      <c r="B230" s="8" t="s">
        <v>234</v>
      </c>
      <c r="C230" s="8" t="s">
        <v>384</v>
      </c>
      <c r="D230" s="8" t="s">
        <v>385</v>
      </c>
      <c r="E230" s="6">
        <v>0</v>
      </c>
      <c r="F230" s="7">
        <v>37.355915069580099</v>
      </c>
      <c r="G230" s="6">
        <v>2021</v>
      </c>
    </row>
    <row r="231" spans="1:7" x14ac:dyDescent="0.25">
      <c r="A231" s="8" t="s">
        <v>233</v>
      </c>
      <c r="B231" s="8" t="s">
        <v>234</v>
      </c>
      <c r="C231" s="8" t="s">
        <v>390</v>
      </c>
      <c r="D231" s="8" t="s">
        <v>391</v>
      </c>
      <c r="E231" s="6">
        <v>0</v>
      </c>
      <c r="F231" s="7">
        <v>35.658294677734403</v>
      </c>
      <c r="G231" s="6">
        <v>2021</v>
      </c>
    </row>
    <row r="232" spans="1:7" x14ac:dyDescent="0.25">
      <c r="A232" s="8" t="s">
        <v>233</v>
      </c>
      <c r="B232" s="8" t="s">
        <v>234</v>
      </c>
      <c r="C232" s="8" t="s">
        <v>393</v>
      </c>
      <c r="D232" s="8" t="s">
        <v>394</v>
      </c>
      <c r="E232" s="6">
        <v>0</v>
      </c>
      <c r="F232" s="7">
        <v>117.92532380529001</v>
      </c>
      <c r="G232" s="6">
        <v>2024</v>
      </c>
    </row>
    <row r="233" spans="1:7" x14ac:dyDescent="0.25">
      <c r="A233" s="8" t="s">
        <v>233</v>
      </c>
      <c r="B233" s="8" t="s">
        <v>234</v>
      </c>
      <c r="C233" s="8" t="s">
        <v>395</v>
      </c>
      <c r="D233" s="8" t="s">
        <v>396</v>
      </c>
      <c r="E233" s="6">
        <v>0</v>
      </c>
      <c r="F233" s="7">
        <v>123.557433039923</v>
      </c>
      <c r="G233" s="6">
        <v>2024</v>
      </c>
    </row>
    <row r="234" spans="1:7" x14ac:dyDescent="0.25">
      <c r="A234" s="8" t="s">
        <v>233</v>
      </c>
      <c r="B234" s="8" t="s">
        <v>234</v>
      </c>
      <c r="C234" s="8" t="s">
        <v>397</v>
      </c>
      <c r="D234" s="8" t="s">
        <v>398</v>
      </c>
      <c r="E234" s="6">
        <v>0</v>
      </c>
      <c r="F234" s="7">
        <v>86.372888901132697</v>
      </c>
      <c r="G234" s="6">
        <v>2024</v>
      </c>
    </row>
    <row r="235" spans="1:7" x14ac:dyDescent="0.25">
      <c r="A235" s="8" t="s">
        <v>233</v>
      </c>
      <c r="B235" s="8" t="s">
        <v>234</v>
      </c>
      <c r="C235" s="8" t="s">
        <v>399</v>
      </c>
      <c r="D235" s="8" t="s">
        <v>400</v>
      </c>
      <c r="E235" s="6">
        <v>0</v>
      </c>
      <c r="F235" s="7">
        <v>77.544645419647495</v>
      </c>
      <c r="G235" s="6">
        <v>2024</v>
      </c>
    </row>
    <row r="236" spans="1:7" x14ac:dyDescent="0.25">
      <c r="A236" s="8" t="s">
        <v>233</v>
      </c>
      <c r="B236" s="8" t="s">
        <v>234</v>
      </c>
      <c r="C236" s="8" t="s">
        <v>401</v>
      </c>
      <c r="D236" s="8" t="s">
        <v>402</v>
      </c>
      <c r="E236" s="6">
        <v>0</v>
      </c>
      <c r="F236" s="7">
        <v>33.119326590742901</v>
      </c>
      <c r="G236" s="6">
        <v>2022</v>
      </c>
    </row>
    <row r="237" spans="1:7" x14ac:dyDescent="0.25">
      <c r="A237" s="8" t="s">
        <v>233</v>
      </c>
      <c r="B237" s="8" t="s">
        <v>234</v>
      </c>
      <c r="C237" s="8" t="s">
        <v>403</v>
      </c>
      <c r="D237" s="8" t="s">
        <v>404</v>
      </c>
      <c r="E237" s="6">
        <v>0</v>
      </c>
      <c r="F237" s="7">
        <v>19.1517274714591</v>
      </c>
      <c r="G237" s="6">
        <v>2022</v>
      </c>
    </row>
    <row r="238" spans="1:7" x14ac:dyDescent="0.25">
      <c r="A238" s="8" t="s">
        <v>243</v>
      </c>
      <c r="B238" s="8" t="s">
        <v>244</v>
      </c>
      <c r="C238" s="8" t="s">
        <v>384</v>
      </c>
      <c r="D238" s="8" t="s">
        <v>385</v>
      </c>
      <c r="E238" s="6">
        <v>0</v>
      </c>
      <c r="F238" s="7">
        <v>7.2663497924804696</v>
      </c>
      <c r="G238" s="6">
        <v>2021</v>
      </c>
    </row>
    <row r="239" spans="1:7" x14ac:dyDescent="0.25">
      <c r="A239" s="8" t="s">
        <v>243</v>
      </c>
      <c r="B239" s="8" t="s">
        <v>244</v>
      </c>
      <c r="C239" s="8" t="s">
        <v>390</v>
      </c>
      <c r="D239" s="8" t="s">
        <v>391</v>
      </c>
      <c r="E239" s="6">
        <v>0</v>
      </c>
      <c r="F239" s="7">
        <v>6.7936100959777797</v>
      </c>
      <c r="G239" s="6">
        <v>2021</v>
      </c>
    </row>
    <row r="240" spans="1:7" x14ac:dyDescent="0.25">
      <c r="A240" s="8" t="s">
        <v>243</v>
      </c>
      <c r="B240" s="8" t="s">
        <v>244</v>
      </c>
      <c r="C240" s="8" t="s">
        <v>393</v>
      </c>
      <c r="D240" s="8" t="s">
        <v>394</v>
      </c>
      <c r="E240" s="6">
        <v>0</v>
      </c>
      <c r="F240" s="7">
        <v>63.277149315814597</v>
      </c>
      <c r="G240" s="6">
        <v>2024</v>
      </c>
    </row>
    <row r="241" spans="1:7" x14ac:dyDescent="0.25">
      <c r="A241" s="8" t="s">
        <v>243</v>
      </c>
      <c r="B241" s="8" t="s">
        <v>244</v>
      </c>
      <c r="C241" s="8" t="s">
        <v>395</v>
      </c>
      <c r="D241" s="8" t="s">
        <v>396</v>
      </c>
      <c r="E241" s="6">
        <v>0</v>
      </c>
      <c r="F241" s="7">
        <v>65.983392777907596</v>
      </c>
      <c r="G241" s="6">
        <v>2024</v>
      </c>
    </row>
    <row r="242" spans="1:7" x14ac:dyDescent="0.25">
      <c r="A242" s="8" t="s">
        <v>243</v>
      </c>
      <c r="B242" s="8" t="s">
        <v>244</v>
      </c>
      <c r="C242" s="8" t="s">
        <v>397</v>
      </c>
      <c r="D242" s="8" t="s">
        <v>398</v>
      </c>
      <c r="E242" s="6">
        <v>0</v>
      </c>
      <c r="F242" s="7">
        <v>19.537993474426301</v>
      </c>
      <c r="G242" s="6">
        <v>2024</v>
      </c>
    </row>
    <row r="243" spans="1:7" x14ac:dyDescent="0.25">
      <c r="A243" s="8" t="s">
        <v>243</v>
      </c>
      <c r="B243" s="8" t="s">
        <v>244</v>
      </c>
      <c r="C243" s="8" t="s">
        <v>399</v>
      </c>
      <c r="D243" s="8" t="s">
        <v>400</v>
      </c>
      <c r="E243" s="6">
        <v>0</v>
      </c>
      <c r="F243" s="7">
        <v>20.1832867224742</v>
      </c>
      <c r="G243" s="6">
        <v>2024</v>
      </c>
    </row>
    <row r="244" spans="1:7" x14ac:dyDescent="0.25">
      <c r="A244" s="8" t="s">
        <v>243</v>
      </c>
      <c r="B244" s="8" t="s">
        <v>244</v>
      </c>
      <c r="C244" s="8" t="s">
        <v>401</v>
      </c>
      <c r="D244" s="8" t="s">
        <v>402</v>
      </c>
      <c r="E244" s="6">
        <v>0</v>
      </c>
      <c r="F244" s="7">
        <v>3.2149082041911399</v>
      </c>
      <c r="G244" s="6">
        <v>2019</v>
      </c>
    </row>
    <row r="245" spans="1:7" x14ac:dyDescent="0.25">
      <c r="A245" s="8" t="s">
        <v>243</v>
      </c>
      <c r="B245" s="8" t="s">
        <v>244</v>
      </c>
      <c r="C245" s="8" t="s">
        <v>403</v>
      </c>
      <c r="D245" s="8" t="s">
        <v>404</v>
      </c>
      <c r="E245" s="6">
        <v>0</v>
      </c>
      <c r="F245" s="7">
        <v>5.0515203044657699</v>
      </c>
      <c r="G245" s="6">
        <v>2019</v>
      </c>
    </row>
    <row r="246" spans="1:7" x14ac:dyDescent="0.25">
      <c r="A246" s="8" t="s">
        <v>245</v>
      </c>
      <c r="B246" s="8" t="s">
        <v>246</v>
      </c>
      <c r="C246" s="8" t="s">
        <v>384</v>
      </c>
      <c r="D246" s="8" t="s">
        <v>385</v>
      </c>
      <c r="E246" s="6">
        <v>0</v>
      </c>
      <c r="F246" s="7">
        <v>22.4882106781006</v>
      </c>
      <c r="G246" s="6">
        <v>2018</v>
      </c>
    </row>
    <row r="247" spans="1:7" x14ac:dyDescent="0.25">
      <c r="A247" s="8" t="s">
        <v>245</v>
      </c>
      <c r="B247" s="8" t="s">
        <v>246</v>
      </c>
      <c r="C247" s="8" t="s">
        <v>390</v>
      </c>
      <c r="D247" s="8" t="s">
        <v>391</v>
      </c>
      <c r="E247" s="6">
        <v>0</v>
      </c>
      <c r="F247" s="7">
        <v>24.381010055541999</v>
      </c>
      <c r="G247" s="6">
        <v>2018</v>
      </c>
    </row>
    <row r="248" spans="1:7" x14ac:dyDescent="0.25">
      <c r="A248" s="8" t="s">
        <v>245</v>
      </c>
      <c r="B248" s="8" t="s">
        <v>246</v>
      </c>
      <c r="C248" s="8" t="s">
        <v>393</v>
      </c>
      <c r="D248" s="8" t="s">
        <v>394</v>
      </c>
      <c r="E248" s="6">
        <v>0</v>
      </c>
      <c r="F248" s="7">
        <v>88.204162597656193</v>
      </c>
      <c r="G248" s="6">
        <v>2023</v>
      </c>
    </row>
    <row r="249" spans="1:7" x14ac:dyDescent="0.25">
      <c r="A249" s="8" t="s">
        <v>245</v>
      </c>
      <c r="B249" s="8" t="s">
        <v>246</v>
      </c>
      <c r="C249" s="8" t="s">
        <v>395</v>
      </c>
      <c r="D249" s="8" t="s">
        <v>396</v>
      </c>
      <c r="E249" s="6">
        <v>0</v>
      </c>
      <c r="F249" s="7">
        <v>90.929740905761705</v>
      </c>
      <c r="G249" s="6">
        <v>2023</v>
      </c>
    </row>
    <row r="250" spans="1:7" x14ac:dyDescent="0.25">
      <c r="A250" s="8" t="s">
        <v>245</v>
      </c>
      <c r="B250" s="8" t="s">
        <v>246</v>
      </c>
      <c r="C250" s="8" t="s">
        <v>397</v>
      </c>
      <c r="D250" s="8" t="s">
        <v>398</v>
      </c>
      <c r="E250" s="6">
        <v>0</v>
      </c>
      <c r="F250" s="7">
        <v>47.406150817871101</v>
      </c>
      <c r="G250" s="6">
        <v>2023</v>
      </c>
    </row>
    <row r="251" spans="1:7" x14ac:dyDescent="0.25">
      <c r="A251" s="8" t="s">
        <v>245</v>
      </c>
      <c r="B251" s="8" t="s">
        <v>246</v>
      </c>
      <c r="C251" s="8" t="s">
        <v>399</v>
      </c>
      <c r="D251" s="8" t="s">
        <v>400</v>
      </c>
      <c r="E251" s="6">
        <v>0</v>
      </c>
      <c r="F251" s="7">
        <v>46.398590087890597</v>
      </c>
      <c r="G251" s="6">
        <v>2023</v>
      </c>
    </row>
    <row r="252" spans="1:7" x14ac:dyDescent="0.25">
      <c r="A252" s="8" t="s">
        <v>245</v>
      </c>
      <c r="B252" s="8" t="s">
        <v>246</v>
      </c>
      <c r="C252" s="8" t="s">
        <v>401</v>
      </c>
      <c r="D252" s="8" t="s">
        <v>402</v>
      </c>
      <c r="E252" s="6">
        <v>0</v>
      </c>
      <c r="F252" s="7">
        <v>7.9596325158298198</v>
      </c>
      <c r="G252" s="6">
        <v>2011</v>
      </c>
    </row>
    <row r="253" spans="1:7" x14ac:dyDescent="0.25">
      <c r="A253" s="8" t="s">
        <v>245</v>
      </c>
      <c r="B253" s="8" t="s">
        <v>246</v>
      </c>
      <c r="C253" s="8" t="s">
        <v>403</v>
      </c>
      <c r="D253" s="8" t="s">
        <v>404</v>
      </c>
      <c r="E253" s="6">
        <v>0</v>
      </c>
      <c r="F253" s="7">
        <v>11.468078041312101</v>
      </c>
      <c r="G253" s="6">
        <v>2011</v>
      </c>
    </row>
    <row r="254" spans="1:7" x14ac:dyDescent="0.25">
      <c r="A254" s="8" t="s">
        <v>277</v>
      </c>
      <c r="B254" s="8" t="s">
        <v>278</v>
      </c>
      <c r="C254" s="8" t="s">
        <v>384</v>
      </c>
      <c r="D254" s="8" t="s">
        <v>385</v>
      </c>
      <c r="E254" s="6">
        <v>1</v>
      </c>
      <c r="F254" s="7">
        <v>29.110000610351602</v>
      </c>
      <c r="G254" s="6">
        <v>2021</v>
      </c>
    </row>
    <row r="255" spans="1:7" x14ac:dyDescent="0.25">
      <c r="A255" s="8" t="s">
        <v>277</v>
      </c>
      <c r="B255" s="8" t="s">
        <v>278</v>
      </c>
      <c r="C255" s="8" t="s">
        <v>390</v>
      </c>
      <c r="D255" s="8" t="s">
        <v>391</v>
      </c>
      <c r="E255" s="6">
        <v>1</v>
      </c>
      <c r="F255" s="7">
        <v>27.300540924072301</v>
      </c>
      <c r="G255" s="6">
        <v>2021</v>
      </c>
    </row>
    <row r="256" spans="1:7" x14ac:dyDescent="0.25">
      <c r="A256" s="8" t="s">
        <v>277</v>
      </c>
      <c r="B256" s="8" t="s">
        <v>278</v>
      </c>
      <c r="C256" s="8" t="s">
        <v>393</v>
      </c>
      <c r="D256" s="8" t="s">
        <v>394</v>
      </c>
      <c r="E256" s="6">
        <v>1</v>
      </c>
      <c r="F256" s="7">
        <v>146.68295908571201</v>
      </c>
      <c r="G256" s="6">
        <v>2024</v>
      </c>
    </row>
    <row r="257" spans="1:7" x14ac:dyDescent="0.25">
      <c r="A257" s="8" t="s">
        <v>277</v>
      </c>
      <c r="B257" s="8" t="s">
        <v>278</v>
      </c>
      <c r="C257" s="8" t="s">
        <v>395</v>
      </c>
      <c r="D257" s="8" t="s">
        <v>396</v>
      </c>
      <c r="E257" s="6">
        <v>1</v>
      </c>
      <c r="F257" s="7">
        <v>152.45592202437601</v>
      </c>
      <c r="G257" s="6">
        <v>2024</v>
      </c>
    </row>
    <row r="258" spans="1:7" x14ac:dyDescent="0.25">
      <c r="A258" s="8" t="s">
        <v>277</v>
      </c>
      <c r="B258" s="8" t="s">
        <v>278</v>
      </c>
      <c r="C258" s="8" t="s">
        <v>397</v>
      </c>
      <c r="D258" s="8" t="s">
        <v>398</v>
      </c>
      <c r="E258" s="6">
        <v>1</v>
      </c>
      <c r="F258" s="7">
        <v>53.323480218267797</v>
      </c>
      <c r="G258" s="6">
        <v>2024</v>
      </c>
    </row>
    <row r="259" spans="1:7" x14ac:dyDescent="0.25">
      <c r="A259" s="8" t="s">
        <v>277</v>
      </c>
      <c r="B259" s="8" t="s">
        <v>278</v>
      </c>
      <c r="C259" s="8" t="s">
        <v>399</v>
      </c>
      <c r="D259" s="8" t="s">
        <v>400</v>
      </c>
      <c r="E259" s="6">
        <v>1</v>
      </c>
      <c r="F259" s="7">
        <v>44.247772270523498</v>
      </c>
      <c r="G259" s="6">
        <v>2024</v>
      </c>
    </row>
    <row r="260" spans="1:7" x14ac:dyDescent="0.25">
      <c r="A260" s="8" t="s">
        <v>277</v>
      </c>
      <c r="B260" s="8" t="s">
        <v>278</v>
      </c>
      <c r="C260" s="8" t="s">
        <v>401</v>
      </c>
      <c r="D260" s="8" t="s">
        <v>402</v>
      </c>
      <c r="E260" s="6">
        <v>1</v>
      </c>
      <c r="F260" s="7">
        <v>8.4032417181163002</v>
      </c>
      <c r="G260" s="6">
        <v>2024</v>
      </c>
    </row>
    <row r="261" spans="1:7" x14ac:dyDescent="0.25">
      <c r="A261" s="8" t="s">
        <v>277</v>
      </c>
      <c r="B261" s="8" t="s">
        <v>278</v>
      </c>
      <c r="C261" s="8" t="s">
        <v>403</v>
      </c>
      <c r="D261" s="8" t="s">
        <v>404</v>
      </c>
      <c r="E261" s="6">
        <v>1</v>
      </c>
      <c r="F261" s="7">
        <v>10.447732819750099</v>
      </c>
      <c r="G261" s="6">
        <v>2024</v>
      </c>
    </row>
    <row r="262" spans="1:7" x14ac:dyDescent="0.25">
      <c r="A262" s="8" t="s">
        <v>281</v>
      </c>
      <c r="B262" s="8" t="s">
        <v>282</v>
      </c>
      <c r="C262" s="8" t="s">
        <v>384</v>
      </c>
      <c r="D262" s="8" t="s">
        <v>385</v>
      </c>
      <c r="E262" s="6">
        <v>0</v>
      </c>
      <c r="F262" s="7">
        <v>52.574138641357401</v>
      </c>
      <c r="G262" s="6">
        <v>2016</v>
      </c>
    </row>
    <row r="263" spans="1:7" x14ac:dyDescent="0.25">
      <c r="A263" s="8" t="s">
        <v>281</v>
      </c>
      <c r="B263" s="8" t="s">
        <v>282</v>
      </c>
      <c r="C263" s="8" t="s">
        <v>390</v>
      </c>
      <c r="D263" s="8" t="s">
        <v>391</v>
      </c>
      <c r="E263" s="6">
        <v>0</v>
      </c>
      <c r="F263" s="7">
        <v>48.090610504150398</v>
      </c>
      <c r="G263" s="6">
        <v>2016</v>
      </c>
    </row>
    <row r="264" spans="1:7" x14ac:dyDescent="0.25">
      <c r="A264" s="8" t="s">
        <v>281</v>
      </c>
      <c r="B264" s="8" t="s">
        <v>282</v>
      </c>
      <c r="C264" s="8" t="s">
        <v>393</v>
      </c>
      <c r="D264" s="8" t="s">
        <v>394</v>
      </c>
      <c r="E264" s="6">
        <v>0</v>
      </c>
      <c r="F264" s="7">
        <v>107.561981201172</v>
      </c>
      <c r="G264" s="6">
        <v>2017</v>
      </c>
    </row>
    <row r="265" spans="1:7" x14ac:dyDescent="0.25">
      <c r="A265" s="8" t="s">
        <v>281</v>
      </c>
      <c r="B265" s="8" t="s">
        <v>282</v>
      </c>
      <c r="C265" s="8" t="s">
        <v>395</v>
      </c>
      <c r="D265" s="8" t="s">
        <v>396</v>
      </c>
      <c r="E265" s="6">
        <v>0</v>
      </c>
      <c r="F265" s="7">
        <v>113.188179016113</v>
      </c>
      <c r="G265" s="6">
        <v>2017</v>
      </c>
    </row>
    <row r="266" spans="1:7" x14ac:dyDescent="0.25">
      <c r="A266" s="8" t="s">
        <v>281</v>
      </c>
      <c r="B266" s="8" t="s">
        <v>282</v>
      </c>
      <c r="C266" s="8" t="s">
        <v>397</v>
      </c>
      <c r="D266" s="8" t="s">
        <v>398</v>
      </c>
      <c r="E266" s="6">
        <v>0</v>
      </c>
      <c r="F266" s="7">
        <v>95.129043579101605</v>
      </c>
      <c r="G266" s="6">
        <v>2017</v>
      </c>
    </row>
    <row r="267" spans="1:7" x14ac:dyDescent="0.25">
      <c r="A267" s="8" t="s">
        <v>281</v>
      </c>
      <c r="B267" s="8" t="s">
        <v>282</v>
      </c>
      <c r="C267" s="8" t="s">
        <v>399</v>
      </c>
      <c r="D267" s="8" t="s">
        <v>400</v>
      </c>
      <c r="E267" s="6">
        <v>0</v>
      </c>
      <c r="F267" s="7">
        <v>85.6597900390625</v>
      </c>
      <c r="G267" s="6">
        <v>2017</v>
      </c>
    </row>
    <row r="268" spans="1:7" x14ac:dyDescent="0.25">
      <c r="A268" s="8" t="s">
        <v>281</v>
      </c>
      <c r="B268" s="8" t="s">
        <v>282</v>
      </c>
      <c r="C268" s="8" t="s">
        <v>401</v>
      </c>
      <c r="D268" s="8" t="s">
        <v>402</v>
      </c>
      <c r="E268" s="6">
        <v>0</v>
      </c>
      <c r="F268" s="7">
        <v>13.0036401748657</v>
      </c>
      <c r="G268" s="6">
        <v>2015</v>
      </c>
    </row>
    <row r="269" spans="1:7" x14ac:dyDescent="0.25">
      <c r="A269" s="8" t="s">
        <v>281</v>
      </c>
      <c r="B269" s="8" t="s">
        <v>282</v>
      </c>
      <c r="C269" s="8" t="s">
        <v>403</v>
      </c>
      <c r="D269" s="8" t="s">
        <v>404</v>
      </c>
      <c r="E269" s="6">
        <v>0</v>
      </c>
      <c r="F269" s="7">
        <v>12.640540122985801</v>
      </c>
      <c r="G269" s="6">
        <v>2015</v>
      </c>
    </row>
    <row r="270" spans="1:7" x14ac:dyDescent="0.25">
      <c r="A270" s="8" t="s">
        <v>285</v>
      </c>
      <c r="B270" s="8" t="s">
        <v>286</v>
      </c>
      <c r="C270" s="8" t="s">
        <v>384</v>
      </c>
      <c r="D270" s="8" t="s">
        <v>385</v>
      </c>
      <c r="E270" s="6">
        <v>0</v>
      </c>
      <c r="F270" s="7">
        <v>18.844129562377901</v>
      </c>
      <c r="G270" s="6">
        <v>2021</v>
      </c>
    </row>
    <row r="271" spans="1:7" x14ac:dyDescent="0.25">
      <c r="A271" s="8" t="s">
        <v>285</v>
      </c>
      <c r="B271" s="8" t="s">
        <v>286</v>
      </c>
      <c r="C271" s="8" t="s">
        <v>390</v>
      </c>
      <c r="D271" s="8" t="s">
        <v>391</v>
      </c>
      <c r="E271" s="6">
        <v>0</v>
      </c>
      <c r="F271" s="7">
        <v>16.3514709472656</v>
      </c>
      <c r="G271" s="6">
        <v>2021</v>
      </c>
    </row>
    <row r="272" spans="1:7" x14ac:dyDescent="0.25">
      <c r="A272" s="8" t="s">
        <v>285</v>
      </c>
      <c r="B272" s="8" t="s">
        <v>286</v>
      </c>
      <c r="C272" s="8" t="s">
        <v>393</v>
      </c>
      <c r="D272" s="8" t="s">
        <v>394</v>
      </c>
      <c r="E272" s="6">
        <v>0</v>
      </c>
      <c r="F272" s="7">
        <v>96.073727094395196</v>
      </c>
      <c r="G272" s="6">
        <v>2024</v>
      </c>
    </row>
    <row r="273" spans="1:7" x14ac:dyDescent="0.25">
      <c r="A273" s="8" t="s">
        <v>285</v>
      </c>
      <c r="B273" s="8" t="s">
        <v>286</v>
      </c>
      <c r="C273" s="8" t="s">
        <v>395</v>
      </c>
      <c r="D273" s="8" t="s">
        <v>396</v>
      </c>
      <c r="E273" s="6">
        <v>0</v>
      </c>
      <c r="F273" s="7">
        <v>75.524285223379593</v>
      </c>
      <c r="G273" s="6">
        <v>2024</v>
      </c>
    </row>
    <row r="274" spans="1:7" x14ac:dyDescent="0.25">
      <c r="A274" s="8" t="s">
        <v>285</v>
      </c>
      <c r="B274" s="8" t="s">
        <v>286</v>
      </c>
      <c r="C274" s="8" t="s">
        <v>397</v>
      </c>
      <c r="D274" s="8" t="s">
        <v>398</v>
      </c>
      <c r="E274" s="6">
        <v>0</v>
      </c>
      <c r="F274" s="7">
        <v>50.2150531512901</v>
      </c>
      <c r="G274" s="6">
        <v>2023</v>
      </c>
    </row>
    <row r="275" spans="1:7" x14ac:dyDescent="0.25">
      <c r="A275" s="8" t="s">
        <v>285</v>
      </c>
      <c r="B275" s="8" t="s">
        <v>286</v>
      </c>
      <c r="C275" s="8" t="s">
        <v>399</v>
      </c>
      <c r="D275" s="8" t="s">
        <v>400</v>
      </c>
      <c r="E275" s="6">
        <v>0</v>
      </c>
      <c r="F275" s="7">
        <v>38.333924003923599</v>
      </c>
      <c r="G275" s="6">
        <v>2023</v>
      </c>
    </row>
    <row r="276" spans="1:7" x14ac:dyDescent="0.25">
      <c r="A276" s="8" t="s">
        <v>285</v>
      </c>
      <c r="B276" s="8" t="s">
        <v>286</v>
      </c>
      <c r="C276" s="8" t="s">
        <v>401</v>
      </c>
      <c r="D276" s="8" t="s">
        <v>402</v>
      </c>
      <c r="E276" s="6">
        <v>0</v>
      </c>
      <c r="F276" s="7">
        <v>16.2190068866175</v>
      </c>
      <c r="G276" s="6">
        <v>2024</v>
      </c>
    </row>
    <row r="277" spans="1:7" x14ac:dyDescent="0.25">
      <c r="A277" s="8" t="s">
        <v>285</v>
      </c>
      <c r="B277" s="8" t="s">
        <v>286</v>
      </c>
      <c r="C277" s="8" t="s">
        <v>403</v>
      </c>
      <c r="D277" s="8" t="s">
        <v>404</v>
      </c>
      <c r="E277" s="6">
        <v>0</v>
      </c>
      <c r="F277" s="7">
        <v>14.466885050496799</v>
      </c>
      <c r="G277" s="6">
        <v>2024</v>
      </c>
    </row>
    <row r="278" spans="1:7" x14ac:dyDescent="0.25">
      <c r="A278" s="8" t="s">
        <v>377</v>
      </c>
      <c r="B278" s="8" t="s">
        <v>378</v>
      </c>
      <c r="C278" s="8" t="s">
        <v>384</v>
      </c>
      <c r="D278" s="8" t="s">
        <v>385</v>
      </c>
      <c r="E278" s="6">
        <v>0</v>
      </c>
      <c r="F278" s="7">
        <v>104.86866760253901</v>
      </c>
      <c r="G278" s="6">
        <v>2021</v>
      </c>
    </row>
    <row r="279" spans="1:7" x14ac:dyDescent="0.25">
      <c r="A279" s="8" t="s">
        <v>377</v>
      </c>
      <c r="B279" s="8" t="s">
        <v>378</v>
      </c>
      <c r="C279" s="8" t="s">
        <v>390</v>
      </c>
      <c r="D279" s="8" t="s">
        <v>391</v>
      </c>
      <c r="E279" s="6">
        <v>0</v>
      </c>
      <c r="F279" s="7">
        <v>103.746223449707</v>
      </c>
      <c r="G279" s="6">
        <v>2021</v>
      </c>
    </row>
    <row r="280" spans="1:7" x14ac:dyDescent="0.25">
      <c r="A280" s="8" t="s">
        <v>377</v>
      </c>
      <c r="B280" s="8" t="s">
        <v>378</v>
      </c>
      <c r="C280" s="8" t="s">
        <v>393</v>
      </c>
      <c r="D280" s="8" t="s">
        <v>394</v>
      </c>
      <c r="E280" s="6">
        <v>0</v>
      </c>
      <c r="F280" s="7">
        <v>93.486968994140597</v>
      </c>
      <c r="G280" s="6">
        <v>2024</v>
      </c>
    </row>
    <row r="281" spans="1:7" x14ac:dyDescent="0.25">
      <c r="A281" s="8" t="s">
        <v>377</v>
      </c>
      <c r="B281" s="8" t="s">
        <v>378</v>
      </c>
      <c r="C281" s="8" t="s">
        <v>395</v>
      </c>
      <c r="D281" s="8" t="s">
        <v>396</v>
      </c>
      <c r="E281" s="6">
        <v>0</v>
      </c>
      <c r="F281" s="7">
        <v>93.279060363769503</v>
      </c>
      <c r="G281" s="6">
        <v>2024</v>
      </c>
    </row>
    <row r="282" spans="1:7" x14ac:dyDescent="0.25">
      <c r="A282" s="8" t="s">
        <v>377</v>
      </c>
      <c r="B282" s="8" t="s">
        <v>378</v>
      </c>
      <c r="C282" s="8" t="s">
        <v>397</v>
      </c>
      <c r="D282" s="8" t="s">
        <v>398</v>
      </c>
      <c r="E282" s="6">
        <v>0</v>
      </c>
      <c r="F282" s="7">
        <v>73.063262939453097</v>
      </c>
      <c r="G282" s="6">
        <v>2024</v>
      </c>
    </row>
    <row r="283" spans="1:7" x14ac:dyDescent="0.25">
      <c r="A283" s="8" t="s">
        <v>377</v>
      </c>
      <c r="B283" s="8" t="s">
        <v>378</v>
      </c>
      <c r="C283" s="8" t="s">
        <v>399</v>
      </c>
      <c r="D283" s="8" t="s">
        <v>400</v>
      </c>
      <c r="E283" s="6">
        <v>0</v>
      </c>
      <c r="F283" s="7">
        <v>68.650787353515597</v>
      </c>
      <c r="G283" s="6">
        <v>2024</v>
      </c>
    </row>
    <row r="284" spans="1:7" x14ac:dyDescent="0.25">
      <c r="A284" s="8" t="s">
        <v>377</v>
      </c>
      <c r="B284" s="8" t="s">
        <v>378</v>
      </c>
      <c r="C284" s="8" t="s">
        <v>401</v>
      </c>
      <c r="D284" s="8" t="s">
        <v>402</v>
      </c>
      <c r="E284" s="6">
        <v>0</v>
      </c>
      <c r="F284" s="7">
        <v>20.1056804656982</v>
      </c>
      <c r="G284" s="6">
        <v>2024</v>
      </c>
    </row>
    <row r="285" spans="1:7" x14ac:dyDescent="0.25">
      <c r="A285" s="8" t="s">
        <v>377</v>
      </c>
      <c r="B285" s="8" t="s">
        <v>378</v>
      </c>
      <c r="C285" s="8" t="s">
        <v>403</v>
      </c>
      <c r="D285" s="8" t="s">
        <v>404</v>
      </c>
      <c r="E285" s="6">
        <v>0</v>
      </c>
      <c r="F285" s="7">
        <v>9.8397197723388707</v>
      </c>
      <c r="G285" s="6">
        <v>2024</v>
      </c>
    </row>
    <row r="286" spans="1:7" x14ac:dyDescent="0.25">
      <c r="A286" s="8" t="s">
        <v>289</v>
      </c>
      <c r="B286" s="8" t="s">
        <v>290</v>
      </c>
      <c r="C286" s="8" t="s">
        <v>384</v>
      </c>
      <c r="D286" s="8" t="s">
        <v>385</v>
      </c>
      <c r="E286" s="6">
        <v>0</v>
      </c>
      <c r="F286" s="7">
        <v>26.009559631347699</v>
      </c>
      <c r="G286" s="6">
        <v>2021</v>
      </c>
    </row>
    <row r="287" spans="1:7" x14ac:dyDescent="0.25">
      <c r="A287" s="8" t="s">
        <v>289</v>
      </c>
      <c r="B287" s="8" t="s">
        <v>290</v>
      </c>
      <c r="C287" s="8" t="s">
        <v>390</v>
      </c>
      <c r="D287" s="8" t="s">
        <v>391</v>
      </c>
      <c r="E287" s="6">
        <v>0</v>
      </c>
      <c r="F287" s="7">
        <v>23.999200820922901</v>
      </c>
      <c r="G287" s="6">
        <v>2021</v>
      </c>
    </row>
    <row r="288" spans="1:7" x14ac:dyDescent="0.25">
      <c r="A288" s="8" t="s">
        <v>289</v>
      </c>
      <c r="B288" s="8" t="s">
        <v>290</v>
      </c>
      <c r="C288" s="8" t="s">
        <v>393</v>
      </c>
      <c r="D288" s="8" t="s">
        <v>394</v>
      </c>
      <c r="E288" s="6">
        <v>0</v>
      </c>
      <c r="F288" s="7">
        <v>166.35016437716499</v>
      </c>
      <c r="G288" s="6">
        <v>2024</v>
      </c>
    </row>
    <row r="289" spans="1:7" x14ac:dyDescent="0.25">
      <c r="A289" s="8" t="s">
        <v>289</v>
      </c>
      <c r="B289" s="8" t="s">
        <v>290</v>
      </c>
      <c r="C289" s="8" t="s">
        <v>395</v>
      </c>
      <c r="D289" s="8" t="s">
        <v>396</v>
      </c>
      <c r="E289" s="6">
        <v>0</v>
      </c>
      <c r="F289" s="7">
        <v>157.948816253123</v>
      </c>
      <c r="G289" s="6">
        <v>2024</v>
      </c>
    </row>
    <row r="290" spans="1:7" x14ac:dyDescent="0.25">
      <c r="A290" s="8" t="s">
        <v>289</v>
      </c>
      <c r="B290" s="8" t="s">
        <v>290</v>
      </c>
      <c r="C290" s="8" t="s">
        <v>397</v>
      </c>
      <c r="D290" s="8" t="s">
        <v>398</v>
      </c>
      <c r="E290" s="6">
        <v>0</v>
      </c>
      <c r="F290" s="7">
        <v>91.711929321289105</v>
      </c>
      <c r="G290" s="6">
        <v>2023</v>
      </c>
    </row>
    <row r="291" spans="1:7" x14ac:dyDescent="0.25">
      <c r="A291" s="8" t="s">
        <v>289</v>
      </c>
      <c r="B291" s="8" t="s">
        <v>290</v>
      </c>
      <c r="C291" s="8" t="s">
        <v>399</v>
      </c>
      <c r="D291" s="8" t="s">
        <v>400</v>
      </c>
      <c r="E291" s="6">
        <v>0</v>
      </c>
      <c r="F291" s="7">
        <v>82.166679382324205</v>
      </c>
      <c r="G291" s="6">
        <v>2023</v>
      </c>
    </row>
    <row r="292" spans="1:7" x14ac:dyDescent="0.25">
      <c r="A292" s="8" t="s">
        <v>301</v>
      </c>
      <c r="B292" s="8" t="s">
        <v>302</v>
      </c>
      <c r="C292" s="8" t="s">
        <v>384</v>
      </c>
      <c r="D292" s="8" t="s">
        <v>385</v>
      </c>
      <c r="E292" s="6">
        <v>0</v>
      </c>
      <c r="F292" s="7">
        <v>17.696699142456101</v>
      </c>
      <c r="G292" s="6">
        <v>2020</v>
      </c>
    </row>
    <row r="293" spans="1:7" x14ac:dyDescent="0.25">
      <c r="A293" s="8" t="s">
        <v>301</v>
      </c>
      <c r="B293" s="8" t="s">
        <v>302</v>
      </c>
      <c r="C293" s="8" t="s">
        <v>390</v>
      </c>
      <c r="D293" s="8" t="s">
        <v>391</v>
      </c>
      <c r="E293" s="6">
        <v>0</v>
      </c>
      <c r="F293" s="7">
        <v>17.399589538574201</v>
      </c>
      <c r="G293" s="6">
        <v>2020</v>
      </c>
    </row>
    <row r="294" spans="1:7" x14ac:dyDescent="0.25">
      <c r="A294" s="8" t="s">
        <v>301</v>
      </c>
      <c r="B294" s="8" t="s">
        <v>302</v>
      </c>
      <c r="C294" s="8" t="s">
        <v>393</v>
      </c>
      <c r="D294" s="8" t="s">
        <v>394</v>
      </c>
      <c r="E294" s="6">
        <v>0</v>
      </c>
      <c r="F294" s="7">
        <v>99.211416522639396</v>
      </c>
      <c r="G294" s="6">
        <v>2023</v>
      </c>
    </row>
    <row r="295" spans="1:7" x14ac:dyDescent="0.25">
      <c r="A295" s="8" t="s">
        <v>301</v>
      </c>
      <c r="B295" s="8" t="s">
        <v>302</v>
      </c>
      <c r="C295" s="8" t="s">
        <v>395</v>
      </c>
      <c r="D295" s="8" t="s">
        <v>396</v>
      </c>
      <c r="E295" s="6">
        <v>0</v>
      </c>
      <c r="F295" s="7">
        <v>104.315189610902</v>
      </c>
      <c r="G295" s="6">
        <v>2023</v>
      </c>
    </row>
    <row r="296" spans="1:7" x14ac:dyDescent="0.25">
      <c r="A296" s="8" t="s">
        <v>301</v>
      </c>
      <c r="B296" s="8" t="s">
        <v>302</v>
      </c>
      <c r="C296" s="8" t="s">
        <v>397</v>
      </c>
      <c r="D296" s="8" t="s">
        <v>398</v>
      </c>
      <c r="E296" s="6">
        <v>0</v>
      </c>
      <c r="F296" s="7">
        <v>107.46497402204299</v>
      </c>
      <c r="G296" s="6">
        <v>2023</v>
      </c>
    </row>
    <row r="297" spans="1:7" x14ac:dyDescent="0.25">
      <c r="A297" s="8" t="s">
        <v>301</v>
      </c>
      <c r="B297" s="8" t="s">
        <v>302</v>
      </c>
      <c r="C297" s="8" t="s">
        <v>399</v>
      </c>
      <c r="D297" s="8" t="s">
        <v>400</v>
      </c>
      <c r="E297" s="6">
        <v>0</v>
      </c>
      <c r="F297" s="7">
        <v>100.83861239756</v>
      </c>
      <c r="G297" s="6">
        <v>2023</v>
      </c>
    </row>
    <row r="298" spans="1:7" x14ac:dyDescent="0.25">
      <c r="A298" s="8" t="s">
        <v>301</v>
      </c>
      <c r="B298" s="8" t="s">
        <v>302</v>
      </c>
      <c r="C298" s="8" t="s">
        <v>401</v>
      </c>
      <c r="D298" s="8" t="s">
        <v>402</v>
      </c>
      <c r="E298" s="6">
        <v>0</v>
      </c>
      <c r="F298" s="7">
        <v>29.843469621832199</v>
      </c>
      <c r="G298" s="6">
        <v>2023</v>
      </c>
    </row>
    <row r="299" spans="1:7" x14ac:dyDescent="0.25">
      <c r="A299" s="8" t="s">
        <v>301</v>
      </c>
      <c r="B299" s="8" t="s">
        <v>302</v>
      </c>
      <c r="C299" s="8" t="s">
        <v>403</v>
      </c>
      <c r="D299" s="8" t="s">
        <v>404</v>
      </c>
      <c r="E299" s="6">
        <v>0</v>
      </c>
      <c r="F299" s="7">
        <v>17.297169013015999</v>
      </c>
      <c r="G299" s="6">
        <v>2023</v>
      </c>
    </row>
    <row r="300" spans="1:7" x14ac:dyDescent="0.25">
      <c r="A300" s="8" t="s">
        <v>303</v>
      </c>
      <c r="B300" s="8" t="s">
        <v>304</v>
      </c>
      <c r="C300" s="8" t="s">
        <v>384</v>
      </c>
      <c r="D300" s="8" t="s">
        <v>385</v>
      </c>
      <c r="E300" s="6">
        <v>1</v>
      </c>
      <c r="F300" s="7">
        <v>10.8446702957153</v>
      </c>
      <c r="G300" s="6">
        <v>2018</v>
      </c>
    </row>
    <row r="301" spans="1:7" x14ac:dyDescent="0.25">
      <c r="A301" s="8" t="s">
        <v>303</v>
      </c>
      <c r="B301" s="8" t="s">
        <v>304</v>
      </c>
      <c r="C301" s="8" t="s">
        <v>390</v>
      </c>
      <c r="D301" s="8" t="s">
        <v>391</v>
      </c>
      <c r="E301" s="6">
        <v>1</v>
      </c>
      <c r="F301" s="7">
        <v>12.3176002502441</v>
      </c>
      <c r="G301" s="6">
        <v>2018</v>
      </c>
    </row>
    <row r="302" spans="1:7" x14ac:dyDescent="0.25">
      <c r="A302" s="8" t="s">
        <v>303</v>
      </c>
      <c r="B302" s="8" t="s">
        <v>304</v>
      </c>
      <c r="C302" s="8" t="s">
        <v>393</v>
      </c>
      <c r="D302" s="8" t="s">
        <v>394</v>
      </c>
      <c r="E302" s="6">
        <v>1</v>
      </c>
      <c r="F302" s="7">
        <v>88.955253601074205</v>
      </c>
      <c r="G302" s="6">
        <v>2024</v>
      </c>
    </row>
    <row r="303" spans="1:7" x14ac:dyDescent="0.25">
      <c r="A303" s="8" t="s">
        <v>303</v>
      </c>
      <c r="B303" s="8" t="s">
        <v>304</v>
      </c>
      <c r="C303" s="8" t="s">
        <v>395</v>
      </c>
      <c r="D303" s="8" t="s">
        <v>396</v>
      </c>
      <c r="E303" s="6">
        <v>1</v>
      </c>
      <c r="F303" s="7">
        <v>107.72534942627</v>
      </c>
      <c r="G303" s="6">
        <v>2024</v>
      </c>
    </row>
    <row r="304" spans="1:7" x14ac:dyDescent="0.25">
      <c r="A304" s="8" t="s">
        <v>303</v>
      </c>
      <c r="B304" s="8" t="s">
        <v>304</v>
      </c>
      <c r="C304" s="8" t="s">
        <v>397</v>
      </c>
      <c r="D304" s="8" t="s">
        <v>398</v>
      </c>
      <c r="E304" s="6">
        <v>1</v>
      </c>
      <c r="F304" s="7">
        <v>110.429168701172</v>
      </c>
      <c r="G304" s="6">
        <v>2024</v>
      </c>
    </row>
    <row r="305" spans="1:7" x14ac:dyDescent="0.25">
      <c r="A305" s="8" t="s">
        <v>303</v>
      </c>
      <c r="B305" s="8" t="s">
        <v>304</v>
      </c>
      <c r="C305" s="8" t="s">
        <v>399</v>
      </c>
      <c r="D305" s="8" t="s">
        <v>400</v>
      </c>
      <c r="E305" s="6">
        <v>1</v>
      </c>
      <c r="F305" s="7">
        <v>133.60136413574199</v>
      </c>
      <c r="G305" s="6">
        <v>2024</v>
      </c>
    </row>
    <row r="306" spans="1:7" x14ac:dyDescent="0.25">
      <c r="A306" s="8" t="s">
        <v>325</v>
      </c>
      <c r="B306" s="8" t="s">
        <v>326</v>
      </c>
      <c r="C306" s="8" t="s">
        <v>384</v>
      </c>
      <c r="D306" s="8" t="s">
        <v>385</v>
      </c>
      <c r="E306" s="6">
        <v>1</v>
      </c>
      <c r="F306" s="7">
        <v>76.906646728515597</v>
      </c>
      <c r="G306" s="6">
        <v>2021</v>
      </c>
    </row>
    <row r="307" spans="1:7" x14ac:dyDescent="0.25">
      <c r="A307" s="8" t="s">
        <v>325</v>
      </c>
      <c r="B307" s="8" t="s">
        <v>326</v>
      </c>
      <c r="C307" s="8" t="s">
        <v>390</v>
      </c>
      <c r="D307" s="8" t="s">
        <v>391</v>
      </c>
      <c r="E307" s="6">
        <v>1</v>
      </c>
      <c r="F307" s="7">
        <v>77.585838317871094</v>
      </c>
      <c r="G307" s="6">
        <v>2021</v>
      </c>
    </row>
    <row r="308" spans="1:7" x14ac:dyDescent="0.25">
      <c r="A308" s="8" t="s">
        <v>325</v>
      </c>
      <c r="B308" s="8" t="s">
        <v>326</v>
      </c>
      <c r="C308" s="8" t="s">
        <v>393</v>
      </c>
      <c r="D308" s="8" t="s">
        <v>394</v>
      </c>
      <c r="E308" s="6">
        <v>1</v>
      </c>
      <c r="F308" s="7">
        <v>95.333424580917594</v>
      </c>
      <c r="G308" s="6">
        <v>2024</v>
      </c>
    </row>
    <row r="309" spans="1:7" x14ac:dyDescent="0.25">
      <c r="A309" s="8" t="s">
        <v>325</v>
      </c>
      <c r="B309" s="8" t="s">
        <v>326</v>
      </c>
      <c r="C309" s="8" t="s">
        <v>395</v>
      </c>
      <c r="D309" s="8" t="s">
        <v>396</v>
      </c>
      <c r="E309" s="6">
        <v>1</v>
      </c>
      <c r="F309" s="7">
        <v>90.090997649528603</v>
      </c>
      <c r="G309" s="6">
        <v>2024</v>
      </c>
    </row>
    <row r="310" spans="1:7" x14ac:dyDescent="0.25">
      <c r="A310" s="8" t="s">
        <v>325</v>
      </c>
      <c r="B310" s="8" t="s">
        <v>326</v>
      </c>
      <c r="C310" s="8" t="s">
        <v>397</v>
      </c>
      <c r="D310" s="8" t="s">
        <v>398</v>
      </c>
      <c r="E310" s="6">
        <v>1</v>
      </c>
      <c r="F310" s="7">
        <v>29.204759597778299</v>
      </c>
      <c r="G310" s="6">
        <v>2021</v>
      </c>
    </row>
    <row r="311" spans="1:7" x14ac:dyDescent="0.25">
      <c r="A311" s="8" t="s">
        <v>325</v>
      </c>
      <c r="B311" s="8" t="s">
        <v>326</v>
      </c>
      <c r="C311" s="8" t="s">
        <v>399</v>
      </c>
      <c r="D311" s="8" t="s">
        <v>400</v>
      </c>
      <c r="E311" s="6">
        <v>1</v>
      </c>
      <c r="F311" s="7">
        <v>27.264589309692401</v>
      </c>
      <c r="G311" s="6">
        <v>2021</v>
      </c>
    </row>
    <row r="312" spans="1:7" x14ac:dyDescent="0.25">
      <c r="A312" s="8" t="s">
        <v>325</v>
      </c>
      <c r="B312" s="8" t="s">
        <v>326</v>
      </c>
      <c r="C312" s="8" t="s">
        <v>401</v>
      </c>
      <c r="D312" s="8" t="s">
        <v>402</v>
      </c>
      <c r="E312" s="6">
        <v>1</v>
      </c>
      <c r="F312" s="7">
        <v>3.6270699501037602</v>
      </c>
      <c r="G312" s="6">
        <v>2024</v>
      </c>
    </row>
    <row r="313" spans="1:7" x14ac:dyDescent="0.25">
      <c r="A313" s="8" t="s">
        <v>325</v>
      </c>
      <c r="B313" s="8" t="s">
        <v>326</v>
      </c>
      <c r="C313" s="8" t="s">
        <v>403</v>
      </c>
      <c r="D313" s="8" t="s">
        <v>404</v>
      </c>
      <c r="E313" s="6">
        <v>1</v>
      </c>
      <c r="F313" s="7">
        <v>4.4096097946167001</v>
      </c>
      <c r="G313" s="6">
        <v>2024</v>
      </c>
    </row>
    <row r="314" spans="1:7" x14ac:dyDescent="0.25">
      <c r="A314" s="8" t="s">
        <v>331</v>
      </c>
      <c r="B314" s="8" t="s">
        <v>332</v>
      </c>
      <c r="C314" s="8" t="s">
        <v>384</v>
      </c>
      <c r="D314" s="8" t="s">
        <v>385</v>
      </c>
      <c r="E314" s="6">
        <v>0</v>
      </c>
      <c r="F314" s="7">
        <v>29.783399581909201</v>
      </c>
      <c r="G314" s="6">
        <v>2021</v>
      </c>
    </row>
    <row r="315" spans="1:7" x14ac:dyDescent="0.25">
      <c r="A315" s="8" t="s">
        <v>331</v>
      </c>
      <c r="B315" s="8" t="s">
        <v>332</v>
      </c>
      <c r="C315" s="8" t="s">
        <v>390</v>
      </c>
      <c r="D315" s="8" t="s">
        <v>391</v>
      </c>
      <c r="E315" s="6">
        <v>0</v>
      </c>
      <c r="F315" s="7">
        <v>28.605749130248999</v>
      </c>
      <c r="G315" s="6">
        <v>2021</v>
      </c>
    </row>
    <row r="316" spans="1:7" x14ac:dyDescent="0.25">
      <c r="A316" s="8" t="s">
        <v>331</v>
      </c>
      <c r="B316" s="8" t="s">
        <v>332</v>
      </c>
      <c r="C316" s="8" t="s">
        <v>393</v>
      </c>
      <c r="D316" s="8" t="s">
        <v>394</v>
      </c>
      <c r="E316" s="6">
        <v>0</v>
      </c>
      <c r="F316" s="7">
        <v>113.152847211292</v>
      </c>
      <c r="G316" s="6">
        <v>2024</v>
      </c>
    </row>
    <row r="317" spans="1:7" x14ac:dyDescent="0.25">
      <c r="A317" s="8" t="s">
        <v>331</v>
      </c>
      <c r="B317" s="8" t="s">
        <v>332</v>
      </c>
      <c r="C317" s="8" t="s">
        <v>395</v>
      </c>
      <c r="D317" s="8" t="s">
        <v>396</v>
      </c>
      <c r="E317" s="6">
        <v>0</v>
      </c>
      <c r="F317" s="7">
        <v>115.37016841533401</v>
      </c>
      <c r="G317" s="6">
        <v>2024</v>
      </c>
    </row>
    <row r="318" spans="1:7" x14ac:dyDescent="0.25">
      <c r="A318" s="8" t="s">
        <v>331</v>
      </c>
      <c r="B318" s="8" t="s">
        <v>332</v>
      </c>
      <c r="C318" s="8" t="s">
        <v>397</v>
      </c>
      <c r="D318" s="8" t="s">
        <v>398</v>
      </c>
      <c r="E318" s="6">
        <v>0</v>
      </c>
      <c r="F318" s="7">
        <v>59.084965304981203</v>
      </c>
      <c r="G318" s="6">
        <v>2023</v>
      </c>
    </row>
    <row r="319" spans="1:7" x14ac:dyDescent="0.25">
      <c r="A319" s="8" t="s">
        <v>331</v>
      </c>
      <c r="B319" s="8" t="s">
        <v>332</v>
      </c>
      <c r="C319" s="8" t="s">
        <v>399</v>
      </c>
      <c r="D319" s="8" t="s">
        <v>400</v>
      </c>
      <c r="E319" s="6">
        <v>0</v>
      </c>
      <c r="F319" s="7">
        <v>67.657830030673793</v>
      </c>
      <c r="G319" s="6">
        <v>2023</v>
      </c>
    </row>
    <row r="320" spans="1:7" x14ac:dyDescent="0.25">
      <c r="A320" s="8" t="s">
        <v>331</v>
      </c>
      <c r="B320" s="8" t="s">
        <v>332</v>
      </c>
      <c r="C320" s="8" t="s">
        <v>401</v>
      </c>
      <c r="D320" s="8" t="s">
        <v>402</v>
      </c>
      <c r="E320" s="6">
        <v>0</v>
      </c>
      <c r="F320" s="7">
        <v>10.7860283764189</v>
      </c>
      <c r="G320" s="6">
        <v>2020</v>
      </c>
    </row>
    <row r="321" spans="1:7" x14ac:dyDescent="0.25">
      <c r="A321" s="8" t="s">
        <v>331</v>
      </c>
      <c r="B321" s="8" t="s">
        <v>332</v>
      </c>
      <c r="C321" s="8" t="s">
        <v>403</v>
      </c>
      <c r="D321" s="8" t="s">
        <v>404</v>
      </c>
      <c r="E321" s="6">
        <v>0</v>
      </c>
      <c r="F321" s="7">
        <v>18.928995433204499</v>
      </c>
      <c r="G321" s="6">
        <v>2020</v>
      </c>
    </row>
    <row r="322" spans="1:7" x14ac:dyDescent="0.25">
      <c r="A322" s="8" t="s">
        <v>343</v>
      </c>
      <c r="B322" s="8" t="s">
        <v>344</v>
      </c>
      <c r="C322" s="8" t="s">
        <v>384</v>
      </c>
      <c r="D322" s="8" t="s">
        <v>385</v>
      </c>
      <c r="E322" s="6">
        <v>1</v>
      </c>
      <c r="F322" s="7">
        <v>14.6863899230957</v>
      </c>
      <c r="G322" s="6">
        <v>2017</v>
      </c>
    </row>
    <row r="323" spans="1:7" x14ac:dyDescent="0.25">
      <c r="A323" s="8" t="s">
        <v>343</v>
      </c>
      <c r="B323" s="8" t="s">
        <v>344</v>
      </c>
      <c r="C323" s="8" t="s">
        <v>390</v>
      </c>
      <c r="D323" s="8" t="s">
        <v>391</v>
      </c>
      <c r="E323" s="6">
        <v>1</v>
      </c>
      <c r="F323" s="7">
        <v>14.1349496841431</v>
      </c>
      <c r="G323" s="6">
        <v>2017</v>
      </c>
    </row>
    <row r="324" spans="1:7" x14ac:dyDescent="0.25">
      <c r="A324" s="8" t="s">
        <v>343</v>
      </c>
      <c r="B324" s="8" t="s">
        <v>344</v>
      </c>
      <c r="C324" s="8" t="s">
        <v>393</v>
      </c>
      <c r="D324" s="8" t="s">
        <v>394</v>
      </c>
      <c r="E324" s="6">
        <v>1</v>
      </c>
      <c r="F324" s="7">
        <v>106.83669281005901</v>
      </c>
      <c r="G324" s="6">
        <v>2017</v>
      </c>
    </row>
    <row r="325" spans="1:7" x14ac:dyDescent="0.25">
      <c r="A325" s="8" t="s">
        <v>343</v>
      </c>
      <c r="B325" s="8" t="s">
        <v>344</v>
      </c>
      <c r="C325" s="8" t="s">
        <v>395</v>
      </c>
      <c r="D325" s="8" t="s">
        <v>396</v>
      </c>
      <c r="E325" s="6">
        <v>1</v>
      </c>
      <c r="F325" s="7">
        <v>105.503372192383</v>
      </c>
      <c r="G325" s="6">
        <v>2017</v>
      </c>
    </row>
    <row r="326" spans="1:7" x14ac:dyDescent="0.25">
      <c r="A326" s="8" t="s">
        <v>343</v>
      </c>
      <c r="B326" s="8" t="s">
        <v>344</v>
      </c>
      <c r="C326" s="8" t="s">
        <v>401</v>
      </c>
      <c r="D326" s="8" t="s">
        <v>402</v>
      </c>
      <c r="E326" s="6">
        <v>1</v>
      </c>
      <c r="F326" s="7">
        <v>4.0127501487731898</v>
      </c>
      <c r="G326" s="6">
        <v>2014</v>
      </c>
    </row>
    <row r="327" spans="1:7" x14ac:dyDescent="0.25">
      <c r="A327" s="8" t="s">
        <v>343</v>
      </c>
      <c r="B327" s="8" t="s">
        <v>344</v>
      </c>
      <c r="C327" s="8" t="s">
        <v>403</v>
      </c>
      <c r="D327" s="8" t="s">
        <v>404</v>
      </c>
      <c r="E327" s="6">
        <v>1</v>
      </c>
      <c r="F327" s="7">
        <v>5.2309999465942401</v>
      </c>
      <c r="G327" s="6">
        <v>2014</v>
      </c>
    </row>
    <row r="328" spans="1:7" x14ac:dyDescent="0.25">
      <c r="A328" s="8" t="s">
        <v>367</v>
      </c>
      <c r="B328" s="8" t="s">
        <v>368</v>
      </c>
      <c r="C328" s="8" t="s">
        <v>384</v>
      </c>
      <c r="D328" s="8" t="s">
        <v>385</v>
      </c>
      <c r="E328" s="6">
        <v>0</v>
      </c>
      <c r="F328" s="7">
        <v>9.1325902938842791</v>
      </c>
      <c r="G328" s="6">
        <v>2017</v>
      </c>
    </row>
    <row r="329" spans="1:7" x14ac:dyDescent="0.25">
      <c r="A329" s="8" t="s">
        <v>367</v>
      </c>
      <c r="B329" s="8" t="s">
        <v>368</v>
      </c>
      <c r="C329" s="8" t="s">
        <v>390</v>
      </c>
      <c r="D329" s="8" t="s">
        <v>391</v>
      </c>
      <c r="E329" s="6">
        <v>0</v>
      </c>
      <c r="F329" s="7">
        <v>8.2811698913574201</v>
      </c>
      <c r="G329" s="6">
        <v>2017</v>
      </c>
    </row>
    <row r="330" spans="1:7" x14ac:dyDescent="0.25">
      <c r="A330" s="8" t="s">
        <v>367</v>
      </c>
      <c r="B330" s="8" t="s">
        <v>368</v>
      </c>
      <c r="C330" s="8" t="s">
        <v>393</v>
      </c>
      <c r="D330" s="8" t="s">
        <v>394</v>
      </c>
      <c r="E330" s="6">
        <v>0</v>
      </c>
      <c r="F330" s="7">
        <v>118.300572236867</v>
      </c>
      <c r="G330" s="6">
        <v>2024</v>
      </c>
    </row>
    <row r="331" spans="1:7" x14ac:dyDescent="0.25">
      <c r="A331" s="8" t="s">
        <v>367</v>
      </c>
      <c r="B331" s="8" t="s">
        <v>368</v>
      </c>
      <c r="C331" s="8" t="s">
        <v>395</v>
      </c>
      <c r="D331" s="8" t="s">
        <v>396</v>
      </c>
      <c r="E331" s="6">
        <v>0</v>
      </c>
      <c r="F331" s="7">
        <v>112.79647764131801</v>
      </c>
      <c r="G331" s="6">
        <v>2024</v>
      </c>
    </row>
    <row r="332" spans="1:7" x14ac:dyDescent="0.25">
      <c r="A332" s="8" t="s">
        <v>367</v>
      </c>
      <c r="B332" s="8" t="s">
        <v>368</v>
      </c>
      <c r="C332" s="8" t="s">
        <v>397</v>
      </c>
      <c r="D332" s="8" t="s">
        <v>398</v>
      </c>
      <c r="E332" s="6">
        <v>0</v>
      </c>
      <c r="F332" s="7">
        <v>59.070770263671903</v>
      </c>
      <c r="G332" s="6">
        <v>2024</v>
      </c>
    </row>
    <row r="333" spans="1:7" x14ac:dyDescent="0.25">
      <c r="A333" s="8" t="s">
        <v>367</v>
      </c>
      <c r="B333" s="8" t="s">
        <v>368</v>
      </c>
      <c r="C333" s="8" t="s">
        <v>399</v>
      </c>
      <c r="D333" s="8" t="s">
        <v>400</v>
      </c>
      <c r="E333" s="6">
        <v>0</v>
      </c>
      <c r="F333" s="7">
        <v>54.4917602539062</v>
      </c>
      <c r="G333" s="6">
        <v>2024</v>
      </c>
    </row>
    <row r="334" spans="1:7" x14ac:dyDescent="0.25">
      <c r="A334" s="8" t="s">
        <v>367</v>
      </c>
      <c r="B334" s="8" t="s">
        <v>368</v>
      </c>
      <c r="C334" s="8" t="s">
        <v>401</v>
      </c>
      <c r="D334" s="8" t="s">
        <v>402</v>
      </c>
      <c r="E334" s="6">
        <v>0</v>
      </c>
      <c r="F334" s="7">
        <v>3.4067375348928399</v>
      </c>
      <c r="G334" s="6">
        <v>2012</v>
      </c>
    </row>
    <row r="335" spans="1:7" x14ac:dyDescent="0.25">
      <c r="A335" s="8" t="s">
        <v>367</v>
      </c>
      <c r="B335" s="8" t="s">
        <v>368</v>
      </c>
      <c r="C335" s="8" t="s">
        <v>403</v>
      </c>
      <c r="D335" s="8" t="s">
        <v>404</v>
      </c>
      <c r="E335" s="6">
        <v>0</v>
      </c>
      <c r="F335" s="7">
        <v>4.5220997851770797</v>
      </c>
      <c r="G335" s="6">
        <v>2012</v>
      </c>
    </row>
    <row r="336" spans="1:7" x14ac:dyDescent="0.25">
      <c r="A336" s="8" t="s">
        <v>369</v>
      </c>
      <c r="B336" s="8" t="s">
        <v>370</v>
      </c>
      <c r="C336" s="8" t="s">
        <v>384</v>
      </c>
      <c r="D336" s="8" t="s">
        <v>385</v>
      </c>
      <c r="E336" s="6">
        <v>0</v>
      </c>
      <c r="F336" s="7">
        <v>74.420463562011705</v>
      </c>
      <c r="G336" s="6">
        <v>2021</v>
      </c>
    </row>
    <row r="337" spans="1:7" x14ac:dyDescent="0.25">
      <c r="A337" s="8" t="s">
        <v>369</v>
      </c>
      <c r="B337" s="8" t="s">
        <v>370</v>
      </c>
      <c r="C337" s="8" t="s">
        <v>390</v>
      </c>
      <c r="D337" s="8" t="s">
        <v>391</v>
      </c>
      <c r="E337" s="6">
        <v>0</v>
      </c>
      <c r="F337" s="7">
        <v>74.210998535156307</v>
      </c>
      <c r="G337" s="6">
        <v>2021</v>
      </c>
    </row>
    <row r="338" spans="1:7" x14ac:dyDescent="0.25">
      <c r="A338" s="8" t="s">
        <v>369</v>
      </c>
      <c r="B338" s="8" t="s">
        <v>370</v>
      </c>
      <c r="C338" s="8" t="s">
        <v>393</v>
      </c>
      <c r="D338" s="8" t="s">
        <v>394</v>
      </c>
      <c r="E338" s="6">
        <v>0</v>
      </c>
      <c r="F338" s="7">
        <v>93.393125379831702</v>
      </c>
      <c r="G338" s="6">
        <v>2024</v>
      </c>
    </row>
    <row r="339" spans="1:7" x14ac:dyDescent="0.25">
      <c r="A339" s="8" t="s">
        <v>369</v>
      </c>
      <c r="B339" s="8" t="s">
        <v>370</v>
      </c>
      <c r="C339" s="8" t="s">
        <v>395</v>
      </c>
      <c r="D339" s="8" t="s">
        <v>396</v>
      </c>
      <c r="E339" s="6">
        <v>0</v>
      </c>
      <c r="F339" s="7">
        <v>92.764874155568194</v>
      </c>
      <c r="G339" s="6">
        <v>2024</v>
      </c>
    </row>
    <row r="340" spans="1:7" x14ac:dyDescent="0.25">
      <c r="A340" s="8" t="s">
        <v>369</v>
      </c>
      <c r="B340" s="8" t="s">
        <v>370</v>
      </c>
      <c r="C340" s="8" t="s">
        <v>397</v>
      </c>
      <c r="D340" s="8" t="s">
        <v>398</v>
      </c>
      <c r="E340" s="6">
        <v>0</v>
      </c>
      <c r="F340" s="7">
        <v>50.8856201171875</v>
      </c>
      <c r="G340" s="6">
        <v>2013</v>
      </c>
    </row>
    <row r="341" spans="1:7" x14ac:dyDescent="0.25">
      <c r="A341" s="8" t="s">
        <v>369</v>
      </c>
      <c r="B341" s="8" t="s">
        <v>370</v>
      </c>
      <c r="C341" s="8" t="s">
        <v>399</v>
      </c>
      <c r="D341" s="8" t="s">
        <v>400</v>
      </c>
      <c r="E341" s="6">
        <v>0</v>
      </c>
      <c r="F341" s="7">
        <v>54.012718200683601</v>
      </c>
      <c r="G341" s="6">
        <v>2013</v>
      </c>
    </row>
    <row r="342" spans="1:7" x14ac:dyDescent="0.25">
      <c r="A342" s="8" t="s">
        <v>369</v>
      </c>
      <c r="B342" s="8" t="s">
        <v>370</v>
      </c>
      <c r="C342" s="8" t="s">
        <v>401</v>
      </c>
      <c r="D342" s="8" t="s">
        <v>402</v>
      </c>
      <c r="E342" s="6">
        <v>0</v>
      </c>
      <c r="F342" s="7">
        <v>8.6605145647648705</v>
      </c>
      <c r="G342" s="6">
        <v>2024</v>
      </c>
    </row>
    <row r="343" spans="1:7" x14ac:dyDescent="0.25">
      <c r="A343" s="8" t="s">
        <v>369</v>
      </c>
      <c r="B343" s="8" t="s">
        <v>370</v>
      </c>
      <c r="C343" s="8" t="s">
        <v>403</v>
      </c>
      <c r="D343" s="8" t="s">
        <v>404</v>
      </c>
      <c r="E343" s="6">
        <v>0</v>
      </c>
      <c r="F343" s="7">
        <v>6.8108268946081898</v>
      </c>
      <c r="G343" s="6">
        <v>2024</v>
      </c>
    </row>
  </sheetData>
  <mergeCells count="5">
    <mergeCell ref="I10:M10"/>
    <mergeCell ref="J3:L3"/>
    <mergeCell ref="M3:O3"/>
    <mergeCell ref="P3:R3"/>
    <mergeCell ref="S3:U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C6C67-36D1-4869-B3A9-D274DA1658B5}">
  <dimension ref="A1:AE51"/>
  <sheetViews>
    <sheetView topLeftCell="A51" workbookViewId="0"/>
  </sheetViews>
  <sheetFormatPr defaultRowHeight="12.5" x14ac:dyDescent="0.25"/>
  <cols>
    <col min="1" max="1" width="43.7265625" bestFit="1" customWidth="1"/>
    <col min="2" max="2" width="12.1796875" bestFit="1" customWidth="1"/>
    <col min="3" max="3" width="15.81640625" bestFit="1" customWidth="1"/>
  </cols>
  <sheetData>
    <row r="1" spans="1:31" ht="14" x14ac:dyDescent="0.3">
      <c r="A1" s="12" t="s">
        <v>0</v>
      </c>
      <c r="B1" s="13" t="s">
        <v>1</v>
      </c>
      <c r="C1" s="13" t="s">
        <v>375</v>
      </c>
      <c r="D1" s="15">
        <v>1997</v>
      </c>
      <c r="E1" s="15">
        <v>1998</v>
      </c>
      <c r="F1" s="15">
        <v>1999</v>
      </c>
      <c r="G1" s="15">
        <v>2000</v>
      </c>
      <c r="H1" s="15">
        <v>2001</v>
      </c>
      <c r="I1" s="15">
        <v>2002</v>
      </c>
      <c r="J1" s="15">
        <v>2003</v>
      </c>
      <c r="K1" s="15">
        <v>2004</v>
      </c>
      <c r="L1" s="15">
        <v>2005</v>
      </c>
      <c r="M1" s="15">
        <v>2006</v>
      </c>
      <c r="N1" s="15">
        <v>2007</v>
      </c>
      <c r="O1" s="15">
        <v>2008</v>
      </c>
      <c r="P1" s="15">
        <v>2009</v>
      </c>
      <c r="Q1" s="15">
        <v>2010</v>
      </c>
      <c r="R1" s="15">
        <v>2011</v>
      </c>
      <c r="S1" s="15">
        <v>2012</v>
      </c>
      <c r="T1" s="15">
        <v>2013</v>
      </c>
      <c r="U1" s="15">
        <v>2014</v>
      </c>
      <c r="V1" s="15">
        <v>2015</v>
      </c>
      <c r="W1" s="15">
        <v>2016</v>
      </c>
      <c r="X1" s="15">
        <v>2017</v>
      </c>
      <c r="Y1" s="15">
        <v>2018</v>
      </c>
      <c r="Z1" s="15">
        <v>2019</v>
      </c>
      <c r="AA1" s="15">
        <v>2020</v>
      </c>
      <c r="AB1" s="15">
        <v>2021</v>
      </c>
      <c r="AC1" s="15">
        <v>2022</v>
      </c>
      <c r="AD1" s="15">
        <v>2023</v>
      </c>
      <c r="AE1" s="15">
        <v>2024</v>
      </c>
    </row>
    <row r="2" spans="1:31" x14ac:dyDescent="0.25">
      <c r="A2" s="8" t="s">
        <v>12</v>
      </c>
      <c r="B2" s="9" t="s">
        <v>13</v>
      </c>
      <c r="C2" s="9" t="s">
        <v>376</v>
      </c>
      <c r="D2" s="7">
        <v>9.5454545454545503</v>
      </c>
      <c r="E2" s="7">
        <v>15.454545454545499</v>
      </c>
      <c r="F2" s="7">
        <v>15.454545454545499</v>
      </c>
      <c r="G2" s="7">
        <v>15.454545454545499</v>
      </c>
      <c r="H2" s="7">
        <v>15.454545454545499</v>
      </c>
      <c r="I2" s="7">
        <v>15.454545454545499</v>
      </c>
      <c r="J2" s="7">
        <v>15.454545454545499</v>
      </c>
      <c r="K2" s="7">
        <v>15</v>
      </c>
      <c r="L2" s="7">
        <v>15</v>
      </c>
      <c r="M2" s="7">
        <v>15</v>
      </c>
      <c r="N2" s="7">
        <v>15</v>
      </c>
      <c r="O2" s="7">
        <v>37.272727272727302</v>
      </c>
      <c r="P2" s="7">
        <v>38.636363636363598</v>
      </c>
      <c r="Q2" s="7">
        <v>38.636363636363598</v>
      </c>
      <c r="R2" s="7">
        <v>38.181818181818201</v>
      </c>
      <c r="S2" s="7">
        <v>34.090909090909101</v>
      </c>
      <c r="T2" s="7">
        <v>34.090909090909101</v>
      </c>
      <c r="U2" s="7">
        <v>36.818181818181799</v>
      </c>
      <c r="V2" s="7">
        <v>36.818181818181799</v>
      </c>
      <c r="W2" s="7">
        <v>36.818181818181799</v>
      </c>
      <c r="X2" s="7">
        <v>30.454545454545499</v>
      </c>
      <c r="Y2" s="7">
        <v>30.454545454545499</v>
      </c>
      <c r="Z2" s="7">
        <v>30</v>
      </c>
      <c r="AA2" s="7">
        <v>30</v>
      </c>
      <c r="AB2" s="7">
        <v>29.545454545454501</v>
      </c>
      <c r="AC2" s="7">
        <v>33.636363636363598</v>
      </c>
      <c r="AD2" s="7">
        <v>33.636363636363598</v>
      </c>
      <c r="AE2" s="7">
        <v>39.545454545454497</v>
      </c>
    </row>
    <row r="3" spans="1:31" x14ac:dyDescent="0.25">
      <c r="A3" s="8" t="s">
        <v>41</v>
      </c>
      <c r="B3" s="9" t="s">
        <v>42</v>
      </c>
      <c r="C3" s="9" t="s">
        <v>376</v>
      </c>
      <c r="D3" s="7">
        <v>7.2289156626505999</v>
      </c>
      <c r="E3" s="7">
        <v>7.2289156626505999</v>
      </c>
      <c r="F3" s="7">
        <v>6.0240963855421699</v>
      </c>
      <c r="G3" s="7">
        <v>6.0240963855421699</v>
      </c>
      <c r="H3" s="7">
        <v>6.0240963855421699</v>
      </c>
      <c r="I3" s="7">
        <v>6.0240963855421699</v>
      </c>
      <c r="J3" s="7">
        <v>6.0240963855421699</v>
      </c>
      <c r="K3" s="7">
        <v>7.2289156626505999</v>
      </c>
      <c r="L3" s="7">
        <v>7.2289156626505999</v>
      </c>
      <c r="M3" s="7">
        <v>7.2289156626505999</v>
      </c>
      <c r="N3" s="7">
        <v>10.8433734939759</v>
      </c>
      <c r="O3" s="7">
        <v>10.8433734939759</v>
      </c>
      <c r="P3" s="7">
        <v>10.8433734939759</v>
      </c>
      <c r="Q3" s="7">
        <v>10.8433734939759</v>
      </c>
      <c r="R3" s="7">
        <v>8.4337349397590398</v>
      </c>
      <c r="S3" s="7">
        <v>8.4337349397590398</v>
      </c>
      <c r="T3" s="7">
        <v>8.4337349397590398</v>
      </c>
      <c r="U3" s="7">
        <v>8.4337349397590398</v>
      </c>
      <c r="V3" s="7">
        <v>7.2289156626505999</v>
      </c>
      <c r="W3" s="7">
        <v>7.2289156626505999</v>
      </c>
      <c r="X3" s="7">
        <v>7.2289156626505999</v>
      </c>
      <c r="Y3" s="7">
        <v>7.2289156626505999</v>
      </c>
      <c r="Z3" s="7">
        <v>7.2289156626505999</v>
      </c>
      <c r="AA3" s="7">
        <v>7.2289156626505999</v>
      </c>
      <c r="AB3" s="7">
        <v>8.4337349397590398</v>
      </c>
      <c r="AC3" s="7">
        <v>7.4074074074074101</v>
      </c>
      <c r="AD3" s="7">
        <v>26.605504587155998</v>
      </c>
      <c r="AE3" s="7">
        <v>26.605504587155998</v>
      </c>
    </row>
    <row r="4" spans="1:31" x14ac:dyDescent="0.25">
      <c r="A4" s="8" t="s">
        <v>49</v>
      </c>
      <c r="B4" s="9" t="s">
        <v>50</v>
      </c>
      <c r="C4" s="9" t="s">
        <v>376</v>
      </c>
      <c r="D4" s="7">
        <v>8.5106382978723403</v>
      </c>
      <c r="E4" s="7">
        <v>8.5106382978723403</v>
      </c>
      <c r="F4" s="7"/>
      <c r="G4" s="7">
        <v>17.021276595744698</v>
      </c>
      <c r="H4" s="7">
        <v>17.021276595744698</v>
      </c>
      <c r="I4" s="7">
        <v>17.021276595744698</v>
      </c>
      <c r="J4" s="7">
        <v>17.021276595744698</v>
      </c>
      <c r="K4" s="7">
        <v>11.1111111111111</v>
      </c>
      <c r="L4" s="7">
        <v>11.1111111111111</v>
      </c>
      <c r="M4" s="7">
        <v>11.1111111111111</v>
      </c>
      <c r="N4" s="7">
        <v>11.1111111111111</v>
      </c>
      <c r="O4" s="7">
        <v>11.1111111111111</v>
      </c>
      <c r="P4" s="7">
        <v>7.9365079365079403</v>
      </c>
      <c r="Q4" s="7">
        <v>7.9365079365079403</v>
      </c>
      <c r="R4" s="7">
        <v>7.9365079365079403</v>
      </c>
      <c r="S4" s="7">
        <v>7.9365079365079403</v>
      </c>
      <c r="T4" s="7">
        <v>7.9365079365079403</v>
      </c>
      <c r="U4" s="7">
        <v>9.5238095238095202</v>
      </c>
      <c r="V4" s="7">
        <v>9.5238095238095202</v>
      </c>
      <c r="W4" s="7">
        <v>9.5238095238095202</v>
      </c>
      <c r="X4" s="7">
        <v>9.5238095238095202</v>
      </c>
      <c r="Y4" s="7">
        <v>9.5238095238095202</v>
      </c>
      <c r="Z4" s="7">
        <v>10.7692307692308</v>
      </c>
      <c r="AA4" s="7">
        <v>10.7692307692308</v>
      </c>
      <c r="AB4" s="7">
        <v>10.7692307692308</v>
      </c>
      <c r="AC4" s="7">
        <v>11.1111111111111</v>
      </c>
      <c r="AD4" s="7">
        <v>11.1111111111111</v>
      </c>
      <c r="AE4" s="7">
        <v>8.6956521739130395</v>
      </c>
    </row>
    <row r="5" spans="1:31" x14ac:dyDescent="0.25">
      <c r="A5" s="8" t="s">
        <v>57</v>
      </c>
      <c r="B5" s="9" t="s">
        <v>58</v>
      </c>
      <c r="C5" s="9" t="s">
        <v>376</v>
      </c>
      <c r="D5" s="7">
        <v>9.0090090090090094</v>
      </c>
      <c r="E5" s="7">
        <v>8.1081081081081106</v>
      </c>
      <c r="F5" s="7">
        <v>8.1081081081081106</v>
      </c>
      <c r="G5" s="7">
        <v>8.1081081081081106</v>
      </c>
      <c r="H5" s="7">
        <v>8.1081081081081106</v>
      </c>
      <c r="I5" s="7">
        <v>11.7117117117117</v>
      </c>
      <c r="J5" s="7">
        <v>11.7117117117117</v>
      </c>
      <c r="K5" s="7">
        <v>11.7117117117117</v>
      </c>
      <c r="L5" s="7">
        <v>11.7117117117117</v>
      </c>
      <c r="M5" s="7">
        <v>11.7117117117117</v>
      </c>
      <c r="N5" s="7">
        <v>15.315315315315299</v>
      </c>
      <c r="O5" s="7">
        <v>15.315315315315299</v>
      </c>
      <c r="P5" s="7">
        <v>15.315315315315299</v>
      </c>
      <c r="Q5" s="7">
        <v>15.315315315315299</v>
      </c>
      <c r="R5" s="7">
        <v>15.315315315315299</v>
      </c>
      <c r="S5" s="7">
        <v>15.748031496063</v>
      </c>
      <c r="T5" s="7">
        <v>15.748031496063</v>
      </c>
      <c r="U5" s="7"/>
      <c r="V5" s="7">
        <v>9.4488188976377891</v>
      </c>
      <c r="W5" s="7">
        <v>9.4488188976377891</v>
      </c>
      <c r="X5" s="7">
        <v>11.0236220472441</v>
      </c>
      <c r="Y5" s="7">
        <v>11.0236220472441</v>
      </c>
      <c r="Z5" s="7">
        <v>13.3858267716535</v>
      </c>
      <c r="AA5" s="7">
        <v>6.2992125984251999</v>
      </c>
      <c r="AB5" s="7">
        <v>6.2992125984251999</v>
      </c>
      <c r="AC5" s="7">
        <v>16.901408450704199</v>
      </c>
      <c r="AD5" s="7">
        <v>16.901408450704199</v>
      </c>
      <c r="AE5" s="7">
        <v>18.309859154929601</v>
      </c>
    </row>
    <row r="6" spans="1:31" x14ac:dyDescent="0.25">
      <c r="A6" s="8" t="s">
        <v>59</v>
      </c>
      <c r="B6" s="9" t="s">
        <v>60</v>
      </c>
      <c r="C6" s="9" t="s">
        <v>376</v>
      </c>
      <c r="D6" s="7"/>
      <c r="E6" s="7">
        <v>11.864406779661</v>
      </c>
      <c r="F6" s="7">
        <v>5.9829059829059803</v>
      </c>
      <c r="G6" s="7">
        <v>14.4067796610169</v>
      </c>
      <c r="H6" s="7">
        <v>14.4067796610169</v>
      </c>
      <c r="I6" s="7">
        <v>18.435754189944099</v>
      </c>
      <c r="J6" s="7">
        <v>18.435754189944099</v>
      </c>
      <c r="K6" s="7">
        <v>18.435754189944099</v>
      </c>
      <c r="L6" s="7">
        <v>30.508474576271201</v>
      </c>
      <c r="M6" s="7">
        <v>30.508474576271201</v>
      </c>
      <c r="N6" s="7">
        <v>30.508474576271201</v>
      </c>
      <c r="O6" s="7">
        <v>30.508474576271201</v>
      </c>
      <c r="P6" s="7">
        <v>31.355932203389798</v>
      </c>
      <c r="Q6" s="7">
        <v>32.075471698113198</v>
      </c>
      <c r="R6" s="7">
        <v>30.476190476190499</v>
      </c>
      <c r="S6" s="7">
        <v>30.476190476190499</v>
      </c>
      <c r="T6" s="7">
        <v>30.476190476190499</v>
      </c>
      <c r="U6" s="7">
        <v>30.476190476190499</v>
      </c>
      <c r="V6" s="7">
        <v>36.363636363636402</v>
      </c>
      <c r="W6" s="7">
        <v>36.363636363636402</v>
      </c>
      <c r="X6" s="7">
        <v>36.363636363636402</v>
      </c>
      <c r="Y6" s="7">
        <v>36.363636363636402</v>
      </c>
      <c r="Z6" s="7">
        <v>36.363636363636402</v>
      </c>
      <c r="AA6" s="7">
        <v>38.211382113821102</v>
      </c>
      <c r="AB6" s="7">
        <v>38.211382113821102</v>
      </c>
      <c r="AC6" s="7">
        <v>38.211382113821102</v>
      </c>
      <c r="AD6" s="7">
        <v>38.211382113821102</v>
      </c>
      <c r="AE6" s="7">
        <v>38.211382113821102</v>
      </c>
    </row>
    <row r="7" spans="1:31" x14ac:dyDescent="0.25">
      <c r="A7" s="8" t="s">
        <v>61</v>
      </c>
      <c r="B7" s="9" t="s">
        <v>62</v>
      </c>
      <c r="C7" s="9" t="s">
        <v>376</v>
      </c>
      <c r="D7" s="7">
        <v>11.1111111111111</v>
      </c>
      <c r="E7" s="7">
        <v>11.1111111111111</v>
      </c>
      <c r="F7" s="7">
        <v>11.1111111111111</v>
      </c>
      <c r="G7" s="7">
        <v>11.1111111111111</v>
      </c>
      <c r="H7" s="7">
        <v>11.1111111111111</v>
      </c>
      <c r="I7" s="7">
        <v>11.1111111111111</v>
      </c>
      <c r="J7" s="7">
        <v>11.1111111111111</v>
      </c>
      <c r="K7" s="7">
        <v>11.1111111111111</v>
      </c>
      <c r="L7" s="7">
        <v>11.1111111111111</v>
      </c>
      <c r="M7" s="7">
        <v>15.2777777777778</v>
      </c>
      <c r="N7" s="7">
        <v>18.0555555555556</v>
      </c>
      <c r="O7" s="7">
        <v>18.0555555555556</v>
      </c>
      <c r="P7" s="7">
        <v>18.0555555555556</v>
      </c>
      <c r="Q7" s="7">
        <v>18.0555555555556</v>
      </c>
      <c r="R7" s="7">
        <v>20.8333333333333</v>
      </c>
      <c r="S7" s="7">
        <v>20.8333333333333</v>
      </c>
      <c r="T7" s="7">
        <v>20.8333333333333</v>
      </c>
      <c r="U7" s="7">
        <v>20.8333333333333</v>
      </c>
      <c r="V7" s="7">
        <v>20.8333333333333</v>
      </c>
      <c r="W7" s="7">
        <v>23.6111111111111</v>
      </c>
      <c r="X7" s="7">
        <v>23.6111111111111</v>
      </c>
      <c r="Y7" s="7">
        <v>23.6111111111111</v>
      </c>
      <c r="Z7" s="7">
        <v>23.6111111111111</v>
      </c>
      <c r="AA7" s="7">
        <v>25</v>
      </c>
      <c r="AB7" s="7">
        <v>38.8888888888889</v>
      </c>
      <c r="AC7" s="7">
        <v>38.8888888888889</v>
      </c>
      <c r="AD7" s="7">
        <v>41.6666666666667</v>
      </c>
      <c r="AE7" s="7">
        <v>38.8888888888889</v>
      </c>
    </row>
    <row r="8" spans="1:31" x14ac:dyDescent="0.25">
      <c r="A8" s="8" t="s">
        <v>65</v>
      </c>
      <c r="B8" s="9" t="s">
        <v>66</v>
      </c>
      <c r="C8" s="9" t="s">
        <v>376</v>
      </c>
      <c r="D8" s="7">
        <v>5.5555555555555598</v>
      </c>
      <c r="E8" s="7">
        <v>5.5555555555555598</v>
      </c>
      <c r="F8" s="7">
        <v>5.5555555555555598</v>
      </c>
      <c r="G8" s="7">
        <v>5.5555555555555598</v>
      </c>
      <c r="H8" s="7">
        <v>5.5555555555555598</v>
      </c>
      <c r="I8" s="7">
        <v>8.8888888888888893</v>
      </c>
      <c r="J8" s="7">
        <v>8.8888888888888893</v>
      </c>
      <c r="K8" s="7">
        <v>8.8888888888888893</v>
      </c>
      <c r="L8" s="7">
        <v>8.8888888888888893</v>
      </c>
      <c r="M8" s="7">
        <v>8.8888888888888893</v>
      </c>
      <c r="N8" s="7">
        <v>13.8888888888889</v>
      </c>
      <c r="O8" s="7">
        <v>13.8888888888889</v>
      </c>
      <c r="P8" s="7">
        <v>13.8888888888889</v>
      </c>
      <c r="Q8" s="7">
        <v>13.8888888888889</v>
      </c>
      <c r="R8" s="7">
        <v>13.8888888888889</v>
      </c>
      <c r="S8" s="7">
        <v>13.8888888888889</v>
      </c>
      <c r="T8" s="7">
        <v>31.1111111111111</v>
      </c>
      <c r="U8" s="7">
        <v>31.1111111111111</v>
      </c>
      <c r="V8" s="7">
        <v>31.1111111111111</v>
      </c>
      <c r="W8" s="7">
        <v>31.1111111111111</v>
      </c>
      <c r="X8" s="7">
        <v>31.1111111111111</v>
      </c>
      <c r="Y8" s="7">
        <v>31.1111111111111</v>
      </c>
      <c r="Z8" s="7">
        <v>31.1111111111111</v>
      </c>
      <c r="AA8" s="7">
        <v>33.8888888888889</v>
      </c>
      <c r="AB8" s="7">
        <v>33.8888888888889</v>
      </c>
      <c r="AC8" s="7">
        <v>33.8888888888889</v>
      </c>
      <c r="AD8" s="7">
        <v>33.8888888888889</v>
      </c>
      <c r="AE8" s="7">
        <v>33.8888888888889</v>
      </c>
    </row>
    <row r="9" spans="1:31" x14ac:dyDescent="0.25">
      <c r="A9" s="8" t="s">
        <v>69</v>
      </c>
      <c r="B9" s="9" t="s">
        <v>70</v>
      </c>
      <c r="C9" s="9" t="s">
        <v>376</v>
      </c>
      <c r="D9" s="7">
        <v>3.52941176470588</v>
      </c>
      <c r="E9" s="7">
        <v>3.52941176470588</v>
      </c>
      <c r="F9" s="7">
        <v>7.3394495412843996</v>
      </c>
      <c r="G9" s="7">
        <v>7.3394495412843996</v>
      </c>
      <c r="H9" s="7">
        <v>7.3394495412843996</v>
      </c>
      <c r="I9" s="7">
        <v>7.3394495412843996</v>
      </c>
      <c r="J9" s="7"/>
      <c r="K9" s="7"/>
      <c r="L9" s="7">
        <v>10.476190476190499</v>
      </c>
      <c r="M9" s="7">
        <v>10.476190476190499</v>
      </c>
      <c r="N9" s="7">
        <v>10.476190476190499</v>
      </c>
      <c r="O9" s="7">
        <v>10.476190476190499</v>
      </c>
      <c r="P9" s="7">
        <v>9.6153846153846203</v>
      </c>
      <c r="Q9" s="7">
        <v>9.6153846153846203</v>
      </c>
      <c r="R9" s="7">
        <v>12.5</v>
      </c>
      <c r="S9" s="7">
        <v>12.5</v>
      </c>
      <c r="T9" s="7"/>
      <c r="U9" s="7"/>
      <c r="V9" s="7"/>
      <c r="W9" s="7">
        <v>7.19424460431655</v>
      </c>
      <c r="X9" s="7">
        <v>8.5714285714285694</v>
      </c>
      <c r="Y9" s="7">
        <v>8.5714285714285694</v>
      </c>
      <c r="Z9" s="7">
        <v>8.5714285714285694</v>
      </c>
      <c r="AA9" s="7">
        <v>8.5714285714285694</v>
      </c>
      <c r="AB9" s="7">
        <v>12.8571428571429</v>
      </c>
      <c r="AC9" s="7">
        <v>12.8571428571429</v>
      </c>
      <c r="AD9" s="7">
        <v>12.8571428571429</v>
      </c>
      <c r="AE9" s="7">
        <v>11.4285714285714</v>
      </c>
    </row>
    <row r="10" spans="1:31" x14ac:dyDescent="0.25">
      <c r="A10" s="8" t="s">
        <v>71</v>
      </c>
      <c r="B10" s="9" t="s">
        <v>72</v>
      </c>
      <c r="C10" s="9" t="s">
        <v>376</v>
      </c>
      <c r="D10" s="7">
        <v>2.4</v>
      </c>
      <c r="E10" s="7">
        <v>2.4</v>
      </c>
      <c r="F10" s="7">
        <v>2.4</v>
      </c>
      <c r="G10" s="7">
        <v>2.4</v>
      </c>
      <c r="H10" s="7">
        <v>2.4</v>
      </c>
      <c r="I10" s="7"/>
      <c r="J10" s="7">
        <v>5.8064516129032304</v>
      </c>
      <c r="K10" s="7">
        <v>6.4516129032258096</v>
      </c>
      <c r="L10" s="7">
        <v>6.4516129032258096</v>
      </c>
      <c r="M10" s="7">
        <v>6.4516129032258096</v>
      </c>
      <c r="N10" s="7">
        <v>5.1612903225806503</v>
      </c>
      <c r="O10" s="7">
        <v>5.1612903225806503</v>
      </c>
      <c r="P10" s="7">
        <v>5.1612903225806503</v>
      </c>
      <c r="Q10" s="7">
        <v>5.1612903225806503</v>
      </c>
      <c r="R10" s="7">
        <v>12.7659574468085</v>
      </c>
      <c r="S10" s="7">
        <v>14.893617021276601</v>
      </c>
      <c r="T10" s="7">
        <v>14.893617021276601</v>
      </c>
      <c r="U10" s="7">
        <v>14.893617021276601</v>
      </c>
      <c r="V10" s="7">
        <v>14.893617021276601</v>
      </c>
      <c r="W10" s="7">
        <v>14.893617021276601</v>
      </c>
      <c r="X10" s="7">
        <v>12.7659574468085</v>
      </c>
      <c r="Y10" s="7">
        <v>15.254237288135601</v>
      </c>
      <c r="Z10" s="7">
        <v>14.880952380952399</v>
      </c>
      <c r="AA10" s="7">
        <v>15.4320987654321</v>
      </c>
      <c r="AB10" s="7">
        <v>32.258064516128997</v>
      </c>
      <c r="AC10" s="7">
        <v>25.888324873096401</v>
      </c>
      <c r="AD10" s="7">
        <v>25.888324873096501</v>
      </c>
      <c r="AE10" s="7">
        <v>26.108374384236502</v>
      </c>
    </row>
    <row r="11" spans="1:31" x14ac:dyDescent="0.25">
      <c r="A11" s="8" t="s">
        <v>79</v>
      </c>
      <c r="B11" s="9" t="s">
        <v>80</v>
      </c>
      <c r="C11" s="9" t="s">
        <v>376</v>
      </c>
      <c r="D11" s="7">
        <v>0</v>
      </c>
      <c r="E11" s="7">
        <v>0</v>
      </c>
      <c r="F11" s="7"/>
      <c r="G11" s="7"/>
      <c r="H11" s="7"/>
      <c r="I11" s="7"/>
      <c r="J11" s="7"/>
      <c r="K11" s="7">
        <v>3.0303030303030298</v>
      </c>
      <c r="L11" s="7">
        <v>3.0303030303030298</v>
      </c>
      <c r="M11" s="7">
        <v>3.0303030303030298</v>
      </c>
      <c r="N11" s="7">
        <v>3.0303030303030298</v>
      </c>
      <c r="O11" s="7">
        <v>3.0303030303030298</v>
      </c>
      <c r="P11" s="7">
        <v>0</v>
      </c>
      <c r="Q11" s="7">
        <v>3.0303030303030298</v>
      </c>
      <c r="R11" s="7">
        <v>3.0303030303030298</v>
      </c>
      <c r="S11" s="7">
        <v>3.0303030303030298</v>
      </c>
      <c r="T11" s="7">
        <v>3.0303030303030298</v>
      </c>
      <c r="U11" s="7">
        <v>3.0303030303030298</v>
      </c>
      <c r="V11" s="7">
        <v>3.0303030303030298</v>
      </c>
      <c r="W11" s="7">
        <v>3.0303030303030298</v>
      </c>
      <c r="X11" s="7">
        <v>6.0606060606060597</v>
      </c>
      <c r="Y11" s="7">
        <v>6.0606060606060597</v>
      </c>
      <c r="Z11" s="7">
        <v>6.0606060606060597</v>
      </c>
      <c r="AA11" s="7">
        <v>16.6666666666667</v>
      </c>
      <c r="AB11" s="7">
        <v>16.6666666666667</v>
      </c>
      <c r="AC11" s="7">
        <v>16.6666666666667</v>
      </c>
      <c r="AD11" s="7">
        <v>16.6666666666667</v>
      </c>
      <c r="AE11" s="7">
        <v>16.6666666666667</v>
      </c>
    </row>
    <row r="12" spans="1:31" x14ac:dyDescent="0.25">
      <c r="A12" s="8" t="s">
        <v>81</v>
      </c>
      <c r="B12" s="9" t="s">
        <v>82</v>
      </c>
      <c r="C12" s="9" t="s">
        <v>376</v>
      </c>
      <c r="D12" s="7"/>
      <c r="E12" s="7"/>
      <c r="F12" s="7"/>
      <c r="G12" s="7"/>
      <c r="H12" s="7"/>
      <c r="I12" s="7"/>
      <c r="J12" s="7"/>
      <c r="K12" s="7">
        <v>12</v>
      </c>
      <c r="L12" s="7">
        <v>12</v>
      </c>
      <c r="M12" s="7">
        <v>8.4</v>
      </c>
      <c r="N12" s="7">
        <v>8.4</v>
      </c>
      <c r="O12" s="7">
        <v>8.4</v>
      </c>
      <c r="P12" s="7">
        <v>8.4</v>
      </c>
      <c r="Q12" s="7">
        <v>8.4</v>
      </c>
      <c r="R12" s="7"/>
      <c r="S12" s="7">
        <v>8.9430894308943092</v>
      </c>
      <c r="T12" s="7">
        <v>8.9430894308943092</v>
      </c>
      <c r="U12" s="7">
        <v>10.642570281124501</v>
      </c>
      <c r="V12" s="7">
        <v>8.9430894308943092</v>
      </c>
      <c r="W12" s="7">
        <v>8.9430894308943092</v>
      </c>
      <c r="X12" s="7">
        <v>8.9430894308943092</v>
      </c>
      <c r="Y12" s="7">
        <v>8.9430894308943092</v>
      </c>
      <c r="Z12" s="7">
        <v>10</v>
      </c>
      <c r="AA12" s="7">
        <v>12.8</v>
      </c>
      <c r="AB12" s="7">
        <v>12.8</v>
      </c>
      <c r="AC12" s="7">
        <v>12.8</v>
      </c>
      <c r="AD12" s="7">
        <v>12.8</v>
      </c>
      <c r="AE12" s="7">
        <v>12.9979035639413</v>
      </c>
    </row>
    <row r="13" spans="1:31" x14ac:dyDescent="0.25">
      <c r="A13" s="8" t="s">
        <v>83</v>
      </c>
      <c r="B13" s="9" t="s">
        <v>84</v>
      </c>
      <c r="C13" s="9" t="s">
        <v>376</v>
      </c>
      <c r="D13" s="7"/>
      <c r="E13" s="7">
        <v>12</v>
      </c>
      <c r="F13" s="7">
        <v>12</v>
      </c>
      <c r="G13" s="7">
        <v>12</v>
      </c>
      <c r="H13" s="7">
        <v>12</v>
      </c>
      <c r="I13" s="7"/>
      <c r="J13" s="7">
        <v>8.5271317829457391</v>
      </c>
      <c r="K13" s="7">
        <v>8.5271317829457391</v>
      </c>
      <c r="L13" s="7">
        <v>8.5271317829457391</v>
      </c>
      <c r="M13" s="7">
        <v>8.5271317829457391</v>
      </c>
      <c r="N13" s="7">
        <v>7.2992700729926998</v>
      </c>
      <c r="O13" s="7">
        <v>7.2992700729926998</v>
      </c>
      <c r="P13" s="7">
        <v>7.2992700729926998</v>
      </c>
      <c r="Q13" s="7">
        <v>7.2992700729926998</v>
      </c>
      <c r="R13" s="7">
        <v>7.2992700729926998</v>
      </c>
      <c r="S13" s="7">
        <v>7.3529411764705896</v>
      </c>
      <c r="T13" s="7">
        <v>7.3529411764705896</v>
      </c>
      <c r="U13" s="7">
        <v>7.3529411764705896</v>
      </c>
      <c r="V13" s="7">
        <v>7.3529411764705896</v>
      </c>
      <c r="W13" s="7">
        <v>7.3529411764705896</v>
      </c>
      <c r="X13" s="7">
        <v>11.2582781456954</v>
      </c>
      <c r="Y13" s="7">
        <v>11.2582781456954</v>
      </c>
      <c r="Z13" s="7">
        <v>11.2582781456954</v>
      </c>
      <c r="AA13" s="7">
        <v>11.2582781456954</v>
      </c>
      <c r="AB13" s="7">
        <v>11.2582781456954</v>
      </c>
      <c r="AC13" s="7">
        <v>14.5695364238411</v>
      </c>
      <c r="AD13" s="7">
        <v>14.5695364238411</v>
      </c>
      <c r="AE13" s="7">
        <v>14.5695364238411</v>
      </c>
    </row>
    <row r="14" spans="1:31" x14ac:dyDescent="0.25">
      <c r="A14" s="8" t="s">
        <v>87</v>
      </c>
      <c r="B14" s="9" t="s">
        <v>88</v>
      </c>
      <c r="C14" s="9" t="s">
        <v>376</v>
      </c>
      <c r="D14" s="7">
        <v>8</v>
      </c>
      <c r="E14" s="7">
        <v>8</v>
      </c>
      <c r="F14" s="7">
        <v>8</v>
      </c>
      <c r="G14" s="7"/>
      <c r="H14" s="7">
        <v>8.52017937219731</v>
      </c>
      <c r="I14" s="7">
        <v>8.52017937219731</v>
      </c>
      <c r="J14" s="7">
        <v>8.52017937219731</v>
      </c>
      <c r="K14" s="7">
        <v>8.52017937219731</v>
      </c>
      <c r="L14" s="7">
        <v>8.52017937219731</v>
      </c>
      <c r="M14" s="7">
        <v>8.52017937219731</v>
      </c>
      <c r="N14" s="7">
        <v>8.8669950738916299</v>
      </c>
      <c r="O14" s="7">
        <v>8.8669950738916299</v>
      </c>
      <c r="P14" s="7">
        <v>8.8669950738916299</v>
      </c>
      <c r="Q14" s="7">
        <v>8.8669950738916299</v>
      </c>
      <c r="R14" s="7">
        <v>11.0236220472441</v>
      </c>
      <c r="S14" s="7">
        <v>10.4417670682731</v>
      </c>
      <c r="T14" s="7">
        <v>10.4417670682731</v>
      </c>
      <c r="U14" s="7">
        <v>9.4488188976377891</v>
      </c>
      <c r="V14" s="7">
        <v>9.1633466135458193</v>
      </c>
      <c r="W14" s="7">
        <v>9.1633466135458193</v>
      </c>
      <c r="X14" s="7">
        <v>10.588235294117601</v>
      </c>
      <c r="Y14" s="7">
        <v>10.588235294117601</v>
      </c>
      <c r="Z14" s="7">
        <v>10.980392156862701</v>
      </c>
      <c r="AA14" s="7">
        <v>11.372549019607799</v>
      </c>
      <c r="AB14" s="7">
        <v>14.1732283464567</v>
      </c>
      <c r="AC14" s="7">
        <v>14.1732283464567</v>
      </c>
      <c r="AD14" s="7">
        <v>13.7254901960784</v>
      </c>
      <c r="AE14" s="7">
        <v>13.3858267716535</v>
      </c>
    </row>
    <row r="15" spans="1:31" x14ac:dyDescent="0.25">
      <c r="A15" s="8" t="s">
        <v>107</v>
      </c>
      <c r="B15" s="9" t="s">
        <v>108</v>
      </c>
      <c r="C15" s="9" t="s">
        <v>376</v>
      </c>
      <c r="D15" s="7">
        <v>8.75</v>
      </c>
      <c r="E15" s="7">
        <v>8.75</v>
      </c>
      <c r="F15" s="7">
        <v>5</v>
      </c>
      <c r="G15" s="7">
        <v>5</v>
      </c>
      <c r="H15" s="7">
        <v>5</v>
      </c>
      <c r="I15" s="7">
        <v>5</v>
      </c>
      <c r="J15" s="7">
        <v>5</v>
      </c>
      <c r="K15" s="7">
        <v>18</v>
      </c>
      <c r="L15" s="7">
        <v>18</v>
      </c>
      <c r="M15" s="7">
        <v>18</v>
      </c>
      <c r="N15" s="7">
        <v>18</v>
      </c>
      <c r="O15" s="7">
        <v>6</v>
      </c>
      <c r="P15" s="7">
        <v>10</v>
      </c>
      <c r="Q15" s="7">
        <v>10</v>
      </c>
      <c r="R15" s="7">
        <v>10</v>
      </c>
      <c r="S15" s="7">
        <v>10</v>
      </c>
      <c r="T15" s="7">
        <v>12.1212121212121</v>
      </c>
      <c r="U15" s="7">
        <v>24</v>
      </c>
      <c r="V15" s="7">
        <v>24</v>
      </c>
      <c r="W15" s="7">
        <v>24</v>
      </c>
      <c r="X15" s="7"/>
      <c r="Y15" s="7">
        <v>20</v>
      </c>
      <c r="Z15" s="7">
        <v>21</v>
      </c>
      <c r="AA15" s="7">
        <v>21</v>
      </c>
      <c r="AB15" s="7">
        <v>23</v>
      </c>
      <c r="AC15" s="7">
        <v>31</v>
      </c>
      <c r="AD15" s="7">
        <v>31</v>
      </c>
      <c r="AE15" s="7">
        <v>32</v>
      </c>
    </row>
    <row r="16" spans="1:31" x14ac:dyDescent="0.25">
      <c r="A16" s="8" t="s">
        <v>109</v>
      </c>
      <c r="B16" s="9" t="s">
        <v>110</v>
      </c>
      <c r="C16" s="9" t="s">
        <v>376</v>
      </c>
      <c r="D16" s="7">
        <v>20.952380952380999</v>
      </c>
      <c r="E16" s="7">
        <v>20.952380952380999</v>
      </c>
      <c r="F16" s="7">
        <v>14.6666666666667</v>
      </c>
      <c r="G16" s="7">
        <v>14.6666666666667</v>
      </c>
      <c r="H16" s="7">
        <v>14.6666666666667</v>
      </c>
      <c r="I16" s="7">
        <v>22</v>
      </c>
      <c r="J16" s="7">
        <v>22</v>
      </c>
      <c r="K16" s="7">
        <v>22</v>
      </c>
      <c r="L16" s="7">
        <v>22</v>
      </c>
      <c r="M16" s="7">
        <v>22</v>
      </c>
      <c r="N16" s="7">
        <v>22</v>
      </c>
      <c r="O16" s="7">
        <v>22</v>
      </c>
      <c r="P16" s="7">
        <v>22</v>
      </c>
      <c r="Q16" s="7">
        <v>22</v>
      </c>
      <c r="R16" s="7">
        <v>22</v>
      </c>
      <c r="S16" s="7">
        <v>22</v>
      </c>
      <c r="T16" s="7">
        <v>22</v>
      </c>
      <c r="U16" s="7">
        <v>22</v>
      </c>
      <c r="V16" s="7">
        <v>22</v>
      </c>
      <c r="W16" s="7">
        <v>22</v>
      </c>
      <c r="X16" s="7">
        <v>22</v>
      </c>
      <c r="Y16" s="7">
        <v>22</v>
      </c>
      <c r="Z16" s="7">
        <v>22</v>
      </c>
      <c r="AA16" s="7"/>
      <c r="AB16" s="7"/>
      <c r="AC16" s="7"/>
      <c r="AD16" s="7"/>
      <c r="AE16" s="7"/>
    </row>
    <row r="17" spans="1:31" x14ac:dyDescent="0.25">
      <c r="A17" s="8" t="s">
        <v>113</v>
      </c>
      <c r="B17" s="9" t="s">
        <v>114</v>
      </c>
      <c r="C17" s="9" t="s">
        <v>376</v>
      </c>
      <c r="D17" s="7">
        <v>3.125</v>
      </c>
      <c r="E17" s="7">
        <v>3.125</v>
      </c>
      <c r="F17" s="7">
        <v>3.0769230769230802</v>
      </c>
      <c r="G17" s="7">
        <v>3.0769230769230802</v>
      </c>
      <c r="H17" s="7">
        <v>3.0769230769230802</v>
      </c>
      <c r="I17" s="7">
        <v>3.0769230769230802</v>
      </c>
      <c r="J17" s="7">
        <v>10.7692307692308</v>
      </c>
      <c r="K17" s="7">
        <v>10.7692307692308</v>
      </c>
      <c r="L17" s="7">
        <v>10.7692307692308</v>
      </c>
      <c r="M17" s="7">
        <v>10.7692307692308</v>
      </c>
      <c r="N17" s="7">
        <v>10.7692307692308</v>
      </c>
      <c r="O17" s="7">
        <v>13.846153846153801</v>
      </c>
      <c r="P17" s="7">
        <v>13.636363636363599</v>
      </c>
      <c r="Q17" s="7">
        <v>13.636363636363599</v>
      </c>
      <c r="R17" s="7">
        <v>13.636363636363599</v>
      </c>
      <c r="S17" s="7">
        <v>13.636363636363599</v>
      </c>
      <c r="T17" s="7">
        <v>6.1538461538461497</v>
      </c>
      <c r="U17" s="7">
        <v>6.1538461538461497</v>
      </c>
      <c r="V17" s="7">
        <v>6.1538461538461497</v>
      </c>
      <c r="W17" s="7">
        <v>6.1538461538461497</v>
      </c>
      <c r="X17" s="7">
        <v>6.1538461538461497</v>
      </c>
      <c r="Y17" s="7">
        <v>7.2463768115942004</v>
      </c>
      <c r="Z17" s="7">
        <v>7.2463768115942004</v>
      </c>
      <c r="AA17" s="7">
        <v>9.5890410958904102</v>
      </c>
      <c r="AB17" s="7">
        <v>9.5890410958904102</v>
      </c>
      <c r="AC17" s="7">
        <v>13.5135135135135</v>
      </c>
      <c r="AD17" s="7">
        <v>17.1428571428571</v>
      </c>
      <c r="AE17" s="7">
        <v>21.6216216216216</v>
      </c>
    </row>
    <row r="18" spans="1:31" x14ac:dyDescent="0.25">
      <c r="A18" s="8" t="s">
        <v>115</v>
      </c>
      <c r="B18" s="9" t="s">
        <v>116</v>
      </c>
      <c r="C18" s="9" t="s">
        <v>376</v>
      </c>
      <c r="D18" s="7">
        <v>2.0484171322160099</v>
      </c>
      <c r="E18" s="7">
        <v>2.0484171322160099</v>
      </c>
      <c r="F18" s="7">
        <v>2.0257826887661099</v>
      </c>
      <c r="G18" s="7">
        <v>7.6923076923076898</v>
      </c>
      <c r="H18" s="7">
        <v>7.6782449725776996</v>
      </c>
      <c r="I18" s="7">
        <v>7.6782449725776996</v>
      </c>
      <c r="J18" s="7">
        <v>7.6782449725776996</v>
      </c>
      <c r="K18" s="7">
        <v>7.6782449725776996</v>
      </c>
      <c r="L18" s="7">
        <v>21.428571428571399</v>
      </c>
      <c r="M18" s="7">
        <v>21.928166351606801</v>
      </c>
      <c r="N18" s="7">
        <v>21.928166351606801</v>
      </c>
      <c r="O18" s="7">
        <v>21.928166351606801</v>
      </c>
      <c r="P18" s="7">
        <v>21.928166351606801</v>
      </c>
      <c r="Q18" s="7">
        <v>27.787934186471698</v>
      </c>
      <c r="R18" s="7">
        <v>27.787934186471698</v>
      </c>
      <c r="S18" s="7">
        <v>27.787934186471698</v>
      </c>
      <c r="T18" s="7">
        <v>27.787934186471698</v>
      </c>
      <c r="U18" s="7">
        <v>27.787934186471698</v>
      </c>
      <c r="V18" s="7">
        <v>38.7568555758684</v>
      </c>
      <c r="W18" s="7">
        <v>38.7568555758684</v>
      </c>
      <c r="X18" s="7">
        <v>38.7568555758684</v>
      </c>
      <c r="Y18" s="7">
        <v>38.7568555758684</v>
      </c>
      <c r="Z18" s="7">
        <v>38.7568555758684</v>
      </c>
      <c r="AA18" s="7">
        <v>38.7568555758684</v>
      </c>
      <c r="AB18" s="7">
        <v>42.588235294117702</v>
      </c>
      <c r="AC18" s="7">
        <v>41.489361702127702</v>
      </c>
      <c r="AD18" s="7">
        <v>41.313559322033903</v>
      </c>
      <c r="AE18" s="7">
        <v>41.313559322033903</v>
      </c>
    </row>
    <row r="19" spans="1:31" x14ac:dyDescent="0.25">
      <c r="A19" s="8" t="s">
        <v>123</v>
      </c>
      <c r="B19" s="9" t="s">
        <v>124</v>
      </c>
      <c r="C19" s="9" t="s">
        <v>376</v>
      </c>
      <c r="D19" s="7">
        <v>8.3333333333333304</v>
      </c>
      <c r="E19" s="7">
        <v>8.3333333333333304</v>
      </c>
      <c r="F19" s="7">
        <v>8.3333333333333304</v>
      </c>
      <c r="G19" s="7">
        <v>9.1666666666666696</v>
      </c>
      <c r="H19" s="7">
        <v>9.1666666666666696</v>
      </c>
      <c r="I19" s="7">
        <v>9.2436974789915993</v>
      </c>
      <c r="J19" s="7">
        <v>9.2436974789915993</v>
      </c>
      <c r="K19" s="7">
        <v>9.2436974789915993</v>
      </c>
      <c r="L19" s="7">
        <v>9.2436974789915993</v>
      </c>
      <c r="M19" s="7">
        <v>12.5</v>
      </c>
      <c r="N19" s="7">
        <v>16.6666666666667</v>
      </c>
      <c r="O19" s="7">
        <v>16.6666666666667</v>
      </c>
      <c r="P19" s="7">
        <v>14.6551724137931</v>
      </c>
      <c r="Q19" s="7">
        <v>14.6551724137931</v>
      </c>
      <c r="R19" s="7">
        <v>14.1666666666667</v>
      </c>
      <c r="S19" s="7">
        <v>15.789473684210501</v>
      </c>
      <c r="T19" s="7">
        <v>15.789473684210501</v>
      </c>
      <c r="U19" s="7">
        <v>15</v>
      </c>
      <c r="V19" s="7">
        <v>14.1666666666667</v>
      </c>
      <c r="W19" s="7">
        <v>14.1666666666667</v>
      </c>
      <c r="X19" s="7">
        <v>17.094017094017101</v>
      </c>
      <c r="Y19" s="7"/>
      <c r="Z19" s="7">
        <v>17.910447761194</v>
      </c>
      <c r="AA19" s="7">
        <v>14.7887323943662</v>
      </c>
      <c r="AB19" s="7">
        <v>16.197183098591601</v>
      </c>
      <c r="AC19" s="7">
        <v>15.384615384615399</v>
      </c>
      <c r="AD19" s="7">
        <v>24.4897959183673</v>
      </c>
      <c r="AE19" s="7">
        <v>25.5102040816327</v>
      </c>
    </row>
    <row r="20" spans="1:31" x14ac:dyDescent="0.25">
      <c r="A20" s="8" t="s">
        <v>125</v>
      </c>
      <c r="B20" s="9" t="s">
        <v>126</v>
      </c>
      <c r="C20" s="9" t="s">
        <v>376</v>
      </c>
      <c r="D20" s="7">
        <v>2.0408163265306101</v>
      </c>
      <c r="E20" s="7">
        <v>2.0408163265306101</v>
      </c>
      <c r="F20" s="7">
        <v>2.0408163265306101</v>
      </c>
      <c r="G20" s="7">
        <v>2.0408163265306101</v>
      </c>
      <c r="H20" s="7">
        <v>2.0408163265306101</v>
      </c>
      <c r="I20" s="7">
        <v>5.6603773584905701</v>
      </c>
      <c r="J20" s="7">
        <v>13.207547169811299</v>
      </c>
      <c r="K20" s="7">
        <v>13.207547169811299</v>
      </c>
      <c r="L20" s="7">
        <v>13.207547169811299</v>
      </c>
      <c r="M20" s="7">
        <v>13.207547169811299</v>
      </c>
      <c r="N20" s="7">
        <v>9.4339622641509404</v>
      </c>
      <c r="O20" s="7">
        <v>9.4339622641509404</v>
      </c>
      <c r="P20" s="7">
        <v>7.5471698113207504</v>
      </c>
      <c r="Q20" s="7">
        <v>7.5471698113207504</v>
      </c>
      <c r="R20" s="7">
        <v>7.5471698113207504</v>
      </c>
      <c r="S20" s="7">
        <v>7.5471698113207504</v>
      </c>
      <c r="T20" s="7">
        <v>7.5471698113207504</v>
      </c>
      <c r="U20" s="7">
        <v>9.4339622641509404</v>
      </c>
      <c r="V20" s="7">
        <v>9.4339622641509404</v>
      </c>
      <c r="W20" s="7">
        <v>9.4339622641509404</v>
      </c>
      <c r="X20" s="7">
        <v>10.3448275862069</v>
      </c>
      <c r="Y20" s="7">
        <v>10.3448275862069</v>
      </c>
      <c r="Z20" s="7">
        <v>10.3448275862069</v>
      </c>
      <c r="AA20" s="7">
        <v>8.6206896551724093</v>
      </c>
      <c r="AB20" s="7">
        <v>8.6206896551724093</v>
      </c>
      <c r="AC20" s="7">
        <v>8.6206896551724093</v>
      </c>
      <c r="AD20" s="7">
        <v>8.6206896551724093</v>
      </c>
      <c r="AE20" s="7"/>
    </row>
    <row r="21" spans="1:31" x14ac:dyDescent="0.25">
      <c r="A21" s="8" t="s">
        <v>131</v>
      </c>
      <c r="B21" s="9" t="s">
        <v>132</v>
      </c>
      <c r="C21" s="9" t="s">
        <v>376</v>
      </c>
      <c r="D21" s="7">
        <v>9</v>
      </c>
      <c r="E21" s="7">
        <v>9</v>
      </c>
      <c r="F21" s="7">
        <v>9</v>
      </c>
      <c r="G21" s="7"/>
      <c r="H21" s="7">
        <v>9</v>
      </c>
      <c r="I21" s="7">
        <v>9</v>
      </c>
      <c r="J21" s="7">
        <v>9</v>
      </c>
      <c r="K21" s="7">
        <v>10.869565217391299</v>
      </c>
      <c r="L21" s="7">
        <v>10.869565217391299</v>
      </c>
      <c r="M21" s="7">
        <v>10.869565217391299</v>
      </c>
      <c r="N21" s="7">
        <v>10.869565217391299</v>
      </c>
      <c r="O21" s="7">
        <v>7.8947368421052602</v>
      </c>
      <c r="P21" s="7">
        <v>8.2608695652173907</v>
      </c>
      <c r="Q21" s="7">
        <v>8.2608695652173907</v>
      </c>
      <c r="R21" s="7">
        <v>8.2608695652173907</v>
      </c>
      <c r="S21" s="7"/>
      <c r="T21" s="7">
        <v>10.909090909090899</v>
      </c>
      <c r="U21" s="7">
        <v>10.909090909090899</v>
      </c>
      <c r="V21" s="7">
        <v>10.909090909090899</v>
      </c>
      <c r="W21" s="7">
        <v>10.909090909090899</v>
      </c>
      <c r="X21" s="7">
        <v>12.7272727272727</v>
      </c>
      <c r="Y21" s="7">
        <v>12.7272727272727</v>
      </c>
      <c r="Z21" s="7">
        <v>13.090909090909101</v>
      </c>
      <c r="AA21" s="7">
        <v>13.090909090909101</v>
      </c>
      <c r="AB21" s="7">
        <v>14.545454545454501</v>
      </c>
      <c r="AC21" s="7">
        <v>14.545454545454501</v>
      </c>
      <c r="AD21" s="7">
        <v>14.545454545454501</v>
      </c>
      <c r="AE21" s="7">
        <v>14.545454545454501</v>
      </c>
    </row>
    <row r="22" spans="1:31" x14ac:dyDescent="0.25">
      <c r="A22" s="8" t="s">
        <v>137</v>
      </c>
      <c r="B22" s="9" t="s">
        <v>138</v>
      </c>
      <c r="C22" s="9" t="s">
        <v>376</v>
      </c>
      <c r="D22" s="7">
        <v>7.0175438596491198</v>
      </c>
      <c r="E22" s="7">
        <v>8.7719298245614006</v>
      </c>
      <c r="F22" s="7">
        <v>8.7719298245614006</v>
      </c>
      <c r="G22" s="7">
        <v>8.7719298245614006</v>
      </c>
      <c r="H22" s="7">
        <v>8.7719298245614006</v>
      </c>
      <c r="I22" s="7"/>
      <c r="J22" s="7">
        <v>19.2982456140351</v>
      </c>
      <c r="K22" s="7">
        <v>19.2982456140351</v>
      </c>
      <c r="L22" s="7">
        <v>19.2982456140351</v>
      </c>
      <c r="M22" s="7">
        <v>19.2982456140351</v>
      </c>
      <c r="N22" s="7">
        <v>19.2982456140351</v>
      </c>
      <c r="O22" s="7"/>
      <c r="P22" s="7"/>
      <c r="Q22" s="7"/>
      <c r="R22" s="7"/>
      <c r="S22" s="7"/>
      <c r="T22" s="7"/>
      <c r="U22" s="7">
        <v>21.9298245614035</v>
      </c>
      <c r="V22" s="7">
        <v>21.9298245614035</v>
      </c>
      <c r="W22" s="7">
        <v>21.9298245614035</v>
      </c>
      <c r="X22" s="7">
        <v>21.9298245614035</v>
      </c>
      <c r="Y22" s="7">
        <v>21.9298245614035</v>
      </c>
      <c r="Z22" s="7">
        <v>22.807017543859601</v>
      </c>
      <c r="AA22" s="7">
        <v>16.6666666666667</v>
      </c>
      <c r="AB22" s="7"/>
      <c r="AC22" s="7">
        <v>29.629629629629601</v>
      </c>
      <c r="AD22" s="7">
        <v>29.629629629629601</v>
      </c>
      <c r="AE22" s="7">
        <v>29.629629629629601</v>
      </c>
    </row>
    <row r="23" spans="1:31" x14ac:dyDescent="0.25">
      <c r="A23" s="8" t="s">
        <v>139</v>
      </c>
      <c r="B23" s="9" t="s">
        <v>140</v>
      </c>
      <c r="C23" s="9" t="s">
        <v>376</v>
      </c>
      <c r="D23" s="7">
        <v>10</v>
      </c>
      <c r="E23" s="7">
        <v>10</v>
      </c>
      <c r="F23" s="7"/>
      <c r="G23" s="7">
        <v>7.8431372549019596</v>
      </c>
      <c r="H23" s="7">
        <v>7.8431372549019596</v>
      </c>
      <c r="I23" s="7">
        <v>7.8431372549019596</v>
      </c>
      <c r="J23" s="7"/>
      <c r="K23" s="7">
        <v>14</v>
      </c>
      <c r="L23" s="7">
        <v>14</v>
      </c>
      <c r="M23" s="7">
        <v>14</v>
      </c>
      <c r="N23" s="7">
        <v>14</v>
      </c>
      <c r="O23" s="7">
        <v>10</v>
      </c>
      <c r="P23" s="7">
        <v>10</v>
      </c>
      <c r="Q23" s="7">
        <v>10</v>
      </c>
      <c r="R23" s="7">
        <v>10</v>
      </c>
      <c r="S23" s="7">
        <v>14</v>
      </c>
      <c r="T23" s="7">
        <v>14</v>
      </c>
      <c r="U23" s="7">
        <v>13.7254901960784</v>
      </c>
      <c r="V23" s="7">
        <v>13.7254901960784</v>
      </c>
      <c r="W23" s="7">
        <v>13.7254901960784</v>
      </c>
      <c r="X23" s="7">
        <v>13.7254901960784</v>
      </c>
      <c r="Y23" s="7">
        <v>13.7254901960784</v>
      </c>
      <c r="Z23" s="7">
        <v>13.7254901960784</v>
      </c>
      <c r="AA23" s="7">
        <v>13.7254901960784</v>
      </c>
      <c r="AB23" s="7">
        <v>13.7254901960784</v>
      </c>
      <c r="AC23" s="7">
        <v>13.7254901960784</v>
      </c>
      <c r="AD23" s="7">
        <v>9.8039215686274499</v>
      </c>
      <c r="AE23" s="7">
        <v>9.8039215686274499</v>
      </c>
    </row>
    <row r="24" spans="1:31" x14ac:dyDescent="0.25">
      <c r="A24" s="8" t="s">
        <v>175</v>
      </c>
      <c r="B24" s="9" t="s">
        <v>176</v>
      </c>
      <c r="C24" s="9" t="s">
        <v>376</v>
      </c>
      <c r="D24" s="7">
        <v>2.9702970297029698</v>
      </c>
      <c r="E24" s="7">
        <v>3.6036036036036001</v>
      </c>
      <c r="F24" s="7">
        <v>3.5714285714285698</v>
      </c>
      <c r="G24" s="7">
        <v>3.5714285714285698</v>
      </c>
      <c r="H24" s="7">
        <v>3.5714285714285698</v>
      </c>
      <c r="I24" s="7">
        <v>3.5714285714285698</v>
      </c>
      <c r="J24" s="7">
        <v>7.1428571428571397</v>
      </c>
      <c r="K24" s="7">
        <v>7.1428571428571397</v>
      </c>
      <c r="L24" s="7">
        <v>7.1428571428571397</v>
      </c>
      <c r="M24" s="7">
        <v>7.3059360730593603</v>
      </c>
      <c r="N24" s="7">
        <v>7.2463768115942004</v>
      </c>
      <c r="O24" s="7">
        <v>9.8214285714285694</v>
      </c>
      <c r="P24" s="7">
        <v>9.8214285714285694</v>
      </c>
      <c r="Q24" s="7">
        <v>9.8214285714285694</v>
      </c>
      <c r="R24" s="7">
        <v>9.8214285714285694</v>
      </c>
      <c r="S24" s="7">
        <v>9.8214285714285694</v>
      </c>
      <c r="T24" s="7">
        <v>18.571428571428601</v>
      </c>
      <c r="U24" s="7">
        <v>19.1428571428571</v>
      </c>
      <c r="V24" s="7">
        <v>19.714285714285701</v>
      </c>
      <c r="W24" s="7">
        <v>19.714285714285701</v>
      </c>
      <c r="X24" s="7">
        <v>21.7765042979943</v>
      </c>
      <c r="Y24" s="7">
        <v>21.7765042979943</v>
      </c>
      <c r="Z24" s="7">
        <v>21.7765042979943</v>
      </c>
      <c r="AA24" s="7">
        <v>21.7765042979943</v>
      </c>
      <c r="AB24" s="7">
        <v>21.613832853025901</v>
      </c>
      <c r="AC24" s="7">
        <v>23.428571428571399</v>
      </c>
      <c r="AD24" s="7">
        <v>23.275862068965498</v>
      </c>
      <c r="AE24" s="7">
        <v>23.275862068965498</v>
      </c>
    </row>
    <row r="25" spans="1:31" x14ac:dyDescent="0.25">
      <c r="A25" s="8" t="s">
        <v>191</v>
      </c>
      <c r="B25" s="9" t="s">
        <v>192</v>
      </c>
      <c r="C25" s="9" t="s">
        <v>376</v>
      </c>
      <c r="D25" s="7">
        <v>4.6153846153846203</v>
      </c>
      <c r="E25" s="7">
        <v>3.75</v>
      </c>
      <c r="F25" s="7">
        <v>3.79746835443038</v>
      </c>
      <c r="G25" s="7">
        <v>3.79746835443038</v>
      </c>
      <c r="H25" s="7">
        <v>3.79746835443038</v>
      </c>
      <c r="I25" s="7"/>
      <c r="J25" s="7">
        <v>11.6666666666667</v>
      </c>
      <c r="K25" s="7">
        <v>11.6666666666667</v>
      </c>
      <c r="L25" s="7">
        <v>11.6666666666667</v>
      </c>
      <c r="M25" s="7">
        <v>11.6666666666667</v>
      </c>
      <c r="N25" s="7">
        <v>23.529411764705898</v>
      </c>
      <c r="O25" s="7">
        <v>25</v>
      </c>
      <c r="P25" s="7">
        <v>24.1666666666667</v>
      </c>
      <c r="Q25" s="7">
        <v>24.1666666666667</v>
      </c>
      <c r="R25" s="7">
        <v>24.1666666666667</v>
      </c>
      <c r="S25" s="7">
        <v>26.6666666666667</v>
      </c>
      <c r="T25" s="7">
        <v>26.6666666666667</v>
      </c>
      <c r="U25" s="7">
        <v>26.6666666666667</v>
      </c>
      <c r="V25" s="7">
        <v>25</v>
      </c>
      <c r="W25" s="7">
        <v>25</v>
      </c>
      <c r="X25" s="7">
        <v>22.131147540983601</v>
      </c>
      <c r="Y25" s="7">
        <v>22.131147540983601</v>
      </c>
      <c r="Z25" s="7">
        <v>23.3333333333333</v>
      </c>
      <c r="AA25" s="7">
        <v>23.3333333333333</v>
      </c>
      <c r="AB25" s="7">
        <v>23.3333333333333</v>
      </c>
      <c r="AC25" s="7">
        <v>26.446280991735499</v>
      </c>
      <c r="AD25" s="7">
        <v>26.446280991735499</v>
      </c>
      <c r="AE25" s="7">
        <v>25</v>
      </c>
    </row>
    <row r="26" spans="1:31" x14ac:dyDescent="0.25">
      <c r="A26" s="8" t="s">
        <v>193</v>
      </c>
      <c r="B26" s="9" t="s">
        <v>194</v>
      </c>
      <c r="C26" s="9" t="s">
        <v>376</v>
      </c>
      <c r="D26" s="7"/>
      <c r="E26" s="7"/>
      <c r="F26" s="7"/>
      <c r="G26" s="7">
        <v>7.8125</v>
      </c>
      <c r="H26" s="7">
        <v>7.8125</v>
      </c>
      <c r="I26" s="7">
        <v>7.8125</v>
      </c>
      <c r="J26" s="7">
        <v>7.8125</v>
      </c>
      <c r="K26" s="7">
        <v>5.2631578947368398</v>
      </c>
      <c r="L26" s="7">
        <v>12.5</v>
      </c>
      <c r="M26" s="7">
        <v>12.5</v>
      </c>
      <c r="N26" s="7">
        <v>12.5</v>
      </c>
      <c r="O26" s="7">
        <v>12.5</v>
      </c>
      <c r="P26" s="7">
        <v>12.5</v>
      </c>
      <c r="Q26" s="7">
        <v>12.5</v>
      </c>
      <c r="R26" s="7">
        <v>9.5890410958904102</v>
      </c>
      <c r="S26" s="7">
        <v>10.958904109589</v>
      </c>
      <c r="T26" s="7">
        <v>10.958904109589</v>
      </c>
      <c r="U26" s="7">
        <v>10.958904109589</v>
      </c>
      <c r="V26" s="7">
        <v>10.958904109589</v>
      </c>
      <c r="W26" s="7">
        <v>10.958904109589</v>
      </c>
      <c r="X26" s="7">
        <v>9.8591549295774605</v>
      </c>
      <c r="Y26" s="7">
        <v>12.328767123287699</v>
      </c>
      <c r="Z26" s="7">
        <v>12.328767123287699</v>
      </c>
      <c r="AA26" s="7">
        <v>12.328767123287699</v>
      </c>
      <c r="AB26" s="7">
        <v>10.958904109589</v>
      </c>
      <c r="AC26" s="7">
        <v>10.958904109589</v>
      </c>
      <c r="AD26" s="7">
        <v>10.958904109589</v>
      </c>
      <c r="AE26" s="7">
        <v>10.958904109589</v>
      </c>
    </row>
    <row r="27" spans="1:31" x14ac:dyDescent="0.25">
      <c r="A27" s="8" t="s">
        <v>203</v>
      </c>
      <c r="B27" s="9" t="s">
        <v>204</v>
      </c>
      <c r="C27" s="9" t="s">
        <v>376</v>
      </c>
      <c r="D27" s="7">
        <v>3.7313432835820901</v>
      </c>
      <c r="E27" s="7"/>
      <c r="F27" s="7">
        <v>8</v>
      </c>
      <c r="G27" s="7">
        <v>8</v>
      </c>
      <c r="H27" s="7">
        <v>8</v>
      </c>
      <c r="I27" s="7"/>
      <c r="J27" s="7">
        <v>3.75</v>
      </c>
      <c r="K27" s="7">
        <v>6.875</v>
      </c>
      <c r="L27" s="7">
        <v>6.875</v>
      </c>
      <c r="M27" s="7">
        <v>6.875</v>
      </c>
      <c r="N27" s="7">
        <v>7.8740157480314998</v>
      </c>
      <c r="O27" s="7">
        <v>7.8740157480314998</v>
      </c>
      <c r="P27" s="7"/>
      <c r="Q27" s="7">
        <v>12.5</v>
      </c>
      <c r="R27" s="7">
        <v>12.5</v>
      </c>
      <c r="S27" s="7">
        <v>17.486338797814199</v>
      </c>
      <c r="T27" s="7">
        <v>17.486338797814199</v>
      </c>
      <c r="U27" s="7">
        <v>20.5298013245033</v>
      </c>
      <c r="V27" s="7">
        <v>20.5298013245033</v>
      </c>
      <c r="W27" s="7">
        <v>20.5298013245033</v>
      </c>
      <c r="X27" s="7">
        <v>19.205298013244999</v>
      </c>
      <c r="Y27" s="7">
        <v>19.205298013244999</v>
      </c>
      <c r="Z27" s="7">
        <v>15.8940397350993</v>
      </c>
      <c r="AA27" s="7">
        <v>17.880794701986801</v>
      </c>
      <c r="AB27" s="7">
        <v>17.880794701986801</v>
      </c>
      <c r="AC27" s="7">
        <v>18.5430463576159</v>
      </c>
      <c r="AD27" s="7">
        <v>18.5430463576159</v>
      </c>
      <c r="AE27" s="7">
        <v>15.9509202453988</v>
      </c>
    </row>
    <row r="28" spans="1:31" x14ac:dyDescent="0.25">
      <c r="A28" s="8" t="s">
        <v>205</v>
      </c>
      <c r="B28" s="9" t="s">
        <v>206</v>
      </c>
      <c r="C28" s="9" t="s">
        <v>376</v>
      </c>
      <c r="D28" s="7">
        <v>5.6497175141242897</v>
      </c>
      <c r="E28" s="7">
        <v>5.6497175141242897</v>
      </c>
      <c r="F28" s="7">
        <v>8.2901554404145106</v>
      </c>
      <c r="G28" s="7">
        <v>9.3264248704663206</v>
      </c>
      <c r="H28" s="7">
        <v>9.3264248704663206</v>
      </c>
      <c r="I28" s="7">
        <v>9.3264248704663206</v>
      </c>
      <c r="J28" s="7">
        <v>9.3264248704663206</v>
      </c>
      <c r="K28" s="7">
        <v>13.9896373056995</v>
      </c>
      <c r="L28" s="7">
        <v>13.612565445026201</v>
      </c>
      <c r="M28" s="7">
        <v>13.612565445026201</v>
      </c>
      <c r="N28" s="7">
        <v>12.9533678756477</v>
      </c>
      <c r="O28" s="7">
        <v>12.9533678756477</v>
      </c>
      <c r="P28" s="7">
        <v>20.8333333333333</v>
      </c>
      <c r="Q28" s="7">
        <v>20.8333333333333</v>
      </c>
      <c r="R28" s="7">
        <v>22.279792746114001</v>
      </c>
      <c r="S28" s="7">
        <v>22.279792746114001</v>
      </c>
      <c r="T28" s="7">
        <v>22.279792746114001</v>
      </c>
      <c r="U28" s="7">
        <v>16.6666666666667</v>
      </c>
      <c r="V28" s="7">
        <v>16.6666666666667</v>
      </c>
      <c r="W28" s="7">
        <v>16.6666666666667</v>
      </c>
      <c r="X28" s="7">
        <v>16.6666666666667</v>
      </c>
      <c r="Y28" s="7">
        <v>16.6666666666667</v>
      </c>
      <c r="Z28" s="7">
        <v>22.9166666666667</v>
      </c>
      <c r="AA28" s="7">
        <v>22.9166666666667</v>
      </c>
      <c r="AB28" s="7">
        <v>22.9166666666667</v>
      </c>
      <c r="AC28" s="7">
        <v>22.9166666666667</v>
      </c>
      <c r="AD28" s="7">
        <v>20.7253886010363</v>
      </c>
      <c r="AE28" s="7">
        <v>20.7253886010363</v>
      </c>
    </row>
    <row r="29" spans="1:31" x14ac:dyDescent="0.25">
      <c r="A29" s="8" t="s">
        <v>211</v>
      </c>
      <c r="B29" s="9" t="s">
        <v>212</v>
      </c>
      <c r="C29" s="9" t="s">
        <v>376</v>
      </c>
      <c r="D29" s="7">
        <v>12.244897959183699</v>
      </c>
      <c r="E29" s="7">
        <v>12.244897959183699</v>
      </c>
      <c r="F29" s="7">
        <v>12.244897959183699</v>
      </c>
      <c r="G29" s="7">
        <v>12.244897959183699</v>
      </c>
      <c r="H29" s="7">
        <v>12.244897959183699</v>
      </c>
      <c r="I29" s="7">
        <v>10.2040816326531</v>
      </c>
      <c r="J29" s="7">
        <v>10.2040816326531</v>
      </c>
      <c r="K29" s="7">
        <v>10.2040816326531</v>
      </c>
      <c r="L29" s="7">
        <v>10.2040816326531</v>
      </c>
      <c r="M29" s="7">
        <v>10.2040816326531</v>
      </c>
      <c r="N29" s="7">
        <v>10.2040816326531</v>
      </c>
      <c r="O29" s="7">
        <v>10.2040816326531</v>
      </c>
      <c r="P29" s="7">
        <v>10.2040816326531</v>
      </c>
      <c r="Q29" s="7">
        <v>10.2040816326531</v>
      </c>
      <c r="R29" s="7">
        <v>10.2040816326531</v>
      </c>
      <c r="S29" s="7">
        <v>10.2040816326531</v>
      </c>
      <c r="T29" s="7"/>
      <c r="U29" s="7">
        <v>9.5238095238095202</v>
      </c>
      <c r="V29" s="7">
        <v>8.84353741496599</v>
      </c>
      <c r="W29" s="7">
        <v>8.84353741496599</v>
      </c>
      <c r="X29" s="7">
        <v>8.84353741496599</v>
      </c>
      <c r="Y29" s="7">
        <v>8.84353741496599</v>
      </c>
      <c r="Z29" s="7">
        <v>9.5238095238095202</v>
      </c>
      <c r="AA29" s="7">
        <v>27.891156462584998</v>
      </c>
      <c r="AB29" s="7">
        <v>27.272727272727298</v>
      </c>
      <c r="AC29" s="7">
        <v>28.571428571428601</v>
      </c>
      <c r="AD29" s="7">
        <v>28.571428571428601</v>
      </c>
      <c r="AE29" s="7">
        <v>30.656934306569301</v>
      </c>
    </row>
    <row r="30" spans="1:31" x14ac:dyDescent="0.25">
      <c r="A30" s="8" t="s">
        <v>217</v>
      </c>
      <c r="B30" s="9" t="s">
        <v>218</v>
      </c>
      <c r="C30" s="9" t="s">
        <v>376</v>
      </c>
      <c r="D30" s="7">
        <v>7.5757575757575797</v>
      </c>
      <c r="E30" s="7">
        <v>7.5757575757575797</v>
      </c>
      <c r="F30" s="7">
        <v>7.5757575757575797</v>
      </c>
      <c r="G30" s="7">
        <v>5.71428571428571</v>
      </c>
      <c r="H30" s="7">
        <v>5.71428571428571</v>
      </c>
      <c r="I30" s="7">
        <v>5.71428571428571</v>
      </c>
      <c r="J30" s="7">
        <v>5.71428571428571</v>
      </c>
      <c r="K30" s="7">
        <v>5.71428571428571</v>
      </c>
      <c r="L30" s="7">
        <v>17.1428571428571</v>
      </c>
      <c r="M30" s="7">
        <v>17.1428571428571</v>
      </c>
      <c r="N30" s="7">
        <v>17.1428571428571</v>
      </c>
      <c r="O30" s="7">
        <v>17.1428571428571</v>
      </c>
      <c r="P30" s="7">
        <v>17.1428571428571</v>
      </c>
      <c r="Q30" s="7">
        <v>18.840579710144901</v>
      </c>
      <c r="R30" s="7">
        <v>18.840579710144901</v>
      </c>
      <c r="S30" s="7">
        <v>18.840579710144901</v>
      </c>
      <c r="T30" s="7">
        <v>18.840579710144901</v>
      </c>
      <c r="U30" s="7">
        <v>18.840579710144901</v>
      </c>
      <c r="V30" s="7">
        <v>11.5942028985507</v>
      </c>
      <c r="W30" s="7">
        <v>11.5942028985507</v>
      </c>
      <c r="X30" s="7">
        <v>11.5942028985507</v>
      </c>
      <c r="Y30" s="7">
        <v>11.5942028985507</v>
      </c>
      <c r="Z30" s="7">
        <v>20</v>
      </c>
      <c r="AA30" s="7">
        <v>20</v>
      </c>
      <c r="AB30" s="7">
        <v>20</v>
      </c>
      <c r="AC30" s="7">
        <v>20</v>
      </c>
      <c r="AD30" s="7">
        <v>20</v>
      </c>
      <c r="AE30" s="7">
        <v>19.402985074626901</v>
      </c>
    </row>
    <row r="31" spans="1:31" x14ac:dyDescent="0.25">
      <c r="A31" s="8" t="s">
        <v>229</v>
      </c>
      <c r="B31" s="9" t="s">
        <v>230</v>
      </c>
      <c r="C31" s="9" t="s">
        <v>376</v>
      </c>
      <c r="D31" s="7">
        <v>25.2</v>
      </c>
      <c r="E31" s="7">
        <v>25.2</v>
      </c>
      <c r="F31" s="7"/>
      <c r="G31" s="7">
        <v>30</v>
      </c>
      <c r="H31" s="7">
        <v>30</v>
      </c>
      <c r="I31" s="7">
        <v>30</v>
      </c>
      <c r="J31" s="7">
        <v>30</v>
      </c>
      <c r="K31" s="7">
        <v>34.799999999999997</v>
      </c>
      <c r="L31" s="7">
        <v>34.799999999999997</v>
      </c>
      <c r="M31" s="7">
        <v>34.799999999999997</v>
      </c>
      <c r="N31" s="7">
        <v>34.799999999999997</v>
      </c>
      <c r="O31" s="7">
        <v>34.799999999999997</v>
      </c>
      <c r="P31" s="7">
        <v>39.200000000000003</v>
      </c>
      <c r="Q31" s="7">
        <v>39.200000000000003</v>
      </c>
      <c r="R31" s="7">
        <v>39.200000000000003</v>
      </c>
      <c r="S31" s="7">
        <v>39.200000000000003</v>
      </c>
      <c r="T31" s="7">
        <v>39.200000000000003</v>
      </c>
      <c r="U31" s="7"/>
      <c r="V31" s="7">
        <v>39.6</v>
      </c>
      <c r="W31" s="7">
        <v>39.6</v>
      </c>
      <c r="X31" s="7">
        <v>39.6</v>
      </c>
      <c r="Y31" s="7">
        <v>39.6</v>
      </c>
      <c r="Z31" s="7">
        <v>41.2</v>
      </c>
      <c r="AA31" s="7">
        <v>42.4</v>
      </c>
      <c r="AB31" s="7">
        <v>42.4</v>
      </c>
      <c r="AC31" s="7">
        <v>42.4</v>
      </c>
      <c r="AD31" s="7">
        <v>43.2</v>
      </c>
      <c r="AE31" s="7">
        <v>39.200000000000003</v>
      </c>
    </row>
    <row r="32" spans="1:31" x14ac:dyDescent="0.25">
      <c r="A32" s="8" t="s">
        <v>233</v>
      </c>
      <c r="B32" s="9" t="s">
        <v>234</v>
      </c>
      <c r="C32" s="9" t="s">
        <v>376</v>
      </c>
      <c r="D32" s="7">
        <v>22.2222222222222</v>
      </c>
      <c r="E32" s="7">
        <v>22.2222222222222</v>
      </c>
      <c r="F32" s="7">
        <v>22.2222222222222</v>
      </c>
      <c r="G32" s="7">
        <v>25</v>
      </c>
      <c r="H32" s="7">
        <v>25</v>
      </c>
      <c r="I32" s="7">
        <v>25</v>
      </c>
      <c r="J32" s="7">
        <v>26.3888888888889</v>
      </c>
      <c r="K32" s="7">
        <v>25</v>
      </c>
      <c r="L32" s="7">
        <v>26.923076923076898</v>
      </c>
      <c r="M32" s="7">
        <v>26.923076923076898</v>
      </c>
      <c r="N32" s="7">
        <v>26.923076923076898</v>
      </c>
      <c r="O32" s="7">
        <v>26.923076923076898</v>
      </c>
      <c r="P32" s="7">
        <v>26.923076923076898</v>
      </c>
      <c r="Q32" s="7">
        <v>24.3589743589744</v>
      </c>
      <c r="R32" s="7">
        <v>24.3589743589744</v>
      </c>
      <c r="S32" s="7">
        <v>24.3589743589744</v>
      </c>
      <c r="T32" s="7">
        <v>24.3589743589744</v>
      </c>
      <c r="U32" s="7"/>
      <c r="V32" s="7">
        <v>41.346153846153797</v>
      </c>
      <c r="W32" s="7">
        <v>41.346153846153797</v>
      </c>
      <c r="X32" s="7">
        <v>41.346153846153797</v>
      </c>
      <c r="Y32" s="7">
        <v>46.153846153846203</v>
      </c>
      <c r="Z32" s="7">
        <v>42.7083333333333</v>
      </c>
      <c r="AA32" s="7">
        <v>43.269230769230802</v>
      </c>
      <c r="AB32" s="7">
        <v>44.230769230769198</v>
      </c>
      <c r="AC32" s="7">
        <v>44.230769230769198</v>
      </c>
      <c r="AD32" s="7">
        <v>44.230769230769198</v>
      </c>
      <c r="AE32" s="7">
        <v>40.625</v>
      </c>
    </row>
    <row r="33" spans="1:31" x14ac:dyDescent="0.25">
      <c r="A33" s="8" t="s">
        <v>243</v>
      </c>
      <c r="B33" s="9" t="s">
        <v>244</v>
      </c>
      <c r="C33" s="9" t="s">
        <v>376</v>
      </c>
      <c r="D33" s="7">
        <v>1.2048192771084301</v>
      </c>
      <c r="E33" s="7">
        <v>1.2048192771084301</v>
      </c>
      <c r="F33" s="7"/>
      <c r="G33" s="7">
        <v>1.2048192771084301</v>
      </c>
      <c r="H33" s="7">
        <v>1.2048192771084301</v>
      </c>
      <c r="I33" s="7">
        <v>1.2048192771084301</v>
      </c>
      <c r="J33" s="7">
        <v>1.2048192771084301</v>
      </c>
      <c r="K33" s="7">
        <v>12.389380530973501</v>
      </c>
      <c r="L33" s="7">
        <v>12.389380530973501</v>
      </c>
      <c r="M33" s="7">
        <v>12.389380530973501</v>
      </c>
      <c r="N33" s="7">
        <v>12.389380530973501</v>
      </c>
      <c r="O33" s="7">
        <v>12.389380530973501</v>
      </c>
      <c r="P33" s="7">
        <v>9.7345132743362797</v>
      </c>
      <c r="Q33" s="7"/>
      <c r="R33" s="7">
        <v>13.2743362831858</v>
      </c>
      <c r="S33" s="7">
        <v>13.2743362831858</v>
      </c>
      <c r="T33" s="7">
        <v>13.2743362831858</v>
      </c>
      <c r="U33" s="7">
        <v>13.2743362831858</v>
      </c>
      <c r="V33" s="7">
        <v>13.2743362831858</v>
      </c>
      <c r="W33" s="7">
        <v>14.619883040935701</v>
      </c>
      <c r="X33" s="7">
        <v>16.9590643274854</v>
      </c>
      <c r="Y33" s="7">
        <v>16.9590643274854</v>
      </c>
      <c r="Z33" s="7">
        <v>16.9590643274854</v>
      </c>
      <c r="AA33" s="7">
        <v>16.9590643274854</v>
      </c>
      <c r="AB33" s="7">
        <v>25.903614457831299</v>
      </c>
      <c r="AC33" s="7">
        <v>25.903614457831299</v>
      </c>
      <c r="AD33" s="7"/>
      <c r="AE33" s="7"/>
    </row>
    <row r="34" spans="1:31" x14ac:dyDescent="0.25">
      <c r="A34" s="8" t="s">
        <v>245</v>
      </c>
      <c r="B34" s="9" t="s">
        <v>246</v>
      </c>
      <c r="C34" s="9" t="s">
        <v>376</v>
      </c>
      <c r="D34" s="7"/>
      <c r="E34" s="7"/>
      <c r="F34" s="7"/>
      <c r="G34" s="7">
        <v>3.41880341880342</v>
      </c>
      <c r="H34" s="7">
        <v>3.41880341880342</v>
      </c>
      <c r="I34" s="7">
        <v>3.41880341880342</v>
      </c>
      <c r="J34" s="7">
        <v>4.7222222222222197</v>
      </c>
      <c r="K34" s="7">
        <v>4.7222222222222197</v>
      </c>
      <c r="L34" s="7">
        <v>6.3888888888888902</v>
      </c>
      <c r="M34" s="7">
        <v>6.1111111111111098</v>
      </c>
      <c r="N34" s="7">
        <v>6.9832402234636897</v>
      </c>
      <c r="O34" s="7">
        <v>6.9832402234636897</v>
      </c>
      <c r="P34" s="7">
        <v>6.9832402234636897</v>
      </c>
      <c r="Q34" s="7">
        <v>6.9832402234636897</v>
      </c>
      <c r="R34" s="7">
        <v>6.8181818181818201</v>
      </c>
      <c r="S34" s="7">
        <v>6.6666666666666696</v>
      </c>
      <c r="T34" s="7">
        <v>6.6666666666666696</v>
      </c>
      <c r="U34" s="7">
        <v>6.6666666666666696</v>
      </c>
      <c r="V34" s="7">
        <v>5.5555555555555598</v>
      </c>
      <c r="W34" s="7">
        <v>5.5555555555555598</v>
      </c>
      <c r="X34" s="7">
        <v>5.5555555555555598</v>
      </c>
      <c r="Y34" s="7">
        <v>5.5555555555555598</v>
      </c>
      <c r="Z34" s="7">
        <v>3.3802816901408401</v>
      </c>
      <c r="AA34" s="7">
        <v>7.2222222222222197</v>
      </c>
      <c r="AB34" s="7">
        <v>3.6111111111111098</v>
      </c>
      <c r="AC34" s="7">
        <v>3.6111111111111098</v>
      </c>
      <c r="AD34" s="7">
        <v>3.91061452513966</v>
      </c>
      <c r="AE34" s="7">
        <v>3.91061452513966</v>
      </c>
    </row>
    <row r="35" spans="1:31" x14ac:dyDescent="0.25">
      <c r="A35" s="8" t="s">
        <v>277</v>
      </c>
      <c r="B35" s="9" t="s">
        <v>278</v>
      </c>
      <c r="C35" s="9" t="s">
        <v>376</v>
      </c>
      <c r="D35" s="7">
        <v>17.1428571428571</v>
      </c>
      <c r="E35" s="7">
        <v>17.1428571428571</v>
      </c>
      <c r="F35" s="7">
        <v>17.1428571428571</v>
      </c>
      <c r="G35" s="7">
        <v>25.714285714285701</v>
      </c>
      <c r="H35" s="7">
        <v>25.675675675675699</v>
      </c>
      <c r="I35" s="7">
        <v>25.675675675675699</v>
      </c>
      <c r="J35" s="7">
        <v>48.75</v>
      </c>
      <c r="K35" s="7">
        <v>48.75</v>
      </c>
      <c r="L35" s="7">
        <v>48.75</v>
      </c>
      <c r="M35" s="7">
        <v>48.75</v>
      </c>
      <c r="N35" s="7">
        <v>48.75</v>
      </c>
      <c r="O35" s="7">
        <v>56.25</v>
      </c>
      <c r="P35" s="7">
        <v>56.25</v>
      </c>
      <c r="Q35" s="7">
        <v>56.25</v>
      </c>
      <c r="R35" s="7">
        <v>56.25</v>
      </c>
      <c r="S35" s="7">
        <v>56.25</v>
      </c>
      <c r="T35" s="7">
        <v>63.75</v>
      </c>
      <c r="U35" s="7">
        <v>63.75</v>
      </c>
      <c r="V35" s="7">
        <v>63.75</v>
      </c>
      <c r="W35" s="7">
        <v>63.75</v>
      </c>
      <c r="X35" s="7">
        <v>61.25</v>
      </c>
      <c r="Y35" s="7">
        <v>61.25</v>
      </c>
      <c r="Z35" s="7">
        <v>61.25</v>
      </c>
      <c r="AA35" s="7">
        <v>61.25</v>
      </c>
      <c r="AB35" s="7">
        <v>61.25</v>
      </c>
      <c r="AC35" s="7">
        <v>61.25</v>
      </c>
      <c r="AD35" s="7">
        <v>61.25</v>
      </c>
      <c r="AE35" s="7">
        <v>63.75</v>
      </c>
    </row>
    <row r="36" spans="1:31" x14ac:dyDescent="0.25">
      <c r="A36" s="8" t="s">
        <v>281</v>
      </c>
      <c r="B36" s="9" t="s">
        <v>282</v>
      </c>
      <c r="C36" s="9" t="s">
        <v>376</v>
      </c>
      <c r="D36" s="7">
        <v>7.2727272727272698</v>
      </c>
      <c r="E36" s="7">
        <v>7.2727272727272698</v>
      </c>
      <c r="F36" s="7">
        <v>9.0909090909090899</v>
      </c>
      <c r="G36" s="7">
        <v>9.0909090909090899</v>
      </c>
      <c r="H36" s="7">
        <v>9.0909090909090899</v>
      </c>
      <c r="I36" s="7"/>
      <c r="J36" s="7">
        <v>9.0909090909090899</v>
      </c>
      <c r="K36" s="7">
        <v>9.0909090909090899</v>
      </c>
      <c r="L36" s="7">
        <v>9.0909090909090899</v>
      </c>
      <c r="M36" s="7">
        <v>7.2727272727272698</v>
      </c>
      <c r="N36" s="7">
        <v>1.8181818181818199</v>
      </c>
      <c r="O36" s="7">
        <v>7.2727272727272698</v>
      </c>
      <c r="P36" s="7">
        <v>7.2727272727272698</v>
      </c>
      <c r="Q36" s="7">
        <v>18.181818181818201</v>
      </c>
      <c r="R36" s="7">
        <v>18.181818181818201</v>
      </c>
      <c r="S36" s="7">
        <v>18.181818181818201</v>
      </c>
      <c r="T36" s="7">
        <v>18.181818181818201</v>
      </c>
      <c r="U36" s="7">
        <v>18.181818181818201</v>
      </c>
      <c r="V36" s="7">
        <v>18.181818181818201</v>
      </c>
      <c r="W36" s="7">
        <v>18.181818181818201</v>
      </c>
      <c r="X36" s="7">
        <v>18.181818181818201</v>
      </c>
      <c r="Y36" s="7">
        <v>14.545454545454501</v>
      </c>
      <c r="Z36" s="7">
        <v>14.545454545454501</v>
      </c>
      <c r="AA36" s="7">
        <v>23.636363636363601</v>
      </c>
      <c r="AB36" s="7">
        <v>23.636363636363601</v>
      </c>
      <c r="AC36" s="7">
        <v>14.545454545454501</v>
      </c>
      <c r="AD36" s="7">
        <v>14.545454545454501</v>
      </c>
      <c r="AE36" s="7">
        <v>14.545454545454501</v>
      </c>
    </row>
    <row r="37" spans="1:31" x14ac:dyDescent="0.25">
      <c r="A37" s="8" t="s">
        <v>285</v>
      </c>
      <c r="B37" s="9" t="s">
        <v>286</v>
      </c>
      <c r="C37" s="9" t="s">
        <v>376</v>
      </c>
      <c r="D37" s="7">
        <v>11.6666666666667</v>
      </c>
      <c r="E37" s="7">
        <v>12.1428571428571</v>
      </c>
      <c r="F37" s="7">
        <v>12.1428571428571</v>
      </c>
      <c r="G37" s="7">
        <v>12.1428571428571</v>
      </c>
      <c r="H37" s="7">
        <v>16.6666666666667</v>
      </c>
      <c r="I37" s="7">
        <v>19.1666666666667</v>
      </c>
      <c r="J37" s="7">
        <v>19.1666666666667</v>
      </c>
      <c r="K37" s="7">
        <v>19.1666666666667</v>
      </c>
      <c r="L37" s="7">
        <v>19.1666666666667</v>
      </c>
      <c r="M37" s="7">
        <v>19.1666666666667</v>
      </c>
      <c r="N37" s="7">
        <v>22</v>
      </c>
      <c r="O37" s="7">
        <v>22</v>
      </c>
      <c r="P37" s="7">
        <v>22.6666666666667</v>
      </c>
      <c r="Q37" s="7">
        <v>22.6666666666667</v>
      </c>
      <c r="R37" s="7">
        <v>22.6666666666667</v>
      </c>
      <c r="S37" s="7">
        <v>42.6666666666667</v>
      </c>
      <c r="T37" s="7">
        <v>42.6666666666667</v>
      </c>
      <c r="U37" s="7">
        <v>43.3333333333333</v>
      </c>
      <c r="V37" s="7">
        <v>42.6666666666667</v>
      </c>
      <c r="W37" s="7">
        <v>42.6666666666667</v>
      </c>
      <c r="X37" s="7">
        <v>41.818181818181799</v>
      </c>
      <c r="Y37" s="7">
        <v>41.818181818181799</v>
      </c>
      <c r="Z37" s="7">
        <v>41.818181818181799</v>
      </c>
      <c r="AA37" s="7">
        <v>43.030303030303003</v>
      </c>
      <c r="AB37" s="7">
        <v>43.030303030303003</v>
      </c>
      <c r="AC37" s="7">
        <v>44.2424242424242</v>
      </c>
      <c r="AD37" s="7">
        <v>46.060606060606098</v>
      </c>
      <c r="AE37" s="7">
        <v>41.212121212121197</v>
      </c>
    </row>
    <row r="38" spans="1:31" x14ac:dyDescent="0.25">
      <c r="A38" s="8" t="s">
        <v>377</v>
      </c>
      <c r="B38" s="9" t="s">
        <v>378</v>
      </c>
      <c r="C38" s="9" t="s">
        <v>376</v>
      </c>
      <c r="D38" s="7">
        <v>27.272727272727298</v>
      </c>
      <c r="E38" s="7">
        <v>23.529411764705898</v>
      </c>
      <c r="F38" s="7">
        <v>23.529411764705898</v>
      </c>
      <c r="G38" s="7">
        <v>23.529411764705898</v>
      </c>
      <c r="H38" s="7">
        <v>23.529411764705898</v>
      </c>
      <c r="I38" s="7">
        <v>29.411764705882401</v>
      </c>
      <c r="J38" s="7">
        <v>29.411764705882401</v>
      </c>
      <c r="K38" s="7">
        <v>29.411764705882401</v>
      </c>
      <c r="L38" s="7">
        <v>29.411764705882401</v>
      </c>
      <c r="M38" s="7">
        <v>29.411764705882401</v>
      </c>
      <c r="N38" s="7">
        <v>23.529411764705898</v>
      </c>
      <c r="O38" s="7">
        <v>23.529411764705898</v>
      </c>
      <c r="P38" s="7">
        <v>23.529411764705898</v>
      </c>
      <c r="Q38" s="7">
        <v>23.529411764705898</v>
      </c>
      <c r="R38" s="7">
        <v>43.75</v>
      </c>
      <c r="S38" s="7">
        <v>43.75</v>
      </c>
      <c r="T38" s="7">
        <v>43.75</v>
      </c>
      <c r="U38" s="7">
        <v>43.75</v>
      </c>
      <c r="V38" s="7">
        <v>43.75</v>
      </c>
      <c r="W38" s="7">
        <v>21.2121212121212</v>
      </c>
      <c r="X38" s="7">
        <v>21.2121212121212</v>
      </c>
      <c r="Y38" s="7">
        <v>21.2121212121212</v>
      </c>
      <c r="Z38" s="7">
        <v>21.2121212121212</v>
      </c>
      <c r="AA38" s="7">
        <v>24.2424242424242</v>
      </c>
      <c r="AB38" s="7">
        <v>22.8571428571429</v>
      </c>
      <c r="AC38" s="7">
        <v>22.8571428571429</v>
      </c>
      <c r="AD38" s="7">
        <v>22.8571428571429</v>
      </c>
      <c r="AE38" s="7">
        <v>20.588235294117599</v>
      </c>
    </row>
    <row r="39" spans="1:31" x14ac:dyDescent="0.25">
      <c r="A39" s="8" t="s">
        <v>289</v>
      </c>
      <c r="B39" s="9" t="s">
        <v>290</v>
      </c>
      <c r="C39" s="9" t="s">
        <v>376</v>
      </c>
      <c r="D39" s="7"/>
      <c r="E39" s="7"/>
      <c r="F39" s="7">
        <v>8.75</v>
      </c>
      <c r="G39" s="7">
        <v>8.75</v>
      </c>
      <c r="H39" s="7">
        <v>8.75</v>
      </c>
      <c r="I39" s="7"/>
      <c r="J39" s="7">
        <v>14.5161290322581</v>
      </c>
      <c r="K39" s="7">
        <v>14.5161290322581</v>
      </c>
      <c r="L39" s="7">
        <v>14.5161290322581</v>
      </c>
      <c r="M39" s="7">
        <v>14.5161290322581</v>
      </c>
      <c r="N39" s="7">
        <v>13.223140495867799</v>
      </c>
      <c r="O39" s="7">
        <v>13.223140495867799</v>
      </c>
      <c r="P39" s="7">
        <v>13.223140495867799</v>
      </c>
      <c r="Q39" s="7">
        <v>13.223140495867799</v>
      </c>
      <c r="R39" s="7">
        <v>12.9032258064516</v>
      </c>
      <c r="S39" s="7">
        <v>12.396694214876</v>
      </c>
      <c r="T39" s="7">
        <v>12.396694214876</v>
      </c>
      <c r="U39" s="7">
        <v>12.0967741935484</v>
      </c>
      <c r="V39" s="7">
        <v>12.396694214876</v>
      </c>
      <c r="W39" s="7">
        <v>12.396694214876</v>
      </c>
      <c r="X39" s="7">
        <v>12.396694214876</v>
      </c>
      <c r="Y39" s="7">
        <v>12.328767123287699</v>
      </c>
      <c r="Z39" s="7">
        <v>12.328767123287699</v>
      </c>
      <c r="AA39" s="7">
        <v>12.328767123287699</v>
      </c>
      <c r="AB39" s="7">
        <v>12.328767123287699</v>
      </c>
      <c r="AC39" s="7">
        <v>12.328767123287699</v>
      </c>
      <c r="AD39" s="7">
        <v>28.187919463087301</v>
      </c>
      <c r="AE39" s="7">
        <v>29.530201342281899</v>
      </c>
    </row>
    <row r="40" spans="1:31" x14ac:dyDescent="0.25">
      <c r="A40" s="8" t="s">
        <v>301</v>
      </c>
      <c r="B40" s="9" t="s">
        <v>302</v>
      </c>
      <c r="C40" s="9" t="s">
        <v>376</v>
      </c>
      <c r="D40" s="7">
        <v>25</v>
      </c>
      <c r="E40" s="7">
        <v>28.75</v>
      </c>
      <c r="F40" s="7">
        <v>30</v>
      </c>
      <c r="G40" s="7">
        <v>29.824561403508799</v>
      </c>
      <c r="H40" s="7">
        <v>29.824561403508799</v>
      </c>
      <c r="I40" s="7">
        <v>29.824561403508799</v>
      </c>
      <c r="J40" s="7">
        <v>29.824561403508799</v>
      </c>
      <c r="K40" s="7">
        <v>32.778702163061602</v>
      </c>
      <c r="L40" s="7">
        <v>32.75</v>
      </c>
      <c r="M40" s="7">
        <v>32.75</v>
      </c>
      <c r="N40" s="7">
        <v>33</v>
      </c>
      <c r="O40" s="7">
        <v>33</v>
      </c>
      <c r="P40" s="7">
        <v>44.5</v>
      </c>
      <c r="Q40" s="7">
        <v>44.5</v>
      </c>
      <c r="R40" s="7">
        <v>42.25</v>
      </c>
      <c r="S40" s="7">
        <v>42.25</v>
      </c>
      <c r="T40" s="7">
        <v>42.25</v>
      </c>
      <c r="U40" s="7">
        <v>41.5</v>
      </c>
      <c r="V40" s="7">
        <v>42</v>
      </c>
      <c r="W40" s="7">
        <v>42</v>
      </c>
      <c r="X40" s="7">
        <v>41.836734693877602</v>
      </c>
      <c r="Y40" s="7">
        <v>42.748091603053403</v>
      </c>
      <c r="Z40" s="7">
        <v>46.347607052896699</v>
      </c>
      <c r="AA40" s="7">
        <v>46.75</v>
      </c>
      <c r="AB40" s="7">
        <v>46.5822784810127</v>
      </c>
      <c r="AC40" s="7">
        <v>46.5</v>
      </c>
      <c r="AD40" s="7">
        <v>45.864661654135297</v>
      </c>
      <c r="AE40" s="7">
        <v>44.702842377261</v>
      </c>
    </row>
    <row r="41" spans="1:31" x14ac:dyDescent="0.25">
      <c r="A41" s="8" t="s">
        <v>303</v>
      </c>
      <c r="B41" s="9" t="s">
        <v>304</v>
      </c>
      <c r="C41" s="9" t="s">
        <v>376</v>
      </c>
      <c r="D41" s="7"/>
      <c r="E41" s="7"/>
      <c r="F41" s="7"/>
      <c r="G41" s="7"/>
      <c r="H41" s="7"/>
      <c r="I41" s="7"/>
      <c r="J41" s="7"/>
      <c r="K41" s="7"/>
      <c r="L41" s="7"/>
      <c r="M41" s="7"/>
      <c r="N41" s="7"/>
      <c r="O41" s="7"/>
      <c r="P41" s="7"/>
      <c r="Q41" s="7"/>
      <c r="R41" s="7">
        <v>26.506024096385499</v>
      </c>
      <c r="S41" s="7">
        <v>26.506024096385499</v>
      </c>
      <c r="T41" s="7">
        <v>26.506024096385499</v>
      </c>
      <c r="U41" s="7">
        <v>26.506024096385499</v>
      </c>
      <c r="V41" s="7">
        <v>26.506024096385499</v>
      </c>
      <c r="W41" s="7">
        <v>28.4595300261097</v>
      </c>
      <c r="X41" s="7">
        <v>28.4595300261097</v>
      </c>
      <c r="Y41" s="7">
        <v>28.4595300261097</v>
      </c>
      <c r="Z41" s="7">
        <v>28.4595300261097</v>
      </c>
      <c r="AA41" s="7">
        <v>28.4595300261097</v>
      </c>
      <c r="AB41" s="7">
        <v>32.363636363636402</v>
      </c>
      <c r="AC41" s="7">
        <v>32.363636363636402</v>
      </c>
      <c r="AD41" s="7">
        <v>32.363636363636402</v>
      </c>
      <c r="AE41" s="7">
        <v>32.363636363636402</v>
      </c>
    </row>
    <row r="42" spans="1:31" x14ac:dyDescent="0.25">
      <c r="A42" s="8" t="s">
        <v>325</v>
      </c>
      <c r="B42" s="9" t="s">
        <v>326</v>
      </c>
      <c r="C42" s="9" t="s">
        <v>376</v>
      </c>
      <c r="D42" s="7">
        <v>17.454545454545499</v>
      </c>
      <c r="E42" s="7">
        <v>17.454545454545499</v>
      </c>
      <c r="F42" s="7">
        <v>16.363636363636399</v>
      </c>
      <c r="G42" s="7"/>
      <c r="H42" s="7">
        <v>22.262773722627699</v>
      </c>
      <c r="I42" s="7">
        <v>22.262773722627699</v>
      </c>
      <c r="J42" s="7">
        <v>21.355932203389798</v>
      </c>
      <c r="K42" s="7">
        <v>21.355932203389798</v>
      </c>
      <c r="L42" s="7">
        <v>30.407523510971799</v>
      </c>
      <c r="M42" s="7">
        <v>30.407523510971799</v>
      </c>
      <c r="N42" s="7">
        <v>30.407523510971799</v>
      </c>
      <c r="O42" s="7">
        <v>30.407523510971799</v>
      </c>
      <c r="P42" s="7">
        <v>30.650154798761601</v>
      </c>
      <c r="Q42" s="7"/>
      <c r="R42" s="7">
        <v>36</v>
      </c>
      <c r="S42" s="7">
        <v>36</v>
      </c>
      <c r="T42" s="7">
        <v>36</v>
      </c>
      <c r="U42" s="7">
        <v>36</v>
      </c>
      <c r="V42" s="7">
        <v>36</v>
      </c>
      <c r="W42" s="7">
        <v>36.559139784946197</v>
      </c>
      <c r="X42" s="7">
        <v>37.179487179487197</v>
      </c>
      <c r="Y42" s="7">
        <v>37.179487179487197</v>
      </c>
      <c r="Z42" s="7">
        <v>36.895674300254498</v>
      </c>
      <c r="AA42" s="7">
        <v>36.71875</v>
      </c>
      <c r="AB42" s="7">
        <v>36.855670103092798</v>
      </c>
      <c r="AC42" s="7">
        <v>36.855670103092798</v>
      </c>
      <c r="AD42" s="7">
        <v>37.404580152671798</v>
      </c>
      <c r="AE42" s="7">
        <v>37.404580152671798</v>
      </c>
    </row>
    <row r="43" spans="1:31" x14ac:dyDescent="0.25">
      <c r="A43" s="8" t="s">
        <v>331</v>
      </c>
      <c r="B43" s="9" t="s">
        <v>332</v>
      </c>
      <c r="C43" s="9" t="s">
        <v>376</v>
      </c>
      <c r="D43" s="7">
        <v>1.2345679012345701</v>
      </c>
      <c r="E43" s="7">
        <v>1.2345679012345701</v>
      </c>
      <c r="F43" s="7"/>
      <c r="G43" s="7">
        <v>4.9382716049382704</v>
      </c>
      <c r="H43" s="7">
        <v>4.9382716049382704</v>
      </c>
      <c r="I43" s="7">
        <v>4.9382716049382704</v>
      </c>
      <c r="J43" s="7">
        <v>7.4074074074074101</v>
      </c>
      <c r="K43" s="7">
        <v>6.1728395061728403</v>
      </c>
      <c r="L43" s="7">
        <v>7.4074074074074101</v>
      </c>
      <c r="M43" s="7">
        <v>8.6419753086419693</v>
      </c>
      <c r="N43" s="7">
        <v>11.1111111111111</v>
      </c>
      <c r="O43" s="7">
        <v>11.1111111111111</v>
      </c>
      <c r="P43" s="7">
        <v>11.1111111111111</v>
      </c>
      <c r="Q43" s="7">
        <v>11.1111111111111</v>
      </c>
      <c r="R43" s="7">
        <v>11.1111111111111</v>
      </c>
      <c r="S43" s="7">
        <v>11.1111111111111</v>
      </c>
      <c r="T43" s="7">
        <v>15.384615384615399</v>
      </c>
      <c r="U43" s="7">
        <v>17.582417582417602</v>
      </c>
      <c r="V43" s="7">
        <v>17.582417582417602</v>
      </c>
      <c r="W43" s="7">
        <v>17.582417582417602</v>
      </c>
      <c r="X43" s="7">
        <v>17.582417582417602</v>
      </c>
      <c r="Y43" s="7">
        <v>17.582417582417602</v>
      </c>
      <c r="Z43" s="7">
        <v>16.4835164835165</v>
      </c>
      <c r="AA43" s="7">
        <v>18.6813186813187</v>
      </c>
      <c r="AB43" s="7">
        <v>18.6813186813187</v>
      </c>
      <c r="AC43" s="7">
        <v>18.6813186813187</v>
      </c>
      <c r="AD43" s="7">
        <v>19.780219780219799</v>
      </c>
      <c r="AE43" s="7">
        <v>18.5840707964602</v>
      </c>
    </row>
    <row r="44" spans="1:31" x14ac:dyDescent="0.25">
      <c r="A44" s="8" t="s">
        <v>343</v>
      </c>
      <c r="B44" s="9" t="s">
        <v>344</v>
      </c>
      <c r="C44" s="9" t="s">
        <v>376</v>
      </c>
      <c r="D44" s="7">
        <v>18.115942028985501</v>
      </c>
      <c r="E44" s="7">
        <v>18.115942028985501</v>
      </c>
      <c r="F44" s="7">
        <v>17.921146953405</v>
      </c>
      <c r="G44" s="7">
        <v>17.793594306049801</v>
      </c>
      <c r="H44" s="7">
        <v>24.671052631578899</v>
      </c>
      <c r="I44" s="7">
        <v>24.671052631578899</v>
      </c>
      <c r="J44" s="7">
        <v>24.671052631578899</v>
      </c>
      <c r="K44" s="7">
        <v>23.934426229508201</v>
      </c>
      <c r="L44" s="7">
        <v>23.934426229508201</v>
      </c>
      <c r="M44" s="7">
        <v>29.819277108433699</v>
      </c>
      <c r="N44" s="7">
        <v>30.722891566265101</v>
      </c>
      <c r="O44" s="7">
        <v>30.722891566265101</v>
      </c>
      <c r="P44" s="7">
        <v>31.481481481481499</v>
      </c>
      <c r="Q44" s="7">
        <v>31.2883435582822</v>
      </c>
      <c r="R44" s="7">
        <v>34.974093264248701</v>
      </c>
      <c r="S44" s="7">
        <v>34.974093264248701</v>
      </c>
      <c r="T44" s="7">
        <v>34.974093264248701</v>
      </c>
      <c r="U44" s="7">
        <v>34.974093264248701</v>
      </c>
      <c r="V44" s="7">
        <v>34.974093264248701</v>
      </c>
      <c r="W44" s="7">
        <v>33.489461358313797</v>
      </c>
      <c r="X44" s="7">
        <v>34.298440979955501</v>
      </c>
      <c r="Y44" s="7">
        <v>34.298440979955501</v>
      </c>
      <c r="Z44" s="7">
        <v>34.858387799564298</v>
      </c>
      <c r="AA44" s="7">
        <v>34.858387799564298</v>
      </c>
      <c r="AB44" s="7">
        <v>33.812949640287798</v>
      </c>
      <c r="AC44" s="7">
        <v>33.812949640287798</v>
      </c>
      <c r="AD44" s="7">
        <v>33.812949640287798</v>
      </c>
      <c r="AE44" s="7">
        <v>33.931777378815099</v>
      </c>
    </row>
    <row r="45" spans="1:31" x14ac:dyDescent="0.25">
      <c r="A45" s="8" t="s">
        <v>367</v>
      </c>
      <c r="B45" s="9" t="s">
        <v>368</v>
      </c>
      <c r="C45" s="9" t="s">
        <v>376</v>
      </c>
      <c r="D45" s="7">
        <v>9.67741935483871</v>
      </c>
      <c r="E45" s="7">
        <v>10.2564102564103</v>
      </c>
      <c r="F45" s="7">
        <v>10.126582278480999</v>
      </c>
      <c r="G45" s="7">
        <v>10.126582278480999</v>
      </c>
      <c r="H45" s="7">
        <v>10.126582278480999</v>
      </c>
      <c r="I45" s="7">
        <v>12.025316455696199</v>
      </c>
      <c r="J45" s="7">
        <v>12.025316455696199</v>
      </c>
      <c r="K45" s="7">
        <v>12.025316455696199</v>
      </c>
      <c r="L45" s="7">
        <v>12.6582278481013</v>
      </c>
      <c r="M45" s="7">
        <v>14.6496815286624</v>
      </c>
      <c r="N45" s="7">
        <v>15.1898734177215</v>
      </c>
      <c r="O45" s="7">
        <v>15.1898734177215</v>
      </c>
      <c r="P45" s="7">
        <v>14.012738853503199</v>
      </c>
      <c r="Q45" s="7">
        <v>14.012738853503199</v>
      </c>
      <c r="R45" s="7">
        <v>11.4649681528662</v>
      </c>
      <c r="S45" s="7">
        <v>11.4649681528662</v>
      </c>
      <c r="T45" s="7">
        <v>11.4649681528662</v>
      </c>
      <c r="U45" s="7">
        <v>10.7594936708861</v>
      </c>
      <c r="V45" s="7">
        <v>12.6582278481013</v>
      </c>
      <c r="W45" s="7">
        <v>17.964071856287401</v>
      </c>
      <c r="X45" s="7">
        <v>17.964071856287401</v>
      </c>
      <c r="Y45" s="7">
        <v>17.964071856287401</v>
      </c>
      <c r="Z45" s="7">
        <v>17.964071856287401</v>
      </c>
      <c r="AA45" s="7">
        <v>16.766467065868301</v>
      </c>
      <c r="AB45" s="7">
        <v>15.060240963855399</v>
      </c>
      <c r="AC45" s="7">
        <v>15.060240963855399</v>
      </c>
      <c r="AD45" s="7">
        <v>14.9700598802395</v>
      </c>
      <c r="AE45" s="7">
        <v>14.9700598802395</v>
      </c>
    </row>
    <row r="46" spans="1:31" x14ac:dyDescent="0.25">
      <c r="A46" s="8" t="s">
        <v>369</v>
      </c>
      <c r="B46" s="9" t="s">
        <v>370</v>
      </c>
      <c r="C46" s="9" t="s">
        <v>376</v>
      </c>
      <c r="D46" s="7">
        <v>14.6666666666667</v>
      </c>
      <c r="E46" s="7">
        <v>14.6666666666667</v>
      </c>
      <c r="F46" s="7">
        <v>14</v>
      </c>
      <c r="G46" s="7">
        <v>9.3333333333333304</v>
      </c>
      <c r="H46" s="7">
        <v>10</v>
      </c>
      <c r="I46" s="7">
        <v>10</v>
      </c>
      <c r="J46" s="7">
        <v>10</v>
      </c>
      <c r="K46" s="7">
        <v>10</v>
      </c>
      <c r="L46" s="7">
        <v>16</v>
      </c>
      <c r="M46" s="7">
        <v>16.6666666666667</v>
      </c>
      <c r="N46" s="7">
        <v>16</v>
      </c>
      <c r="O46" s="7">
        <v>15.2380952380952</v>
      </c>
      <c r="P46" s="7">
        <v>14.953271028037401</v>
      </c>
      <c r="Q46" s="7">
        <v>14.953271028037401</v>
      </c>
      <c r="R46" s="7">
        <v>14.953271028037401</v>
      </c>
      <c r="S46" s="7">
        <v>14.953271028037401</v>
      </c>
      <c r="T46" s="7">
        <v>31.481481481481499</v>
      </c>
      <c r="U46" s="7">
        <v>31.481481481481499</v>
      </c>
      <c r="V46" s="7">
        <v>31.481481481481499</v>
      </c>
      <c r="W46" s="7">
        <v>31.481481481481499</v>
      </c>
      <c r="X46" s="7">
        <v>32.575757575757599</v>
      </c>
      <c r="Y46" s="7">
        <v>31.481481481481499</v>
      </c>
      <c r="Z46" s="7">
        <v>31.851851851851901</v>
      </c>
      <c r="AA46" s="7">
        <v>31.851851851851901</v>
      </c>
      <c r="AB46" s="7">
        <v>31.851851851851901</v>
      </c>
      <c r="AC46" s="7">
        <v>30.5660377358491</v>
      </c>
      <c r="AD46" s="7">
        <v>30.681818181818201</v>
      </c>
      <c r="AE46" s="7">
        <v>28.089887640449401</v>
      </c>
    </row>
    <row r="48" spans="1:31" ht="14" x14ac:dyDescent="0.3">
      <c r="C48" s="30" t="s">
        <v>414</v>
      </c>
      <c r="D48" s="15">
        <v>1997</v>
      </c>
      <c r="E48" s="15">
        <v>1998</v>
      </c>
      <c r="F48" s="15">
        <v>1999</v>
      </c>
      <c r="G48" s="15">
        <v>2000</v>
      </c>
      <c r="H48" s="15">
        <v>2001</v>
      </c>
      <c r="I48" s="15">
        <v>2002</v>
      </c>
      <c r="J48" s="15">
        <v>2003</v>
      </c>
      <c r="K48" s="15">
        <v>2004</v>
      </c>
      <c r="L48" s="15">
        <v>2005</v>
      </c>
      <c r="M48" s="15">
        <v>2006</v>
      </c>
      <c r="N48" s="15">
        <v>2007</v>
      </c>
      <c r="O48" s="15">
        <v>2008</v>
      </c>
      <c r="P48" s="15">
        <v>2009</v>
      </c>
      <c r="Q48" s="15">
        <v>2010</v>
      </c>
      <c r="R48" s="15">
        <v>2011</v>
      </c>
      <c r="S48" s="15">
        <v>2012</v>
      </c>
      <c r="T48" s="15">
        <v>2013</v>
      </c>
      <c r="U48" s="15">
        <v>2014</v>
      </c>
      <c r="V48" s="15">
        <v>2015</v>
      </c>
      <c r="W48" s="15">
        <v>2016</v>
      </c>
      <c r="X48" s="15">
        <v>2017</v>
      </c>
      <c r="Y48" s="15">
        <v>2018</v>
      </c>
      <c r="Z48" s="15">
        <v>2019</v>
      </c>
      <c r="AA48" s="15">
        <v>2020</v>
      </c>
      <c r="AB48" s="15">
        <v>2021</v>
      </c>
      <c r="AC48" s="15">
        <v>2022</v>
      </c>
      <c r="AD48" s="15">
        <v>2023</v>
      </c>
      <c r="AE48" s="15">
        <v>2024</v>
      </c>
    </row>
    <row r="49" spans="3:31" x14ac:dyDescent="0.25">
      <c r="C49" s="8" t="s">
        <v>14</v>
      </c>
      <c r="D49" s="29">
        <f>AVERAGE(D2:D46)</f>
        <v>9.7651617575995875</v>
      </c>
      <c r="E49" s="29">
        <f t="shared" ref="E49:AE49" si="0">AVERAGE(E2:E46)</f>
        <v>10.22568138682621</v>
      </c>
      <c r="F49" s="29">
        <f t="shared" si="0"/>
        <v>10.276015854746362</v>
      </c>
      <c r="G49" s="29">
        <f t="shared" si="0"/>
        <v>10.743943710929285</v>
      </c>
      <c r="H49" s="29">
        <f t="shared" si="0"/>
        <v>11.20980998996982</v>
      </c>
      <c r="I49" s="29">
        <f t="shared" si="0"/>
        <v>12.806794849833571</v>
      </c>
      <c r="J49" s="29">
        <f t="shared" si="0"/>
        <v>13.796264978065668</v>
      </c>
      <c r="K49" s="29">
        <f t="shared" si="0"/>
        <v>14.233795956971317</v>
      </c>
      <c r="L49" s="29">
        <f t="shared" si="0"/>
        <v>15.616384481121431</v>
      </c>
      <c r="M49" s="29">
        <f t="shared" si="0"/>
        <v>15.892912266856454</v>
      </c>
      <c r="N49" s="29">
        <f t="shared" si="0"/>
        <v>16.345921525863336</v>
      </c>
      <c r="O49" s="29">
        <f t="shared" si="0"/>
        <v>16.803148934560117</v>
      </c>
      <c r="P49" s="29">
        <f t="shared" si="0"/>
        <v>17.394345717472056</v>
      </c>
      <c r="Q49" s="29">
        <f t="shared" si="0"/>
        <v>17.613098424626749</v>
      </c>
      <c r="R49" s="29">
        <f t="shared" si="0"/>
        <v>19.003446668047136</v>
      </c>
      <c r="S49" s="29">
        <f t="shared" si="0"/>
        <v>19.757969103871702</v>
      </c>
      <c r="T49" s="29">
        <f t="shared" si="0"/>
        <v>21.112150293590147</v>
      </c>
      <c r="U49" s="29">
        <f t="shared" si="0"/>
        <v>20.8704996043524</v>
      </c>
      <c r="V49" s="29">
        <f t="shared" si="0"/>
        <v>21.609493351350185</v>
      </c>
      <c r="W49" s="29">
        <f t="shared" si="0"/>
        <v>21.020694569517669</v>
      </c>
      <c r="X49" s="29">
        <f t="shared" si="0"/>
        <v>21.102932293873188</v>
      </c>
      <c r="Y49" s="29">
        <f t="shared" si="0"/>
        <v>21.327407020996105</v>
      </c>
      <c r="Z49" s="29">
        <f t="shared" si="0"/>
        <v>21.669763950473907</v>
      </c>
      <c r="AA49" s="29">
        <f t="shared" si="0"/>
        <v>22.688384982697325</v>
      </c>
      <c r="AB49" s="29">
        <f t="shared" si="0"/>
        <v>24.017407991419944</v>
      </c>
      <c r="AC49" s="29">
        <f t="shared" si="0"/>
        <v>24.56779862437838</v>
      </c>
      <c r="AD49" s="29">
        <f t="shared" si="0"/>
        <v>25.644552029982755</v>
      </c>
      <c r="AE49" s="29">
        <f t="shared" si="0"/>
        <v>25.788247054185632</v>
      </c>
    </row>
    <row r="50" spans="3:31" x14ac:dyDescent="0.25">
      <c r="C50" s="8" t="s">
        <v>379</v>
      </c>
      <c r="D50" s="29">
        <v>8.7678786335414109</v>
      </c>
      <c r="E50" s="29">
        <v>9.4346973366085276</v>
      </c>
      <c r="F50" s="29">
        <v>9.2552292431322929</v>
      </c>
      <c r="G50" s="29">
        <v>9.7368042194667961</v>
      </c>
      <c r="H50" s="29">
        <v>10.159367919562136</v>
      </c>
      <c r="I50" s="29">
        <v>11.783818678320804</v>
      </c>
      <c r="J50" s="29">
        <v>11.729648237026948</v>
      </c>
      <c r="K50" s="29">
        <v>12.191391818705402</v>
      </c>
      <c r="L50" s="29">
        <v>12.511964514361354</v>
      </c>
      <c r="M50" s="29">
        <v>12.931449825307995</v>
      </c>
      <c r="N50" s="29">
        <v>13.855436398031518</v>
      </c>
      <c r="O50" s="29">
        <v>13.879775900975547</v>
      </c>
      <c r="P50" s="29">
        <v>14.453652788102913</v>
      </c>
      <c r="Q50" s="29">
        <v>14.448757240190583</v>
      </c>
      <c r="R50" s="29">
        <v>14.975949141976745</v>
      </c>
      <c r="S50" s="29">
        <v>15.897149315673243</v>
      </c>
      <c r="T50" s="29">
        <v>16.758461894687258</v>
      </c>
      <c r="U50" s="29">
        <v>17.297409907398293</v>
      </c>
      <c r="V50" s="29">
        <v>17.879537311257625</v>
      </c>
      <c r="W50" s="29">
        <v>18.393472073883864</v>
      </c>
      <c r="X50" s="29">
        <v>19.166645428090561</v>
      </c>
      <c r="Y50" s="29">
        <v>19.94464598529904</v>
      </c>
      <c r="Z50" s="29">
        <v>20.882216936392368</v>
      </c>
      <c r="AA50" s="29">
        <v>21.558561138315405</v>
      </c>
      <c r="AB50" s="29">
        <v>22.026533154428009</v>
      </c>
      <c r="AC50" s="29">
        <v>22.519317841046032</v>
      </c>
      <c r="AD50" s="29">
        <v>22.693888113808136</v>
      </c>
      <c r="AE50" s="29">
        <v>23.496949272336678</v>
      </c>
    </row>
    <row r="51" spans="3:31" x14ac:dyDescent="0.25">
      <c r="C51" s="8" t="s">
        <v>380</v>
      </c>
      <c r="D51" s="29">
        <v>16.781612153085398</v>
      </c>
      <c r="E51" s="29">
        <v>17.100265025235963</v>
      </c>
      <c r="F51" s="29">
        <v>18.55747139839152</v>
      </c>
      <c r="G51" s="29">
        <v>19.590240805641947</v>
      </c>
      <c r="H51" s="29">
        <v>19.246329240381105</v>
      </c>
      <c r="I51" s="29">
        <v>20.02954287305635</v>
      </c>
      <c r="J51" s="29">
        <v>21.07532504141313</v>
      </c>
      <c r="K51" s="29">
        <v>22.323113421054341</v>
      </c>
      <c r="L51" s="29">
        <v>22.994031711832505</v>
      </c>
      <c r="M51" s="29">
        <v>23.215996677910695</v>
      </c>
      <c r="N51" s="29">
        <v>24.141789291278716</v>
      </c>
      <c r="O51" s="29">
        <v>24.058718959578826</v>
      </c>
      <c r="P51" s="29">
        <v>25.122814177425795</v>
      </c>
      <c r="Q51" s="29">
        <v>25.152333379667599</v>
      </c>
      <c r="R51" s="29">
        <v>26.276156717187966</v>
      </c>
      <c r="S51" s="29">
        <v>26.662133436421293</v>
      </c>
      <c r="T51" s="29">
        <v>27.758766826067813</v>
      </c>
      <c r="U51" s="29">
        <v>27.829477151677857</v>
      </c>
      <c r="V51" s="29">
        <v>27.985316014395405</v>
      </c>
      <c r="W51" s="29">
        <v>28.4534210945254</v>
      </c>
      <c r="X51" s="29">
        <v>28.899373053356005</v>
      </c>
      <c r="Y51" s="29">
        <v>29.112866786717866</v>
      </c>
      <c r="Z51" s="29">
        <v>30.766423994730342</v>
      </c>
      <c r="AA51" s="29">
        <v>32.18506113454292</v>
      </c>
      <c r="AB51" s="29">
        <v>32.943560377050723</v>
      </c>
      <c r="AC51" s="29">
        <v>33.671075143064137</v>
      </c>
      <c r="AD51" s="29">
        <v>33.802949302501432</v>
      </c>
      <c r="AE51" s="29">
        <v>33.947062934058323</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96E47-F5E5-44D1-B32E-B1E4DE646EBB}">
  <dimension ref="A1:F50"/>
  <sheetViews>
    <sheetView zoomScale="107" workbookViewId="0">
      <selection activeCell="A13" sqref="A13"/>
    </sheetView>
  </sheetViews>
  <sheetFormatPr defaultColWidth="8.7265625" defaultRowHeight="12.5" x14ac:dyDescent="0.25"/>
  <cols>
    <col min="1" max="1" width="30.453125" style="18" bestFit="1" customWidth="1"/>
    <col min="2" max="2" width="14.54296875" style="18" bestFit="1" customWidth="1"/>
    <col min="3" max="3" width="9.81640625" style="18" bestFit="1" customWidth="1"/>
    <col min="4" max="16384" width="8.7265625" style="18"/>
  </cols>
  <sheetData>
    <row r="1" spans="1:6" ht="14" x14ac:dyDescent="0.3">
      <c r="A1" s="22" t="s">
        <v>0</v>
      </c>
      <c r="B1" s="23" t="s">
        <v>1</v>
      </c>
      <c r="C1" s="24" t="s">
        <v>3</v>
      </c>
      <c r="D1" s="25" t="s">
        <v>372</v>
      </c>
      <c r="E1" s="25" t="s">
        <v>373</v>
      </c>
      <c r="F1" s="25" t="s">
        <v>371</v>
      </c>
    </row>
    <row r="2" spans="1:6" x14ac:dyDescent="0.25">
      <c r="A2" s="8" t="s">
        <v>12</v>
      </c>
      <c r="B2" s="9" t="s">
        <v>13</v>
      </c>
      <c r="C2" s="6">
        <v>0</v>
      </c>
      <c r="D2" s="21">
        <v>36.132131383966801</v>
      </c>
      <c r="E2" s="21">
        <v>22.3316464905364</v>
      </c>
      <c r="F2" s="20">
        <v>2014</v>
      </c>
    </row>
    <row r="3" spans="1:6" x14ac:dyDescent="0.25">
      <c r="A3" s="8" t="s">
        <v>41</v>
      </c>
      <c r="B3" s="9" t="s">
        <v>42</v>
      </c>
      <c r="C3" s="6">
        <v>0</v>
      </c>
      <c r="D3" s="21">
        <v>55.016187510097097</v>
      </c>
      <c r="E3" s="21">
        <v>49.0557470327837</v>
      </c>
      <c r="F3" s="20">
        <v>2024</v>
      </c>
    </row>
    <row r="4" spans="1:6" x14ac:dyDescent="0.25">
      <c r="A4" s="8" t="s">
        <v>49</v>
      </c>
      <c r="B4" s="9" t="s">
        <v>50</v>
      </c>
      <c r="C4" s="6">
        <v>0</v>
      </c>
      <c r="D4" s="21">
        <v>63.550208809833499</v>
      </c>
      <c r="E4" s="21">
        <v>59.6866154697314</v>
      </c>
      <c r="F4" s="20">
        <v>2024</v>
      </c>
    </row>
    <row r="5" spans="1:6" x14ac:dyDescent="0.25">
      <c r="A5" s="8" t="s">
        <v>57</v>
      </c>
      <c r="B5" s="9" t="s">
        <v>58</v>
      </c>
      <c r="C5" s="6">
        <v>0</v>
      </c>
      <c r="D5" s="21">
        <v>59.785369864792102</v>
      </c>
      <c r="E5" s="21">
        <v>43.989040515510602</v>
      </c>
      <c r="F5" s="20">
        <v>2024</v>
      </c>
    </row>
    <row r="6" spans="1:6" x14ac:dyDescent="0.25">
      <c r="A6" s="8" t="s">
        <v>65</v>
      </c>
      <c r="B6" s="9" t="s">
        <v>66</v>
      </c>
      <c r="C6" s="6">
        <v>0</v>
      </c>
      <c r="D6" s="21">
        <v>69.355357795651202</v>
      </c>
      <c r="E6" s="21">
        <v>52.8996933484284</v>
      </c>
      <c r="F6" s="20">
        <v>2024</v>
      </c>
    </row>
    <row r="7" spans="1:6" x14ac:dyDescent="0.25">
      <c r="A7" s="8" t="s">
        <v>69</v>
      </c>
      <c r="B7" s="9" t="s">
        <v>70</v>
      </c>
      <c r="C7" s="6">
        <v>0</v>
      </c>
      <c r="D7" s="21">
        <v>18.082501344832799</v>
      </c>
      <c r="E7" s="21">
        <v>9.7176174896530192</v>
      </c>
      <c r="F7" s="20">
        <v>2017</v>
      </c>
    </row>
    <row r="8" spans="1:6" x14ac:dyDescent="0.25">
      <c r="A8" s="8" t="s">
        <v>71</v>
      </c>
      <c r="B8" s="9" t="s">
        <v>72</v>
      </c>
      <c r="C8" s="6">
        <v>0</v>
      </c>
      <c r="D8" s="21">
        <v>21.693763783919199</v>
      </c>
      <c r="E8" s="21">
        <v>20.140153154661299</v>
      </c>
      <c r="F8" s="20">
        <v>2024</v>
      </c>
    </row>
    <row r="9" spans="1:6" x14ac:dyDescent="0.25">
      <c r="A9" s="8" t="s">
        <v>79</v>
      </c>
      <c r="B9" s="9" t="s">
        <v>80</v>
      </c>
      <c r="C9" s="6">
        <v>0</v>
      </c>
      <c r="D9" s="21">
        <v>49.602471951137503</v>
      </c>
      <c r="E9" s="21">
        <v>41.839442705705302</v>
      </c>
      <c r="F9" s="20">
        <v>2024</v>
      </c>
    </row>
    <row r="10" spans="1:6" x14ac:dyDescent="0.25">
      <c r="A10" s="8" t="s">
        <v>81</v>
      </c>
      <c r="B10" s="9" t="s">
        <v>82</v>
      </c>
      <c r="C10" s="6">
        <v>0</v>
      </c>
      <c r="D10" s="21">
        <v>44.594445859031403</v>
      </c>
      <c r="E10" s="21">
        <v>33.456142782961699</v>
      </c>
      <c r="F10" s="20">
        <v>2024</v>
      </c>
    </row>
    <row r="11" spans="1:6" x14ac:dyDescent="0.25">
      <c r="A11" s="8" t="s">
        <v>83</v>
      </c>
      <c r="B11" s="9" t="s">
        <v>84</v>
      </c>
      <c r="C11" s="6">
        <v>0</v>
      </c>
      <c r="D11" s="21">
        <v>60.558639145526499</v>
      </c>
      <c r="E11" s="21">
        <v>50.591639345306398</v>
      </c>
      <c r="F11" s="20">
        <v>2024</v>
      </c>
    </row>
    <row r="12" spans="1:6" x14ac:dyDescent="0.25">
      <c r="A12" s="8" t="s">
        <v>87</v>
      </c>
      <c r="B12" s="8" t="s">
        <v>88</v>
      </c>
      <c r="C12" s="6">
        <v>0</v>
      </c>
      <c r="D12" s="21">
        <v>61.202744650605503</v>
      </c>
      <c r="E12" s="21">
        <v>53.817549836407501</v>
      </c>
      <c r="F12" s="20">
        <v>2024</v>
      </c>
    </row>
    <row r="13" spans="1:6" x14ac:dyDescent="0.25">
      <c r="A13" s="8" t="s">
        <v>113</v>
      </c>
      <c r="B13" s="8" t="s">
        <v>114</v>
      </c>
      <c r="C13" s="6">
        <v>0</v>
      </c>
      <c r="D13" s="21">
        <v>64.809563032206995</v>
      </c>
      <c r="E13" s="21">
        <v>65.3509471878412</v>
      </c>
      <c r="F13" s="20">
        <v>2024</v>
      </c>
    </row>
    <row r="14" spans="1:6" x14ac:dyDescent="0.25">
      <c r="A14" s="8" t="s">
        <v>115</v>
      </c>
      <c r="B14" s="8" t="s">
        <v>116</v>
      </c>
      <c r="C14" s="6">
        <v>1</v>
      </c>
      <c r="D14" s="21">
        <v>56.5265673875994</v>
      </c>
      <c r="E14" s="21">
        <v>41.615971332099399</v>
      </c>
      <c r="F14" s="20">
        <v>2024</v>
      </c>
    </row>
    <row r="15" spans="1:6" x14ac:dyDescent="0.25">
      <c r="A15" s="8" t="s">
        <v>123</v>
      </c>
      <c r="B15" s="8" t="s">
        <v>124</v>
      </c>
      <c r="C15" s="6">
        <v>0</v>
      </c>
      <c r="D15" s="21">
        <v>72.417329210808006</v>
      </c>
      <c r="E15" s="21">
        <v>63.721331083560401</v>
      </c>
      <c r="F15" s="20">
        <v>2024</v>
      </c>
    </row>
    <row r="16" spans="1:6" x14ac:dyDescent="0.25">
      <c r="A16" s="8" t="s">
        <v>125</v>
      </c>
      <c r="B16" s="8" t="s">
        <v>126</v>
      </c>
      <c r="C16" s="6">
        <v>0</v>
      </c>
      <c r="D16" s="21">
        <v>41.726889018907499</v>
      </c>
      <c r="E16" s="21">
        <v>34.862491856645697</v>
      </c>
      <c r="F16" s="20">
        <v>2024</v>
      </c>
    </row>
    <row r="17" spans="1:6" x14ac:dyDescent="0.25">
      <c r="A17" s="8" t="s">
        <v>131</v>
      </c>
      <c r="B17" s="8" t="s">
        <v>132</v>
      </c>
      <c r="C17" s="6">
        <v>0</v>
      </c>
      <c r="D17" s="21">
        <v>84.419423647598506</v>
      </c>
      <c r="E17" s="21">
        <v>78.310446680113301</v>
      </c>
      <c r="F17" s="20">
        <v>2024</v>
      </c>
    </row>
    <row r="18" spans="1:6" x14ac:dyDescent="0.25">
      <c r="A18" s="8" t="s">
        <v>137</v>
      </c>
      <c r="B18" s="8" t="s">
        <v>138</v>
      </c>
      <c r="C18" s="6">
        <v>0</v>
      </c>
      <c r="D18" s="21">
        <v>40.859970935378499</v>
      </c>
      <c r="E18" s="21">
        <v>31.2380546293167</v>
      </c>
      <c r="F18" s="20">
        <v>2024</v>
      </c>
    </row>
    <row r="19" spans="1:6" x14ac:dyDescent="0.25">
      <c r="A19" s="8" t="s">
        <v>175</v>
      </c>
      <c r="B19" s="8" t="s">
        <v>176</v>
      </c>
      <c r="C19" s="6">
        <v>1</v>
      </c>
      <c r="D19" s="21">
        <v>93.889509049655302</v>
      </c>
      <c r="E19" s="21">
        <v>86.515534401574797</v>
      </c>
      <c r="F19" s="20">
        <v>2024</v>
      </c>
    </row>
    <row r="20" spans="1:6" x14ac:dyDescent="0.25">
      <c r="A20" s="8" t="s">
        <v>191</v>
      </c>
      <c r="B20" s="8" t="s">
        <v>192</v>
      </c>
      <c r="C20" s="6">
        <v>0</v>
      </c>
      <c r="D20" s="21">
        <v>62.915302715596397</v>
      </c>
      <c r="E20" s="21">
        <v>60.4259618948848</v>
      </c>
      <c r="F20" s="20">
        <v>2024</v>
      </c>
    </row>
    <row r="21" spans="1:6" x14ac:dyDescent="0.25">
      <c r="A21" s="8" t="s">
        <v>193</v>
      </c>
      <c r="B21" s="8" t="s">
        <v>194</v>
      </c>
      <c r="C21" s="6">
        <v>0</v>
      </c>
      <c r="D21" s="21">
        <v>58.131144696964903</v>
      </c>
      <c r="E21" s="21">
        <v>46.2794636646139</v>
      </c>
      <c r="F21" s="20">
        <v>2024</v>
      </c>
    </row>
    <row r="22" spans="1:6" x14ac:dyDescent="0.25">
      <c r="A22" s="8" t="s">
        <v>203</v>
      </c>
      <c r="B22" s="8" t="s">
        <v>204</v>
      </c>
      <c r="C22" s="6">
        <v>0</v>
      </c>
      <c r="D22" s="21">
        <v>28.9510608133895</v>
      </c>
      <c r="E22" s="21">
        <v>20.296518425250898</v>
      </c>
      <c r="F22" s="20">
        <v>2024</v>
      </c>
    </row>
    <row r="23" spans="1:6" x14ac:dyDescent="0.25">
      <c r="A23" s="8" t="s">
        <v>205</v>
      </c>
      <c r="B23" s="8" t="s">
        <v>206</v>
      </c>
      <c r="C23" s="6">
        <v>1</v>
      </c>
      <c r="D23" s="21">
        <v>54.835476598581799</v>
      </c>
      <c r="E23" s="21">
        <v>46.279770842724901</v>
      </c>
      <c r="F23" s="20">
        <v>2024</v>
      </c>
    </row>
    <row r="24" spans="1:6" x14ac:dyDescent="0.25">
      <c r="A24" s="8" t="s">
        <v>211</v>
      </c>
      <c r="B24" s="8" t="s">
        <v>212</v>
      </c>
      <c r="C24" s="6">
        <v>0</v>
      </c>
      <c r="D24" s="21">
        <v>64.185279812670998</v>
      </c>
      <c r="E24" s="21">
        <v>45.604596570899901</v>
      </c>
      <c r="F24" s="20">
        <v>2024</v>
      </c>
    </row>
    <row r="25" spans="1:6" x14ac:dyDescent="0.25">
      <c r="A25" s="8" t="s">
        <v>217</v>
      </c>
      <c r="B25" s="8" t="s">
        <v>218</v>
      </c>
      <c r="C25" s="6">
        <v>0</v>
      </c>
      <c r="D25" s="21">
        <v>91.783204766415494</v>
      </c>
      <c r="E25" s="21">
        <v>87.442770260749995</v>
      </c>
      <c r="F25" s="20">
        <v>2024</v>
      </c>
    </row>
    <row r="26" spans="1:6" x14ac:dyDescent="0.25">
      <c r="A26" s="8" t="s">
        <v>229</v>
      </c>
      <c r="B26" s="8" t="s">
        <v>230</v>
      </c>
      <c r="C26" s="6">
        <v>0</v>
      </c>
      <c r="D26" s="21">
        <v>63.354996211833203</v>
      </c>
      <c r="E26" s="21">
        <v>45.4883633087181</v>
      </c>
      <c r="F26" s="20">
        <v>2024</v>
      </c>
    </row>
    <row r="27" spans="1:6" x14ac:dyDescent="0.25">
      <c r="A27" s="8" t="s">
        <v>233</v>
      </c>
      <c r="B27" s="8" t="s">
        <v>234</v>
      </c>
      <c r="C27" s="6">
        <v>0</v>
      </c>
      <c r="D27" s="21">
        <v>70.659277654641997</v>
      </c>
      <c r="E27" s="21">
        <v>75.038224810669206</v>
      </c>
      <c r="F27" s="20">
        <v>2024</v>
      </c>
    </row>
    <row r="28" spans="1:6" x14ac:dyDescent="0.25">
      <c r="A28" s="8" t="s">
        <v>243</v>
      </c>
      <c r="B28" s="8" t="s">
        <v>244</v>
      </c>
      <c r="C28" s="6">
        <v>0</v>
      </c>
      <c r="D28" s="21">
        <v>17.613956205825499</v>
      </c>
      <c r="E28" s="21">
        <v>12.203046403000601</v>
      </c>
      <c r="F28" s="20">
        <v>2024</v>
      </c>
    </row>
    <row r="29" spans="1:6" x14ac:dyDescent="0.25">
      <c r="A29" s="8" t="s">
        <v>245</v>
      </c>
      <c r="B29" s="8" t="s">
        <v>246</v>
      </c>
      <c r="C29" s="6">
        <v>0</v>
      </c>
      <c r="D29" s="21">
        <v>74.302879584058999</v>
      </c>
      <c r="E29" s="21">
        <v>52.2155914465012</v>
      </c>
      <c r="F29" s="20">
        <v>2024</v>
      </c>
    </row>
    <row r="30" spans="1:6" x14ac:dyDescent="0.25">
      <c r="A30" s="8" t="s">
        <v>277</v>
      </c>
      <c r="B30" s="8" t="s">
        <v>278</v>
      </c>
      <c r="C30" s="6">
        <v>1</v>
      </c>
      <c r="D30" s="21">
        <v>55.745464692484802</v>
      </c>
      <c r="E30" s="21">
        <v>44.960501532741901</v>
      </c>
      <c r="F30" s="20">
        <v>2017</v>
      </c>
    </row>
    <row r="31" spans="1:6" x14ac:dyDescent="0.25">
      <c r="A31" s="8" t="s">
        <v>285</v>
      </c>
      <c r="B31" s="8" t="s">
        <v>286</v>
      </c>
      <c r="C31" s="6">
        <v>0</v>
      </c>
      <c r="D31" s="21">
        <v>79.6122559003812</v>
      </c>
      <c r="E31" s="21">
        <v>73.594134582360596</v>
      </c>
      <c r="F31" s="20">
        <v>2024</v>
      </c>
    </row>
    <row r="32" spans="1:6" x14ac:dyDescent="0.25">
      <c r="A32" s="8" t="s">
        <v>289</v>
      </c>
      <c r="B32" s="8" t="s">
        <v>290</v>
      </c>
      <c r="C32" s="6">
        <v>0</v>
      </c>
      <c r="D32" s="21">
        <v>41.479031896296803</v>
      </c>
      <c r="E32" s="21">
        <v>35.934720342353401</v>
      </c>
      <c r="F32" s="20">
        <v>2024</v>
      </c>
    </row>
    <row r="33" spans="1:6" x14ac:dyDescent="0.25">
      <c r="A33" s="8" t="s">
        <v>301</v>
      </c>
      <c r="B33" s="8" t="s">
        <v>302</v>
      </c>
      <c r="C33" s="6">
        <v>0</v>
      </c>
      <c r="D33" s="21">
        <v>81.278743486231704</v>
      </c>
      <c r="E33" s="21">
        <v>80.992415435839504</v>
      </c>
      <c r="F33" s="20">
        <v>2024</v>
      </c>
    </row>
    <row r="34" spans="1:6" x14ac:dyDescent="0.25">
      <c r="A34" s="8" t="s">
        <v>325</v>
      </c>
      <c r="B34" s="8" t="s">
        <v>326</v>
      </c>
      <c r="C34" s="6">
        <v>1</v>
      </c>
      <c r="D34" s="21">
        <v>65.336246937256504</v>
      </c>
      <c r="E34" s="21">
        <v>54.934631821523602</v>
      </c>
      <c r="F34" s="20">
        <v>2024</v>
      </c>
    </row>
    <row r="35" spans="1:6" x14ac:dyDescent="0.25">
      <c r="A35" s="8" t="s">
        <v>331</v>
      </c>
      <c r="B35" s="8" t="s">
        <v>332</v>
      </c>
      <c r="C35" s="6">
        <v>0</v>
      </c>
      <c r="D35" s="21">
        <v>69.999982816519207</v>
      </c>
      <c r="E35" s="21">
        <v>45.349482515352499</v>
      </c>
      <c r="F35" s="20">
        <v>2024</v>
      </c>
    </row>
    <row r="36" spans="1:6" x14ac:dyDescent="0.25">
      <c r="A36" s="8" t="s">
        <v>343</v>
      </c>
      <c r="B36" s="8" t="s">
        <v>344</v>
      </c>
      <c r="C36" s="6">
        <v>1</v>
      </c>
      <c r="D36" s="21">
        <v>80.267860656899501</v>
      </c>
      <c r="E36" s="21">
        <v>66.367090247420293</v>
      </c>
      <c r="F36" s="20">
        <v>2024</v>
      </c>
    </row>
    <row r="37" spans="1:6" x14ac:dyDescent="0.25">
      <c r="A37" s="8" t="s">
        <v>367</v>
      </c>
      <c r="B37" s="8" t="s">
        <v>368</v>
      </c>
      <c r="C37" s="6">
        <v>0</v>
      </c>
      <c r="D37" s="21">
        <v>75.461434648417693</v>
      </c>
      <c r="E37" s="21">
        <v>70.172074871880994</v>
      </c>
      <c r="F37" s="20">
        <v>2024</v>
      </c>
    </row>
    <row r="38" spans="1:6" x14ac:dyDescent="0.25">
      <c r="A38" s="8" t="s">
        <v>369</v>
      </c>
      <c r="B38" s="8" t="s">
        <v>370</v>
      </c>
      <c r="C38" s="6">
        <v>0</v>
      </c>
      <c r="D38" s="21">
        <v>52.4013370486159</v>
      </c>
      <c r="E38" s="21">
        <v>46.994018206732697</v>
      </c>
      <c r="F38" s="20">
        <v>2024</v>
      </c>
    </row>
    <row r="39" spans="1:6" x14ac:dyDescent="0.25">
      <c r="D39" s="19"/>
      <c r="E39" s="19"/>
    </row>
    <row r="40" spans="1:6" x14ac:dyDescent="0.25">
      <c r="D40" s="19">
        <v>0</v>
      </c>
      <c r="E40" s="19">
        <v>0</v>
      </c>
    </row>
    <row r="41" spans="1:6" x14ac:dyDescent="0.25">
      <c r="D41" s="19">
        <v>10</v>
      </c>
      <c r="E41" s="19">
        <v>10</v>
      </c>
    </row>
    <row r="42" spans="1:6" x14ac:dyDescent="0.25">
      <c r="D42" s="19">
        <v>20</v>
      </c>
      <c r="E42" s="19">
        <v>20</v>
      </c>
    </row>
    <row r="43" spans="1:6" x14ac:dyDescent="0.25">
      <c r="D43" s="19">
        <v>30</v>
      </c>
      <c r="E43" s="19">
        <v>30</v>
      </c>
    </row>
    <row r="44" spans="1:6" x14ac:dyDescent="0.25">
      <c r="D44" s="19">
        <v>40</v>
      </c>
      <c r="E44" s="19">
        <v>40</v>
      </c>
    </row>
    <row r="45" spans="1:6" x14ac:dyDescent="0.25">
      <c r="D45" s="19">
        <v>50</v>
      </c>
      <c r="E45" s="19">
        <v>50</v>
      </c>
    </row>
    <row r="46" spans="1:6" x14ac:dyDescent="0.25">
      <c r="D46" s="19">
        <v>60</v>
      </c>
      <c r="E46" s="19">
        <v>60</v>
      </c>
    </row>
    <row r="47" spans="1:6" x14ac:dyDescent="0.25">
      <c r="D47" s="19">
        <v>70</v>
      </c>
      <c r="E47" s="19">
        <v>70</v>
      </c>
    </row>
    <row r="48" spans="1:6" x14ac:dyDescent="0.25">
      <c r="D48" s="19">
        <v>80</v>
      </c>
      <c r="E48" s="19">
        <v>80</v>
      </c>
    </row>
    <row r="49" spans="4:5" x14ac:dyDescent="0.25">
      <c r="D49" s="19">
        <v>90</v>
      </c>
      <c r="E49" s="19">
        <v>90</v>
      </c>
    </row>
    <row r="50" spans="4:5" x14ac:dyDescent="0.25">
      <c r="D50" s="19">
        <v>100</v>
      </c>
      <c r="E50" s="19">
        <v>100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ED720-887D-4C32-931C-F4E53A4B3B01}">
  <dimension ref="A1:D11"/>
  <sheetViews>
    <sheetView tabSelected="1" workbookViewId="0">
      <selection activeCell="C11" sqref="C11"/>
    </sheetView>
  </sheetViews>
  <sheetFormatPr defaultRowHeight="12.5" x14ac:dyDescent="0.25"/>
  <cols>
    <col min="1" max="1" width="10.453125" customWidth="1"/>
  </cols>
  <sheetData>
    <row r="1" spans="1:4" ht="13" x14ac:dyDescent="0.3">
      <c r="A1" s="5" t="s">
        <v>407</v>
      </c>
      <c r="B1" s="16" t="s">
        <v>372</v>
      </c>
      <c r="C1" s="16" t="s">
        <v>373</v>
      </c>
      <c r="D1" s="16" t="s">
        <v>408</v>
      </c>
    </row>
    <row r="2" spans="1:4" ht="13" x14ac:dyDescent="0.3">
      <c r="A2" s="11" t="s">
        <v>14</v>
      </c>
      <c r="B2" s="28">
        <v>58.987513824989982</v>
      </c>
      <c r="C2" s="28">
        <v>49.992255203433956</v>
      </c>
      <c r="D2" s="28">
        <f>B2-C2</f>
        <v>8.995258621556026</v>
      </c>
    </row>
    <row r="3" spans="1:4" ht="13" x14ac:dyDescent="0.3">
      <c r="A3" s="11" t="s">
        <v>379</v>
      </c>
      <c r="B3" s="28">
        <v>70.68009748001873</v>
      </c>
      <c r="C3" s="28">
        <v>63.695673737225363</v>
      </c>
      <c r="D3" s="28">
        <f>B3-C3</f>
        <v>6.9844237427933678</v>
      </c>
    </row>
    <row r="4" spans="1:4" ht="13" x14ac:dyDescent="0.3">
      <c r="A4" s="11" t="s">
        <v>380</v>
      </c>
      <c r="B4" s="28">
        <v>96.804404497329358</v>
      </c>
      <c r="C4" s="28">
        <v>95.38252711280883</v>
      </c>
      <c r="D4" s="28">
        <f>B4-C4</f>
        <v>1.4218773845205277</v>
      </c>
    </row>
    <row r="10" spans="1:4" ht="35" x14ac:dyDescent="0.25">
      <c r="B10" s="27"/>
    </row>
    <row r="11" spans="1:4" ht="26" x14ac:dyDescent="0.25">
      <c r="B11" s="26"/>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4E39E-DC9B-4F8C-BF18-D2B7ABC0183A}">
  <dimension ref="A1:D46"/>
  <sheetViews>
    <sheetView workbookViewId="0"/>
  </sheetViews>
  <sheetFormatPr defaultRowHeight="12.5" x14ac:dyDescent="0.25"/>
  <cols>
    <col min="1" max="1" width="30.6328125" bestFit="1" customWidth="1"/>
    <col min="2" max="2" width="7.453125" customWidth="1"/>
    <col min="3" max="4" width="10.453125" bestFit="1" customWidth="1"/>
  </cols>
  <sheetData>
    <row r="1" spans="1:4" ht="13" x14ac:dyDescent="0.3">
      <c r="A1" s="17" t="s">
        <v>406</v>
      </c>
      <c r="B1" s="17" t="s">
        <v>413</v>
      </c>
      <c r="C1" s="16" t="s">
        <v>415</v>
      </c>
      <c r="D1" s="16" t="s">
        <v>371</v>
      </c>
    </row>
    <row r="2" spans="1:4" x14ac:dyDescent="0.25">
      <c r="A2" s="8" t="e" vm="1">
        <v>#VALUE!</v>
      </c>
      <c r="B2" s="8" t="s">
        <v>80</v>
      </c>
      <c r="C2" s="10">
        <v>0.501</v>
      </c>
      <c r="D2" s="6">
        <v>2023</v>
      </c>
    </row>
    <row r="3" spans="1:4" x14ac:dyDescent="0.25">
      <c r="A3" s="8" t="e" vm="2">
        <v>#VALUE!</v>
      </c>
      <c r="B3" s="8" t="s">
        <v>114</v>
      </c>
      <c r="C3" s="10">
        <v>0.48399999999999999</v>
      </c>
      <c r="D3" s="6">
        <v>2023</v>
      </c>
    </row>
    <row r="4" spans="1:4" x14ac:dyDescent="0.25">
      <c r="A4" s="8" t="e" vm="3">
        <v>#VALUE!</v>
      </c>
      <c r="B4" s="8" t="s">
        <v>244</v>
      </c>
      <c r="C4" s="10">
        <v>0.59099999999999997</v>
      </c>
      <c r="D4" s="6">
        <v>2023</v>
      </c>
    </row>
    <row r="5" spans="1:4" x14ac:dyDescent="0.25">
      <c r="A5" s="8" t="e" vm="4">
        <v>#VALUE!</v>
      </c>
      <c r="B5" s="8" t="s">
        <v>66</v>
      </c>
      <c r="C5" s="10">
        <v>0.55800000000000005</v>
      </c>
      <c r="D5" s="6">
        <v>2023</v>
      </c>
    </row>
    <row r="6" spans="1:4" x14ac:dyDescent="0.25">
      <c r="A6" s="8" t="e" vm="5">
        <v>#VALUE!</v>
      </c>
      <c r="B6" s="8" t="s">
        <v>140</v>
      </c>
      <c r="C6" s="10">
        <v>0.63200000000000001</v>
      </c>
      <c r="D6" s="6">
        <v>2023</v>
      </c>
    </row>
    <row r="7" spans="1:4" x14ac:dyDescent="0.25">
      <c r="A7" s="8" t="e" vm="6">
        <v>#VALUE!</v>
      </c>
      <c r="B7" s="8" t="s">
        <v>108</v>
      </c>
      <c r="C7" s="10"/>
      <c r="D7" s="28"/>
    </row>
    <row r="8" spans="1:4" x14ac:dyDescent="0.25">
      <c r="A8" s="8" t="e" vm="7">
        <v>#VALUE!</v>
      </c>
      <c r="B8" s="8" t="s">
        <v>84</v>
      </c>
      <c r="C8" s="10">
        <v>0.56499999999999995</v>
      </c>
      <c r="D8" s="6">
        <v>2023</v>
      </c>
    </row>
    <row r="9" spans="1:4" x14ac:dyDescent="0.25">
      <c r="A9" s="8" t="e" vm="8">
        <v>#VALUE!</v>
      </c>
      <c r="B9" s="8" t="s">
        <v>110</v>
      </c>
      <c r="C9" s="10"/>
      <c r="D9" s="28"/>
    </row>
    <row r="10" spans="1:4" x14ac:dyDescent="0.25">
      <c r="A10" s="8" t="e" vm="9">
        <v>#VALUE!</v>
      </c>
      <c r="B10" s="8" t="s">
        <v>212</v>
      </c>
      <c r="C10" s="10">
        <v>0.61199999999999999</v>
      </c>
      <c r="D10" s="6">
        <v>2023</v>
      </c>
    </row>
    <row r="11" spans="1:4" x14ac:dyDescent="0.25">
      <c r="A11" s="8" t="e" vm="10">
        <v>#VALUE!</v>
      </c>
      <c r="B11" s="8" t="s">
        <v>50</v>
      </c>
      <c r="C11" s="10">
        <v>0.49</v>
      </c>
      <c r="D11" s="6">
        <v>2023</v>
      </c>
    </row>
    <row r="12" spans="1:4" x14ac:dyDescent="0.25">
      <c r="A12" s="8" t="e" vm="11">
        <v>#VALUE!</v>
      </c>
      <c r="B12" s="8" t="s">
        <v>246</v>
      </c>
      <c r="C12" s="10">
        <v>0.67700000000000005</v>
      </c>
      <c r="D12" s="6">
        <v>2023</v>
      </c>
    </row>
    <row r="13" spans="1:4" x14ac:dyDescent="0.25">
      <c r="A13" s="8" t="e" vm="12">
        <v>#VALUE!</v>
      </c>
      <c r="B13" s="8" t="s">
        <v>72</v>
      </c>
      <c r="C13" s="10">
        <v>0.67</v>
      </c>
      <c r="D13" s="6">
        <v>2023</v>
      </c>
    </row>
    <row r="14" spans="1:4" x14ac:dyDescent="0.25">
      <c r="A14" s="8" t="e" vm="13">
        <v>#VALUE!</v>
      </c>
      <c r="B14" s="8" t="s">
        <v>60</v>
      </c>
      <c r="C14" s="10">
        <v>0.501</v>
      </c>
      <c r="D14" s="6">
        <v>2023</v>
      </c>
    </row>
    <row r="15" spans="1:4" x14ac:dyDescent="0.25">
      <c r="A15" s="8" t="e" vm="14">
        <v>#VALUE!</v>
      </c>
      <c r="B15" s="8" t="s">
        <v>286</v>
      </c>
      <c r="C15" s="10">
        <v>0.49</v>
      </c>
      <c r="D15" s="6">
        <v>2023</v>
      </c>
    </row>
    <row r="16" spans="1:4" x14ac:dyDescent="0.25">
      <c r="A16" s="8" t="e" vm="15">
        <v>#VALUE!</v>
      </c>
      <c r="B16" s="8" t="s">
        <v>70</v>
      </c>
      <c r="C16" s="10"/>
      <c r="D16" s="28"/>
    </row>
    <row r="17" spans="1:4" x14ac:dyDescent="0.25">
      <c r="A17" s="8" t="e" vm="16">
        <v>#VALUE!</v>
      </c>
      <c r="B17" s="8" t="s">
        <v>116</v>
      </c>
      <c r="C17" s="10">
        <v>0.497</v>
      </c>
      <c r="D17" s="6">
        <v>2023</v>
      </c>
    </row>
    <row r="18" spans="1:4" x14ac:dyDescent="0.25">
      <c r="A18" s="8" t="e" vm="17">
        <v>#VALUE!</v>
      </c>
      <c r="B18" s="8" t="s">
        <v>126</v>
      </c>
      <c r="C18" s="10">
        <v>0.57799999999999996</v>
      </c>
      <c r="D18" s="6">
        <v>2023</v>
      </c>
    </row>
    <row r="19" spans="1:4" x14ac:dyDescent="0.25">
      <c r="A19" s="8" t="e" vm="18">
        <v>#VALUE!</v>
      </c>
      <c r="B19" s="8" t="s">
        <v>194</v>
      </c>
      <c r="C19" s="10">
        <v>0.64600000000000002</v>
      </c>
      <c r="D19" s="6">
        <v>2023</v>
      </c>
    </row>
    <row r="20" spans="1:4" x14ac:dyDescent="0.25">
      <c r="A20" s="8" t="e" vm="19">
        <v>#VALUE!</v>
      </c>
      <c r="B20" s="8" t="s">
        <v>82</v>
      </c>
      <c r="C20" s="10">
        <v>0.60399999999999998</v>
      </c>
      <c r="D20" s="6">
        <v>2023</v>
      </c>
    </row>
    <row r="21" spans="1:4" x14ac:dyDescent="0.25">
      <c r="A21" s="8" t="e" vm="20">
        <v>#VALUE!</v>
      </c>
      <c r="B21" s="8" t="s">
        <v>138</v>
      </c>
      <c r="C21" s="10">
        <v>0.60899999999999999</v>
      </c>
      <c r="D21" s="6">
        <v>2023</v>
      </c>
    </row>
    <row r="22" spans="1:4" x14ac:dyDescent="0.25">
      <c r="A22" s="8" t="e" vm="21">
        <v>#VALUE!</v>
      </c>
      <c r="B22" s="8" t="s">
        <v>304</v>
      </c>
      <c r="C22" s="10"/>
      <c r="D22" s="28"/>
    </row>
    <row r="23" spans="1:4" x14ac:dyDescent="0.25">
      <c r="A23" s="8" t="e" vm="22">
        <v>#VALUE!</v>
      </c>
      <c r="B23" s="8" t="s">
        <v>370</v>
      </c>
      <c r="C23" s="10">
        <v>0.51900000000000002</v>
      </c>
      <c r="D23" s="6">
        <v>2023</v>
      </c>
    </row>
    <row r="24" spans="1:4" x14ac:dyDescent="0.25">
      <c r="A24" s="8" t="e" vm="23">
        <v>#VALUE!</v>
      </c>
      <c r="B24" s="8" t="s">
        <v>206</v>
      </c>
      <c r="C24" s="10">
        <v>0.58099999999999996</v>
      </c>
      <c r="D24" s="6">
        <v>2023</v>
      </c>
    </row>
    <row r="25" spans="1:4" x14ac:dyDescent="0.25">
      <c r="A25" s="8" t="e" vm="24">
        <v>#VALUE!</v>
      </c>
      <c r="B25" s="8" t="s">
        <v>344</v>
      </c>
      <c r="C25" s="10">
        <v>0.52400000000000002</v>
      </c>
      <c r="D25" s="6">
        <v>2023</v>
      </c>
    </row>
    <row r="26" spans="1:4" x14ac:dyDescent="0.25">
      <c r="A26" s="8" t="e" vm="25">
        <v>#VALUE!</v>
      </c>
      <c r="B26" s="8" t="s">
        <v>204</v>
      </c>
      <c r="C26" s="10">
        <v>0.58399999999999996</v>
      </c>
      <c r="D26" s="6">
        <v>2023</v>
      </c>
    </row>
    <row r="27" spans="1:4" x14ac:dyDescent="0.25">
      <c r="A27" s="8" t="e" vm="26">
        <v>#VALUE!</v>
      </c>
      <c r="B27" s="8" t="s">
        <v>132</v>
      </c>
      <c r="C27" s="10">
        <v>0.51400000000000001</v>
      </c>
      <c r="D27" s="6">
        <v>2023</v>
      </c>
    </row>
    <row r="28" spans="1:4" x14ac:dyDescent="0.25">
      <c r="A28" s="8" t="e" vm="27">
        <v>#VALUE!</v>
      </c>
      <c r="B28" s="8" t="s">
        <v>192</v>
      </c>
      <c r="C28" s="10">
        <v>0.53400000000000003</v>
      </c>
      <c r="D28" s="6">
        <v>2023</v>
      </c>
    </row>
    <row r="29" spans="1:4" x14ac:dyDescent="0.25">
      <c r="A29" s="8" t="e" vm="28">
        <v>#VALUE!</v>
      </c>
      <c r="B29" s="8" t="s">
        <v>326</v>
      </c>
      <c r="C29" s="10">
        <v>0.504</v>
      </c>
      <c r="D29" s="6">
        <v>2023</v>
      </c>
    </row>
    <row r="30" spans="1:4" x14ac:dyDescent="0.25">
      <c r="A30" s="8" t="e" vm="29">
        <v>#VALUE!</v>
      </c>
      <c r="B30" s="8" t="s">
        <v>58</v>
      </c>
      <c r="C30" s="10">
        <v>0.55500000000000005</v>
      </c>
      <c r="D30" s="6">
        <v>2023</v>
      </c>
    </row>
    <row r="31" spans="1:4" x14ac:dyDescent="0.25">
      <c r="A31" s="8" t="e" vm="30">
        <v>#VALUE!</v>
      </c>
      <c r="B31" s="8" t="s">
        <v>42</v>
      </c>
      <c r="C31" s="10">
        <v>0.57299999999999995</v>
      </c>
      <c r="D31" s="6">
        <v>2023</v>
      </c>
    </row>
    <row r="32" spans="1:4" x14ac:dyDescent="0.25">
      <c r="A32" s="8" t="e" vm="31">
        <v>#VALUE!</v>
      </c>
      <c r="B32" s="8" t="s">
        <v>282</v>
      </c>
      <c r="C32" s="10">
        <v>0.49199999999999999</v>
      </c>
      <c r="D32" s="6">
        <v>2023</v>
      </c>
    </row>
    <row r="33" spans="1:4" x14ac:dyDescent="0.25">
      <c r="A33" s="8" t="e" vm="32">
        <v>#VALUE!</v>
      </c>
      <c r="B33" s="8" t="s">
        <v>230</v>
      </c>
      <c r="C33" s="10">
        <v>0.47899999999999998</v>
      </c>
      <c r="D33" s="6">
        <v>2023</v>
      </c>
    </row>
    <row r="34" spans="1:4" x14ac:dyDescent="0.25">
      <c r="A34" s="8" t="e" vm="33">
        <v>#VALUE!</v>
      </c>
      <c r="B34" s="8" t="s">
        <v>176</v>
      </c>
      <c r="C34" s="10">
        <v>0.52600000000000002</v>
      </c>
      <c r="D34" s="6">
        <v>2023</v>
      </c>
    </row>
    <row r="35" spans="1:4" x14ac:dyDescent="0.25">
      <c r="A35" s="8" t="e" vm="34">
        <v>#VALUE!</v>
      </c>
      <c r="B35" s="8" t="s">
        <v>378</v>
      </c>
      <c r="C35" s="10"/>
      <c r="D35" s="28"/>
    </row>
    <row r="36" spans="1:4" x14ac:dyDescent="0.25">
      <c r="A36" s="8" t="e" vm="35">
        <v>#VALUE!</v>
      </c>
      <c r="B36" s="8" t="s">
        <v>234</v>
      </c>
      <c r="C36" s="10">
        <v>0.44800000000000001</v>
      </c>
      <c r="D36" s="6">
        <v>2023</v>
      </c>
    </row>
    <row r="37" spans="1:4" x14ac:dyDescent="0.25">
      <c r="A37" s="8" t="e" vm="36">
        <v>#VALUE!</v>
      </c>
      <c r="B37" s="8" t="s">
        <v>278</v>
      </c>
      <c r="C37" s="10">
        <v>0.39400000000000002</v>
      </c>
      <c r="D37" s="6">
        <v>2023</v>
      </c>
    </row>
    <row r="38" spans="1:4" x14ac:dyDescent="0.25">
      <c r="A38" s="8" t="e" vm="37">
        <v>#VALUE!</v>
      </c>
      <c r="B38" s="8" t="s">
        <v>13</v>
      </c>
      <c r="C38" s="10">
        <v>0.51500000000000001</v>
      </c>
      <c r="D38" s="6">
        <v>2023</v>
      </c>
    </row>
    <row r="39" spans="1:4" x14ac:dyDescent="0.25">
      <c r="A39" s="8" t="e" vm="38">
        <v>#VALUE!</v>
      </c>
      <c r="B39" s="8" t="s">
        <v>290</v>
      </c>
      <c r="C39" s="10">
        <v>0.56599999999999995</v>
      </c>
      <c r="D39" s="6">
        <v>2023</v>
      </c>
    </row>
    <row r="40" spans="1:4" x14ac:dyDescent="0.25">
      <c r="A40" s="8" t="e" vm="39">
        <v>#VALUE!</v>
      </c>
      <c r="B40" s="8" t="s">
        <v>124</v>
      </c>
      <c r="C40" s="10">
        <v>0.505</v>
      </c>
      <c r="D40" s="6">
        <v>2023</v>
      </c>
    </row>
    <row r="41" spans="1:4" x14ac:dyDescent="0.25">
      <c r="A41" s="8" t="e" vm="40">
        <v>#VALUE!</v>
      </c>
      <c r="B41" s="8" t="s">
        <v>62</v>
      </c>
      <c r="C41" s="10">
        <v>0.29799999999999999</v>
      </c>
      <c r="D41" s="6">
        <v>2023</v>
      </c>
    </row>
    <row r="42" spans="1:4" x14ac:dyDescent="0.25">
      <c r="A42" s="8" t="e" vm="41">
        <v>#VALUE!</v>
      </c>
      <c r="B42" s="8" t="s">
        <v>302</v>
      </c>
      <c r="C42" s="10">
        <v>0.38800000000000001</v>
      </c>
      <c r="D42" s="6">
        <v>2023</v>
      </c>
    </row>
    <row r="43" spans="1:4" x14ac:dyDescent="0.25">
      <c r="A43" s="8" t="e" vm="42">
        <v>#VALUE!</v>
      </c>
      <c r="B43" s="8" t="s">
        <v>368</v>
      </c>
      <c r="C43" s="10">
        <v>0.52400000000000002</v>
      </c>
      <c r="D43" s="6">
        <v>2023</v>
      </c>
    </row>
    <row r="44" spans="1:4" x14ac:dyDescent="0.25">
      <c r="A44" s="8" t="e" vm="43">
        <v>#VALUE!</v>
      </c>
      <c r="B44" s="8" t="s">
        <v>88</v>
      </c>
      <c r="C44" s="10">
        <v>0.58899999999999997</v>
      </c>
      <c r="D44" s="6">
        <v>2023</v>
      </c>
    </row>
    <row r="45" spans="1:4" x14ac:dyDescent="0.25">
      <c r="A45" s="8" t="e" vm="44">
        <v>#VALUE!</v>
      </c>
      <c r="B45" s="8" t="s">
        <v>332</v>
      </c>
      <c r="C45" s="10">
        <v>0.56399999999999995</v>
      </c>
      <c r="D45" s="6">
        <v>2023</v>
      </c>
    </row>
    <row r="46" spans="1:4" x14ac:dyDescent="0.25">
      <c r="A46" s="8" t="e" vm="45">
        <v>#VALUE!</v>
      </c>
      <c r="B46" s="8" t="s">
        <v>218</v>
      </c>
      <c r="C46" s="10">
        <v>0.35199999999999998</v>
      </c>
      <c r="D46" s="6">
        <v>2023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CD349-7507-4956-A883-5771927064B7}">
  <dimension ref="A1:D46"/>
  <sheetViews>
    <sheetView workbookViewId="0"/>
  </sheetViews>
  <sheetFormatPr defaultRowHeight="12.5" x14ac:dyDescent="0.25"/>
  <cols>
    <col min="1" max="1" width="30.6328125" bestFit="1" customWidth="1"/>
    <col min="2" max="2" width="7.453125" customWidth="1"/>
    <col min="3" max="4" width="10.453125" bestFit="1" customWidth="1"/>
  </cols>
  <sheetData>
    <row r="1" spans="1:4" ht="13" x14ac:dyDescent="0.3">
      <c r="A1" s="17" t="s">
        <v>406</v>
      </c>
      <c r="B1" s="17" t="s">
        <v>413</v>
      </c>
      <c r="C1" s="16" t="s">
        <v>409</v>
      </c>
      <c r="D1" s="16" t="s">
        <v>371</v>
      </c>
    </row>
    <row r="2" spans="1:4" x14ac:dyDescent="0.25">
      <c r="A2" s="8" t="e" vm="1">
        <v>#VALUE!</v>
      </c>
      <c r="B2" s="8" t="s">
        <v>80</v>
      </c>
      <c r="C2" s="7">
        <v>34.380000000000003</v>
      </c>
      <c r="D2" s="28">
        <v>2026</v>
      </c>
    </row>
    <row r="3" spans="1:4" x14ac:dyDescent="0.25">
      <c r="A3" s="8" t="e" vm="2">
        <v>#VALUE!</v>
      </c>
      <c r="B3" s="8" t="s">
        <v>114</v>
      </c>
      <c r="C3" s="7">
        <v>35.35</v>
      </c>
      <c r="D3" s="28">
        <v>2026</v>
      </c>
    </row>
    <row r="4" spans="1:4" x14ac:dyDescent="0.25">
      <c r="A4" s="8" t="e" vm="3">
        <v>#VALUE!</v>
      </c>
      <c r="B4" s="8" t="s">
        <v>244</v>
      </c>
      <c r="C4" s="7">
        <v>38.08</v>
      </c>
      <c r="D4" s="28">
        <v>2026</v>
      </c>
    </row>
    <row r="5" spans="1:4" x14ac:dyDescent="0.25">
      <c r="A5" s="8" t="e" vm="4">
        <v>#VALUE!</v>
      </c>
      <c r="B5" s="8" t="s">
        <v>66</v>
      </c>
      <c r="C5" s="7">
        <v>44.48</v>
      </c>
      <c r="D5" s="28">
        <v>2026</v>
      </c>
    </row>
    <row r="6" spans="1:4" x14ac:dyDescent="0.25">
      <c r="A6" s="8" t="e" vm="5">
        <v>#VALUE!</v>
      </c>
      <c r="B6" s="8" t="s">
        <v>140</v>
      </c>
      <c r="C6" s="7">
        <v>48.75</v>
      </c>
      <c r="D6" s="28">
        <v>2026</v>
      </c>
    </row>
    <row r="7" spans="1:4" x14ac:dyDescent="0.25">
      <c r="A7" s="8" t="e" vm="6">
        <v>#VALUE!</v>
      </c>
      <c r="B7" s="8" t="s">
        <v>108</v>
      </c>
      <c r="C7" s="7">
        <v>49.15</v>
      </c>
      <c r="D7" s="28">
        <v>2026</v>
      </c>
    </row>
    <row r="8" spans="1:4" x14ac:dyDescent="0.25">
      <c r="A8" s="8" t="e" vm="7">
        <v>#VALUE!</v>
      </c>
      <c r="B8" s="8" t="s">
        <v>84</v>
      </c>
      <c r="C8" s="7">
        <v>50.23</v>
      </c>
      <c r="D8" s="28">
        <v>2026</v>
      </c>
    </row>
    <row r="9" spans="1:4" x14ac:dyDescent="0.25">
      <c r="A9" s="8" t="e" vm="8">
        <v>#VALUE!</v>
      </c>
      <c r="B9" s="8" t="s">
        <v>110</v>
      </c>
      <c r="C9" s="7">
        <v>50.28</v>
      </c>
      <c r="D9" s="28">
        <v>2026</v>
      </c>
    </row>
    <row r="10" spans="1:4" x14ac:dyDescent="0.25">
      <c r="A10" s="8" t="e" vm="9">
        <v>#VALUE!</v>
      </c>
      <c r="B10" s="8" t="s">
        <v>212</v>
      </c>
      <c r="C10" s="7">
        <v>50.33</v>
      </c>
      <c r="D10" s="28">
        <v>2026</v>
      </c>
    </row>
    <row r="11" spans="1:4" x14ac:dyDescent="0.25">
      <c r="A11" s="8" t="e" vm="10">
        <v>#VALUE!</v>
      </c>
      <c r="B11" s="8" t="s">
        <v>50</v>
      </c>
      <c r="C11" s="7">
        <v>51.1</v>
      </c>
      <c r="D11" s="28">
        <v>2026</v>
      </c>
    </row>
    <row r="12" spans="1:4" x14ac:dyDescent="0.25">
      <c r="A12" s="8" t="e" vm="11">
        <v>#VALUE!</v>
      </c>
      <c r="B12" s="8" t="s">
        <v>246</v>
      </c>
      <c r="C12" s="7">
        <v>51.1</v>
      </c>
      <c r="D12" s="28">
        <v>2026</v>
      </c>
    </row>
    <row r="13" spans="1:4" x14ac:dyDescent="0.25">
      <c r="A13" s="8" t="e" vm="12">
        <v>#VALUE!</v>
      </c>
      <c r="B13" s="8" t="s">
        <v>72</v>
      </c>
      <c r="C13" s="7">
        <v>51.4</v>
      </c>
      <c r="D13" s="28">
        <v>2026</v>
      </c>
    </row>
    <row r="14" spans="1:4" x14ac:dyDescent="0.25">
      <c r="A14" s="8" t="e" vm="13">
        <v>#VALUE!</v>
      </c>
      <c r="B14" s="8" t="s">
        <v>60</v>
      </c>
      <c r="C14" s="7">
        <v>52.68</v>
      </c>
      <c r="D14" s="28">
        <v>2026</v>
      </c>
    </row>
    <row r="15" spans="1:4" x14ac:dyDescent="0.25">
      <c r="A15" s="8" t="e" vm="14">
        <v>#VALUE!</v>
      </c>
      <c r="B15" s="8" t="s">
        <v>286</v>
      </c>
      <c r="C15" s="7">
        <v>52.9</v>
      </c>
      <c r="D15" s="28">
        <v>2026</v>
      </c>
    </row>
    <row r="16" spans="1:4" x14ac:dyDescent="0.25">
      <c r="A16" s="8" t="e" vm="15">
        <v>#VALUE!</v>
      </c>
      <c r="B16" s="8" t="s">
        <v>70</v>
      </c>
      <c r="C16" s="7">
        <v>53.48</v>
      </c>
      <c r="D16" s="28">
        <v>2026</v>
      </c>
    </row>
    <row r="17" spans="1:4" x14ac:dyDescent="0.25">
      <c r="A17" s="8" t="e" vm="16">
        <v>#VALUE!</v>
      </c>
      <c r="B17" s="8" t="s">
        <v>116</v>
      </c>
      <c r="C17" s="7">
        <v>57.2</v>
      </c>
      <c r="D17" s="28">
        <v>2026</v>
      </c>
    </row>
    <row r="18" spans="1:4" x14ac:dyDescent="0.25">
      <c r="A18" s="8" t="e" vm="17">
        <v>#VALUE!</v>
      </c>
      <c r="B18" s="8" t="s">
        <v>126</v>
      </c>
      <c r="C18" s="7">
        <v>57.5</v>
      </c>
      <c r="D18" s="28">
        <v>2026</v>
      </c>
    </row>
    <row r="19" spans="1:4" x14ac:dyDescent="0.25">
      <c r="A19" s="8" t="e" vm="18">
        <v>#VALUE!</v>
      </c>
      <c r="B19" s="8" t="s">
        <v>194</v>
      </c>
      <c r="C19" s="7">
        <v>58.95</v>
      </c>
      <c r="D19" s="28">
        <v>2026</v>
      </c>
    </row>
    <row r="20" spans="1:4" x14ac:dyDescent="0.25">
      <c r="A20" s="8" t="e" vm="19">
        <v>#VALUE!</v>
      </c>
      <c r="B20" s="8" t="s">
        <v>82</v>
      </c>
      <c r="C20" s="7">
        <v>59.5</v>
      </c>
      <c r="D20" s="28">
        <v>2026</v>
      </c>
    </row>
    <row r="21" spans="1:4" x14ac:dyDescent="0.25">
      <c r="A21" s="8" t="e" vm="20">
        <v>#VALUE!</v>
      </c>
      <c r="B21" s="8" t="s">
        <v>138</v>
      </c>
      <c r="C21" s="7">
        <v>61.88</v>
      </c>
      <c r="D21" s="28">
        <v>2026</v>
      </c>
    </row>
    <row r="22" spans="1:4" x14ac:dyDescent="0.25">
      <c r="A22" s="8" t="e" vm="21">
        <v>#VALUE!</v>
      </c>
      <c r="B22" s="8" t="s">
        <v>304</v>
      </c>
      <c r="C22" s="7">
        <v>62.1</v>
      </c>
      <c r="D22" s="28">
        <v>2026</v>
      </c>
    </row>
    <row r="23" spans="1:4" x14ac:dyDescent="0.25">
      <c r="A23" s="8" t="e" vm="22">
        <v>#VALUE!</v>
      </c>
      <c r="B23" s="8" t="s">
        <v>370</v>
      </c>
      <c r="C23" s="7">
        <v>62.3</v>
      </c>
      <c r="D23" s="28">
        <v>2026</v>
      </c>
    </row>
    <row r="24" spans="1:4" x14ac:dyDescent="0.25">
      <c r="A24" s="8" t="e" vm="23">
        <v>#VALUE!</v>
      </c>
      <c r="B24" s="8" t="s">
        <v>206</v>
      </c>
      <c r="C24" s="7">
        <v>62.48</v>
      </c>
      <c r="D24" s="28">
        <v>2026</v>
      </c>
    </row>
    <row r="25" spans="1:4" x14ac:dyDescent="0.25">
      <c r="A25" s="8" t="e" vm="24">
        <v>#VALUE!</v>
      </c>
      <c r="B25" s="8" t="s">
        <v>344</v>
      </c>
      <c r="C25" s="7">
        <v>64.13</v>
      </c>
      <c r="D25" s="28">
        <v>2026</v>
      </c>
    </row>
    <row r="26" spans="1:4" x14ac:dyDescent="0.25">
      <c r="A26" s="8" t="e" vm="25">
        <v>#VALUE!</v>
      </c>
      <c r="B26" s="8" t="s">
        <v>204</v>
      </c>
      <c r="C26" s="7">
        <v>64.930000000000007</v>
      </c>
      <c r="D26" s="28">
        <v>2026</v>
      </c>
    </row>
    <row r="27" spans="1:4" x14ac:dyDescent="0.25">
      <c r="A27" s="8" t="e" vm="26">
        <v>#VALUE!</v>
      </c>
      <c r="B27" s="8" t="s">
        <v>132</v>
      </c>
      <c r="C27" s="7">
        <v>66.72</v>
      </c>
      <c r="D27" s="28">
        <v>2026</v>
      </c>
    </row>
    <row r="28" spans="1:4" x14ac:dyDescent="0.25">
      <c r="A28" s="8" t="e" vm="27">
        <v>#VALUE!</v>
      </c>
      <c r="B28" s="8" t="s">
        <v>192</v>
      </c>
      <c r="C28" s="7">
        <v>66.72</v>
      </c>
      <c r="D28" s="28">
        <v>2026</v>
      </c>
    </row>
    <row r="29" spans="1:4" x14ac:dyDescent="0.25">
      <c r="A29" s="8" t="e" vm="28">
        <v>#VALUE!</v>
      </c>
      <c r="B29" s="8" t="s">
        <v>326</v>
      </c>
      <c r="C29" s="7">
        <v>66.849999999999994</v>
      </c>
      <c r="D29" s="28">
        <v>2026</v>
      </c>
    </row>
    <row r="30" spans="1:4" x14ac:dyDescent="0.25">
      <c r="A30" s="8" t="e" vm="29">
        <v>#VALUE!</v>
      </c>
      <c r="B30" s="8" t="s">
        <v>58</v>
      </c>
      <c r="C30" s="7">
        <v>67.400000000000006</v>
      </c>
      <c r="D30" s="28">
        <v>2026</v>
      </c>
    </row>
    <row r="31" spans="1:4" x14ac:dyDescent="0.25">
      <c r="A31" s="8" t="e" vm="30">
        <v>#VALUE!</v>
      </c>
      <c r="B31" s="8" t="s">
        <v>42</v>
      </c>
      <c r="C31" s="7">
        <v>67.599999999999994</v>
      </c>
      <c r="D31" s="28">
        <v>2026</v>
      </c>
    </row>
    <row r="32" spans="1:4" x14ac:dyDescent="0.25">
      <c r="A32" s="8" t="e" vm="31">
        <v>#VALUE!</v>
      </c>
      <c r="B32" s="8" t="s">
        <v>282</v>
      </c>
      <c r="C32" s="7">
        <v>67.930000000000007</v>
      </c>
      <c r="D32" s="28">
        <v>2026</v>
      </c>
    </row>
    <row r="33" spans="1:4" x14ac:dyDescent="0.25">
      <c r="A33" s="8" t="e" vm="32">
        <v>#VALUE!</v>
      </c>
      <c r="B33" s="8" t="s">
        <v>230</v>
      </c>
      <c r="C33" s="7">
        <v>68.55</v>
      </c>
      <c r="D33" s="28">
        <v>2026</v>
      </c>
    </row>
    <row r="34" spans="1:4" x14ac:dyDescent="0.25">
      <c r="A34" s="8" t="e" vm="33">
        <v>#VALUE!</v>
      </c>
      <c r="B34" s="8" t="s">
        <v>176</v>
      </c>
      <c r="C34" s="7">
        <v>68.75</v>
      </c>
      <c r="D34" s="28">
        <v>2026</v>
      </c>
    </row>
    <row r="35" spans="1:4" x14ac:dyDescent="0.25">
      <c r="A35" s="8" t="e" vm="34">
        <v>#VALUE!</v>
      </c>
      <c r="B35" s="8" t="s">
        <v>378</v>
      </c>
      <c r="C35" s="7">
        <v>69.58</v>
      </c>
      <c r="D35" s="28">
        <v>2026</v>
      </c>
    </row>
    <row r="36" spans="1:4" x14ac:dyDescent="0.25">
      <c r="A36" s="8" t="e" vm="35">
        <v>#VALUE!</v>
      </c>
      <c r="B36" s="8" t="s">
        <v>234</v>
      </c>
      <c r="C36" s="7">
        <v>70.28</v>
      </c>
      <c r="D36" s="28">
        <v>2026</v>
      </c>
    </row>
    <row r="37" spans="1:4" x14ac:dyDescent="0.25">
      <c r="A37" s="8" t="e" vm="36">
        <v>#VALUE!</v>
      </c>
      <c r="B37" s="8" t="s">
        <v>278</v>
      </c>
      <c r="C37" s="7">
        <v>71.47</v>
      </c>
      <c r="D37" s="28">
        <v>2026</v>
      </c>
    </row>
    <row r="38" spans="1:4" x14ac:dyDescent="0.25">
      <c r="A38" s="8" t="e" vm="37">
        <v>#VALUE!</v>
      </c>
      <c r="B38" s="8" t="s">
        <v>13</v>
      </c>
      <c r="C38" s="7">
        <v>71.599999999999994</v>
      </c>
      <c r="D38" s="28">
        <v>2026</v>
      </c>
    </row>
    <row r="39" spans="1:4" x14ac:dyDescent="0.25">
      <c r="A39" s="8" t="e" vm="38">
        <v>#VALUE!</v>
      </c>
      <c r="B39" s="8" t="s">
        <v>290</v>
      </c>
      <c r="C39" s="7">
        <v>71.88</v>
      </c>
      <c r="D39" s="28">
        <v>2026</v>
      </c>
    </row>
    <row r="40" spans="1:4" x14ac:dyDescent="0.25">
      <c r="A40" s="8" t="e" vm="39">
        <v>#VALUE!</v>
      </c>
      <c r="B40" s="8" t="s">
        <v>124</v>
      </c>
      <c r="C40" s="7">
        <v>74.08</v>
      </c>
      <c r="D40" s="28">
        <v>2026</v>
      </c>
    </row>
    <row r="41" spans="1:4" x14ac:dyDescent="0.25">
      <c r="A41" s="8" t="e" vm="40">
        <v>#VALUE!</v>
      </c>
      <c r="B41" s="8" t="s">
        <v>62</v>
      </c>
      <c r="C41" s="7">
        <v>75.03</v>
      </c>
      <c r="D41" s="28">
        <v>2026</v>
      </c>
    </row>
    <row r="42" spans="1:4" x14ac:dyDescent="0.25">
      <c r="A42" s="8" t="e" vm="41">
        <v>#VALUE!</v>
      </c>
      <c r="B42" s="8" t="s">
        <v>302</v>
      </c>
      <c r="C42" s="7">
        <v>76.349999999999994</v>
      </c>
      <c r="D42" s="28">
        <v>2026</v>
      </c>
    </row>
    <row r="43" spans="1:4" x14ac:dyDescent="0.25">
      <c r="A43" s="8" t="e" vm="42">
        <v>#VALUE!</v>
      </c>
      <c r="B43" s="8" t="s">
        <v>368</v>
      </c>
      <c r="C43" s="7">
        <v>76.680000000000007</v>
      </c>
      <c r="D43" s="28">
        <v>2026</v>
      </c>
    </row>
    <row r="44" spans="1:4" x14ac:dyDescent="0.25">
      <c r="A44" s="8" t="e" vm="43">
        <v>#VALUE!</v>
      </c>
      <c r="B44" s="8" t="s">
        <v>88</v>
      </c>
      <c r="C44" s="7">
        <v>78.25</v>
      </c>
      <c r="D44" s="28">
        <v>2026</v>
      </c>
    </row>
    <row r="45" spans="1:4" x14ac:dyDescent="0.25">
      <c r="A45" s="8" t="e" vm="44">
        <v>#VALUE!</v>
      </c>
      <c r="B45" s="8" t="s">
        <v>332</v>
      </c>
      <c r="C45" s="7">
        <v>79.33</v>
      </c>
      <c r="D45" s="28">
        <v>2026</v>
      </c>
    </row>
    <row r="46" spans="1:4" x14ac:dyDescent="0.25">
      <c r="A46" s="8" t="e" vm="45">
        <v>#VALUE!</v>
      </c>
      <c r="B46" s="8" t="s">
        <v>218</v>
      </c>
      <c r="C46" s="7">
        <v>82.3</v>
      </c>
      <c r="D46" s="28">
        <v>2026</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D1FBB-28CB-42F6-80C6-62384CFC6AAF}">
  <dimension ref="A1:C46"/>
  <sheetViews>
    <sheetView workbookViewId="0"/>
  </sheetViews>
  <sheetFormatPr defaultRowHeight="12.5" x14ac:dyDescent="0.25"/>
  <cols>
    <col min="1" max="1" width="20.453125" bestFit="1" customWidth="1"/>
    <col min="2" max="3" width="10.453125" bestFit="1" customWidth="1"/>
  </cols>
  <sheetData>
    <row r="1" spans="1:3" ht="13" x14ac:dyDescent="0.3">
      <c r="A1" s="17" t="s">
        <v>406</v>
      </c>
      <c r="B1" s="16" t="s">
        <v>409</v>
      </c>
      <c r="C1" s="16" t="s">
        <v>410</v>
      </c>
    </row>
    <row r="2" spans="1:3" x14ac:dyDescent="0.25">
      <c r="A2" s="8" t="s">
        <v>79</v>
      </c>
      <c r="B2" s="7">
        <v>34.380000000000003</v>
      </c>
      <c r="C2" s="28">
        <v>2026</v>
      </c>
    </row>
    <row r="3" spans="1:3" x14ac:dyDescent="0.25">
      <c r="A3" s="8" t="s">
        <v>113</v>
      </c>
      <c r="B3" s="7">
        <v>35.35</v>
      </c>
      <c r="C3" s="28">
        <v>2026</v>
      </c>
    </row>
    <row r="4" spans="1:3" x14ac:dyDescent="0.25">
      <c r="A4" s="8" t="s">
        <v>243</v>
      </c>
      <c r="B4" s="7">
        <v>38.08</v>
      </c>
      <c r="C4" s="28">
        <v>2026</v>
      </c>
    </row>
    <row r="5" spans="1:3" x14ac:dyDescent="0.25">
      <c r="A5" s="8" t="s">
        <v>65</v>
      </c>
      <c r="B5" s="7">
        <v>44.48</v>
      </c>
      <c r="C5" s="28">
        <v>2026</v>
      </c>
    </row>
    <row r="6" spans="1:3" x14ac:dyDescent="0.25">
      <c r="A6" s="8" t="s">
        <v>139</v>
      </c>
      <c r="B6" s="7">
        <v>48.75</v>
      </c>
      <c r="C6" s="28">
        <v>2026</v>
      </c>
    </row>
    <row r="7" spans="1:3" x14ac:dyDescent="0.25">
      <c r="A7" s="8" t="s">
        <v>107</v>
      </c>
      <c r="B7" s="7">
        <v>49.15</v>
      </c>
      <c r="C7" s="28">
        <v>2026</v>
      </c>
    </row>
    <row r="8" spans="1:3" x14ac:dyDescent="0.25">
      <c r="A8" s="8" t="s">
        <v>83</v>
      </c>
      <c r="B8" s="7">
        <v>50.23</v>
      </c>
      <c r="C8" s="28">
        <v>2026</v>
      </c>
    </row>
    <row r="9" spans="1:3" x14ac:dyDescent="0.25">
      <c r="A9" s="8" t="s">
        <v>109</v>
      </c>
      <c r="B9" s="7">
        <v>50.28</v>
      </c>
      <c r="C9" s="28">
        <v>2026</v>
      </c>
    </row>
    <row r="10" spans="1:3" x14ac:dyDescent="0.25">
      <c r="A10" s="8" t="s">
        <v>211</v>
      </c>
      <c r="B10" s="7">
        <v>50.33</v>
      </c>
      <c r="C10" s="28">
        <v>2026</v>
      </c>
    </row>
    <row r="11" spans="1:3" x14ac:dyDescent="0.25">
      <c r="A11" s="8" t="s">
        <v>49</v>
      </c>
      <c r="B11" s="7">
        <v>51.1</v>
      </c>
      <c r="C11" s="28">
        <v>2026</v>
      </c>
    </row>
    <row r="12" spans="1:3" x14ac:dyDescent="0.25">
      <c r="A12" s="8" t="s">
        <v>245</v>
      </c>
      <c r="B12" s="7">
        <v>51.1</v>
      </c>
      <c r="C12" s="28">
        <v>2026</v>
      </c>
    </row>
    <row r="13" spans="1:3" x14ac:dyDescent="0.25">
      <c r="A13" s="8" t="s">
        <v>71</v>
      </c>
      <c r="B13" s="7">
        <v>51.4</v>
      </c>
      <c r="C13" s="28">
        <v>2026</v>
      </c>
    </row>
    <row r="14" spans="1:3" x14ac:dyDescent="0.25">
      <c r="A14" s="8" t="s">
        <v>59</v>
      </c>
      <c r="B14" s="7">
        <v>52.68</v>
      </c>
      <c r="C14" s="28">
        <v>2026</v>
      </c>
    </row>
    <row r="15" spans="1:3" x14ac:dyDescent="0.25">
      <c r="A15" s="8" t="s">
        <v>285</v>
      </c>
      <c r="B15" s="7">
        <v>52.9</v>
      </c>
      <c r="C15" s="28">
        <v>2026</v>
      </c>
    </row>
    <row r="16" spans="1:3" x14ac:dyDescent="0.25">
      <c r="A16" s="8" t="s">
        <v>69</v>
      </c>
      <c r="B16" s="7">
        <v>53.48</v>
      </c>
      <c r="C16" s="28">
        <v>2026</v>
      </c>
    </row>
    <row r="17" spans="1:3" x14ac:dyDescent="0.25">
      <c r="A17" s="8" t="s">
        <v>115</v>
      </c>
      <c r="B17" s="7">
        <v>57.2</v>
      </c>
      <c r="C17" s="28">
        <v>2026</v>
      </c>
    </row>
    <row r="18" spans="1:3" x14ac:dyDescent="0.25">
      <c r="A18" s="8" t="s">
        <v>125</v>
      </c>
      <c r="B18" s="7">
        <v>57.5</v>
      </c>
      <c r="C18" s="28">
        <v>2026</v>
      </c>
    </row>
    <row r="19" spans="1:3" x14ac:dyDescent="0.25">
      <c r="A19" s="8" t="s">
        <v>193</v>
      </c>
      <c r="B19" s="7">
        <v>58.95</v>
      </c>
      <c r="C19" s="28">
        <v>2026</v>
      </c>
    </row>
    <row r="20" spans="1:3" x14ac:dyDescent="0.25">
      <c r="A20" s="8" t="s">
        <v>81</v>
      </c>
      <c r="B20" s="7">
        <v>59.5</v>
      </c>
      <c r="C20" s="28">
        <v>2026</v>
      </c>
    </row>
    <row r="21" spans="1:3" x14ac:dyDescent="0.25">
      <c r="A21" s="8" t="s">
        <v>137</v>
      </c>
      <c r="B21" s="7">
        <v>61.88</v>
      </c>
      <c r="C21" s="28">
        <v>2026</v>
      </c>
    </row>
    <row r="22" spans="1:3" x14ac:dyDescent="0.25">
      <c r="A22" s="8" t="s">
        <v>303</v>
      </c>
      <c r="B22" s="7">
        <v>62.1</v>
      </c>
      <c r="C22" s="28">
        <v>2026</v>
      </c>
    </row>
    <row r="23" spans="1:3" x14ac:dyDescent="0.25">
      <c r="A23" s="8" t="s">
        <v>369</v>
      </c>
      <c r="B23" s="7">
        <v>62.3</v>
      </c>
      <c r="C23" s="28">
        <v>2026</v>
      </c>
    </row>
    <row r="24" spans="1:3" x14ac:dyDescent="0.25">
      <c r="A24" s="8" t="s">
        <v>205</v>
      </c>
      <c r="B24" s="7">
        <v>62.48</v>
      </c>
      <c r="C24" s="28">
        <v>2026</v>
      </c>
    </row>
    <row r="25" spans="1:3" x14ac:dyDescent="0.25">
      <c r="A25" s="8" t="s">
        <v>343</v>
      </c>
      <c r="B25" s="7">
        <v>64.13</v>
      </c>
      <c r="C25" s="28">
        <v>2026</v>
      </c>
    </row>
    <row r="26" spans="1:3" x14ac:dyDescent="0.25">
      <c r="A26" s="8" t="s">
        <v>203</v>
      </c>
      <c r="B26" s="7">
        <v>64.930000000000007</v>
      </c>
      <c r="C26" s="28">
        <v>2026</v>
      </c>
    </row>
    <row r="27" spans="1:3" x14ac:dyDescent="0.25">
      <c r="A27" s="8" t="s">
        <v>131</v>
      </c>
      <c r="B27" s="7">
        <v>66.72</v>
      </c>
      <c r="C27" s="28">
        <v>2026</v>
      </c>
    </row>
    <row r="28" spans="1:3" x14ac:dyDescent="0.25">
      <c r="A28" s="8" t="s">
        <v>191</v>
      </c>
      <c r="B28" s="7">
        <v>66.72</v>
      </c>
      <c r="C28" s="28">
        <v>2026</v>
      </c>
    </row>
    <row r="29" spans="1:3" x14ac:dyDescent="0.25">
      <c r="A29" s="8" t="s">
        <v>325</v>
      </c>
      <c r="B29" s="7">
        <v>66.849999999999994</v>
      </c>
      <c r="C29" s="28">
        <v>2026</v>
      </c>
    </row>
    <row r="30" spans="1:3" x14ac:dyDescent="0.25">
      <c r="A30" s="8" t="s">
        <v>57</v>
      </c>
      <c r="B30" s="7">
        <v>67.400000000000006</v>
      </c>
      <c r="C30" s="28">
        <v>2026</v>
      </c>
    </row>
    <row r="31" spans="1:3" x14ac:dyDescent="0.25">
      <c r="A31" s="8" t="s">
        <v>41</v>
      </c>
      <c r="B31" s="7">
        <v>67.599999999999994</v>
      </c>
      <c r="C31" s="28">
        <v>2026</v>
      </c>
    </row>
    <row r="32" spans="1:3" x14ac:dyDescent="0.25">
      <c r="A32" s="8" t="s">
        <v>412</v>
      </c>
      <c r="B32" s="7">
        <v>67.930000000000007</v>
      </c>
      <c r="C32" s="28">
        <v>2026</v>
      </c>
    </row>
    <row r="33" spans="1:3" x14ac:dyDescent="0.25">
      <c r="A33" s="8" t="s">
        <v>229</v>
      </c>
      <c r="B33" s="7">
        <v>68.55</v>
      </c>
      <c r="C33" s="28">
        <v>2026</v>
      </c>
    </row>
    <row r="34" spans="1:3" x14ac:dyDescent="0.25">
      <c r="A34" s="8" t="s">
        <v>175</v>
      </c>
      <c r="B34" s="7">
        <v>68.75</v>
      </c>
      <c r="C34" s="28">
        <v>2026</v>
      </c>
    </row>
    <row r="35" spans="1:3" x14ac:dyDescent="0.25">
      <c r="A35" s="8" t="s">
        <v>377</v>
      </c>
      <c r="B35" s="7">
        <v>69.58</v>
      </c>
      <c r="C35" s="28">
        <v>2026</v>
      </c>
    </row>
    <row r="36" spans="1:3" x14ac:dyDescent="0.25">
      <c r="A36" s="8" t="s">
        <v>233</v>
      </c>
      <c r="B36" s="7">
        <v>70.28</v>
      </c>
      <c r="C36" s="28">
        <v>2026</v>
      </c>
    </row>
    <row r="37" spans="1:3" x14ac:dyDescent="0.25">
      <c r="A37" s="8" t="s">
        <v>277</v>
      </c>
      <c r="B37" s="7">
        <v>71.47</v>
      </c>
      <c r="C37" s="28">
        <v>2026</v>
      </c>
    </row>
    <row r="38" spans="1:3" x14ac:dyDescent="0.25">
      <c r="A38" s="8" t="s">
        <v>12</v>
      </c>
      <c r="B38" s="7">
        <v>71.599999999999994</v>
      </c>
      <c r="C38" s="28">
        <v>2026</v>
      </c>
    </row>
    <row r="39" spans="1:3" x14ac:dyDescent="0.25">
      <c r="A39" s="8" t="s">
        <v>289</v>
      </c>
      <c r="B39" s="7">
        <v>71.88</v>
      </c>
      <c r="C39" s="28">
        <v>2026</v>
      </c>
    </row>
    <row r="40" spans="1:3" x14ac:dyDescent="0.25">
      <c r="A40" s="8" t="s">
        <v>123</v>
      </c>
      <c r="B40" s="7">
        <v>74.08</v>
      </c>
      <c r="C40" s="28">
        <v>2026</v>
      </c>
    </row>
    <row r="41" spans="1:3" x14ac:dyDescent="0.25">
      <c r="A41" s="8" t="s">
        <v>61</v>
      </c>
      <c r="B41" s="7">
        <v>75.03</v>
      </c>
      <c r="C41" s="28">
        <v>2026</v>
      </c>
    </row>
    <row r="42" spans="1:3" x14ac:dyDescent="0.25">
      <c r="A42" s="8" t="s">
        <v>301</v>
      </c>
      <c r="B42" s="7">
        <v>76.349999999999994</v>
      </c>
      <c r="C42" s="28">
        <v>2026</v>
      </c>
    </row>
    <row r="43" spans="1:3" x14ac:dyDescent="0.25">
      <c r="A43" s="8" t="s">
        <v>367</v>
      </c>
      <c r="B43" s="7">
        <v>76.680000000000007</v>
      </c>
      <c r="C43" s="28">
        <v>2026</v>
      </c>
    </row>
    <row r="44" spans="1:3" x14ac:dyDescent="0.25">
      <c r="A44" s="8" t="s">
        <v>411</v>
      </c>
      <c r="B44" s="7">
        <v>78.25</v>
      </c>
      <c r="C44" s="28">
        <v>2026</v>
      </c>
    </row>
    <row r="45" spans="1:3" x14ac:dyDescent="0.25">
      <c r="A45" s="8" t="s">
        <v>331</v>
      </c>
      <c r="B45" s="7">
        <v>79.33</v>
      </c>
      <c r="C45" s="28">
        <v>2026</v>
      </c>
    </row>
    <row r="46" spans="1:3" x14ac:dyDescent="0.25">
      <c r="A46" s="8" t="s">
        <v>217</v>
      </c>
      <c r="B46" s="7">
        <v>82.3</v>
      </c>
      <c r="C46" s="28">
        <v>2026</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b9dc015-dd13-448b-b628-7af3b634cca4">
      <Terms xmlns="http://schemas.microsoft.com/office/infopath/2007/PartnerControls"/>
    </lcf76f155ced4ddcb4097134ff3c332f>
    <TaxCatchAll xmlns="0c6f1c3b-ea25-4e6f-91c5-aeb92d62b0f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808F46CC7369E44A38836926FD52CA4" ma:contentTypeVersion="17" ma:contentTypeDescription="Create a new document." ma:contentTypeScope="" ma:versionID="34d57240de38c5ca99423c2d81288a91">
  <xsd:schema xmlns:xsd="http://www.w3.org/2001/XMLSchema" xmlns:xs="http://www.w3.org/2001/XMLSchema" xmlns:p="http://schemas.microsoft.com/office/2006/metadata/properties" xmlns:ns2="3b9dc015-dd13-448b-b628-7af3b634cca4" xmlns:ns3="0c6f1c3b-ea25-4e6f-91c5-aeb92d62b0fb" targetNamespace="http://schemas.microsoft.com/office/2006/metadata/properties" ma:root="true" ma:fieldsID="e270c38f22e04ee44ccb8e6601e8d1f8" ns2:_="" ns3:_="">
    <xsd:import namespace="3b9dc015-dd13-448b-b628-7af3b634cca4"/>
    <xsd:import namespace="0c6f1c3b-ea25-4e6f-91c5-aeb92d62b0f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9dc015-dd13-448b-b628-7af3b634cc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b0229-19ef-4425-8520-9f00e8db620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c6f1c3b-ea25-4e6f-91c5-aeb92d62b0f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14a2595-35b6-44ef-becd-33de771bf95a}" ma:internalName="TaxCatchAll" ma:showField="CatchAllData" ma:web="0c6f1c3b-ea25-4e6f-91c5-aeb92d62b0fb">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D2A92C-83AC-4875-AB57-00646CD6EFD5}">
  <ds:schemaRefs>
    <ds:schemaRef ds:uri="http://schemas.microsoft.com/sharepoint/v3/contenttype/forms"/>
  </ds:schemaRefs>
</ds:datastoreItem>
</file>

<file path=customXml/itemProps2.xml><?xml version="1.0" encoding="utf-8"?>
<ds:datastoreItem xmlns:ds="http://schemas.openxmlformats.org/officeDocument/2006/customXml" ds:itemID="{AD06F295-52B5-4CF9-A30B-AD70E1592DD6}">
  <ds:schemaRefs>
    <ds:schemaRef ds:uri="http://www.w3.org/XML/1998/namespace"/>
    <ds:schemaRef ds:uri="http://purl.org/dc/dcmitype/"/>
    <ds:schemaRef ds:uri="http://purl.org/dc/elements/1.1/"/>
    <ds:schemaRef ds:uri="0c6f1c3b-ea25-4e6f-91c5-aeb92d62b0fb"/>
    <ds:schemaRef ds:uri="3b9dc015-dd13-448b-b628-7af3b634cca4"/>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5BDA8878-0C2E-4A0A-998D-397785837F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9dc015-dd13-448b-b628-7af3b634cca4"/>
    <ds:schemaRef ds:uri="0c6f1c3b-ea25-4e6f-91c5-aeb92d62b0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LFP_Male</vt:lpstr>
      <vt:lpstr>LFP_Female</vt:lpstr>
      <vt:lpstr>LFP</vt:lpstr>
      <vt:lpstr>FLFP by Country</vt:lpstr>
      <vt:lpstr>Enrollment</vt:lpstr>
      <vt:lpstr>Seats</vt:lpstr>
      <vt:lpstr>Acct Ownership</vt:lpstr>
      <vt:lpstr>Acct Ownership (2)</vt:lpstr>
      <vt:lpstr>GII</vt:lpstr>
      <vt:lpstr>WBL</vt:lpstr>
      <vt:lpstr>WBL (2)</vt:lpstr>
    </vt:vector>
  </TitlesOfParts>
  <Manager/>
  <Company>IMF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Zafar, Usama</dc:creator>
  <cp:keywords/>
  <dc:description/>
  <cp:lastModifiedBy>Kolovich, Lisa</cp:lastModifiedBy>
  <cp:revision/>
  <dcterms:created xsi:type="dcterms:W3CDTF">2026-03-11T14:50:22Z</dcterms:created>
  <dcterms:modified xsi:type="dcterms:W3CDTF">2026-05-21T13:58:54Z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2026-03-11T19:52:37Z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296371b4-008c-469d-ab6f-c4b06b44ef70</vt:lpwstr>
  </property>
  <property fmtid="{D5CDD505-2E9C-101B-9397-08002B2CF9AE}" pid="8" name="MSIP_Label_0c07ed86-5dc5-4593-ad03-a8684b843815_ContentBits">
    <vt:lpwstr>0</vt:lpwstr>
  </property>
  <property fmtid="{D5CDD505-2E9C-101B-9397-08002B2CF9AE}" pid="9" name="MSIP_Label_0c07ed86-5dc5-4593-ad03-a8684b843815_Tag">
    <vt:lpwstr>10, 3, 0, 1</vt:lpwstr>
  </property>
  <property fmtid="{D5CDD505-2E9C-101B-9397-08002B2CF9AE}" pid="10" name="ContentTypeId">
    <vt:lpwstr>0x0101003808F46CC7369E44A38836926FD52CA4</vt:lpwstr>
  </property>
  <property fmtid="{D5CDD505-2E9C-101B-9397-08002B2CF9AE}" pid="11" name="MediaServiceImageTags">
    <vt:lpwstr/>
  </property>
</Properties>
</file>